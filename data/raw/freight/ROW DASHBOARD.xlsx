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RALSON PROJECT\"/>
    </mc:Choice>
  </mc:AlternateContent>
  <bookViews>
    <workbookView xWindow="0" yWindow="0" windowWidth="23040" windowHeight="9072" tabRatio="500" activeTab="2"/>
  </bookViews>
  <sheets>
    <sheet name="Dashboard" sheetId="1" r:id="rId1"/>
    <sheet name="Origin Costs" sheetId="2" r:id="rId2"/>
    <sheet name="Sheet1" sheetId="3" r:id="rId3"/>
    <sheet name="Combination" sheetId="4" r:id="rId4"/>
    <sheet name="Helpers" sheetId="5" state="hidden" r:id="rId5"/>
  </sheets>
  <definedNames>
    <definedName name="_xlnm._FilterDatabase" localSheetId="3" hidden="1">Combination!$A$1:$P$628</definedName>
    <definedName name="_xlnm._FilterDatabase" localSheetId="2" hidden="1">Sheet1!$A$1:$Q$628</definedName>
    <definedName name="CustomerList">OFFSET(Helpers!$A$2,0,0,COUNTIF(Helpers!$A$2:$A$202,"&lt;&gt;"),1)</definedName>
    <definedName name="FilteredCustomerList">OFFSET(Helpers!$C$2,0,0,COUNTIF(Helpers!$C$2:$C$202,"&lt;&gt;"),1)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2628" i="4" l="1"/>
  <c r="Q2627" i="4"/>
  <c r="Q2626" i="4"/>
  <c r="Q2625" i="4"/>
  <c r="Q2624" i="4"/>
  <c r="Q2623" i="4"/>
  <c r="Q2622" i="4"/>
  <c r="Q2621" i="4"/>
  <c r="Q2620" i="4"/>
  <c r="Q2619" i="4"/>
  <c r="Q2618" i="4"/>
  <c r="Q2617" i="4"/>
  <c r="Q2616" i="4"/>
  <c r="Q2615" i="4"/>
  <c r="Q2614" i="4"/>
  <c r="Q2613" i="4"/>
  <c r="Q2612" i="4"/>
  <c r="Q2611" i="4"/>
  <c r="Q2610" i="4"/>
  <c r="Q2609" i="4"/>
  <c r="Q2608" i="4"/>
  <c r="Q2607" i="4"/>
  <c r="Q2606" i="4"/>
  <c r="Q2605" i="4"/>
  <c r="Q2604" i="4"/>
  <c r="Q2603" i="4"/>
  <c r="Q2602" i="4"/>
  <c r="Q2601" i="4"/>
  <c r="Q2600" i="4"/>
  <c r="Q2599" i="4"/>
  <c r="Q2598" i="4"/>
  <c r="Q2597" i="4"/>
  <c r="Q2596" i="4"/>
  <c r="Q2595" i="4"/>
  <c r="Q2594" i="4"/>
  <c r="Q2593" i="4"/>
  <c r="Q2592" i="4"/>
  <c r="Q2591" i="4"/>
  <c r="Q2590" i="4"/>
  <c r="Q2589" i="4"/>
  <c r="Q2588" i="4"/>
  <c r="Q2587" i="4"/>
  <c r="Q2586" i="4"/>
  <c r="Q2585" i="4"/>
  <c r="Q2584" i="4"/>
  <c r="Q2583" i="4"/>
  <c r="Q2582" i="4"/>
  <c r="Q2581" i="4"/>
  <c r="Q2580" i="4"/>
  <c r="Q2579" i="4"/>
  <c r="Q2578" i="4"/>
  <c r="Q2577" i="4"/>
  <c r="Q2576" i="4"/>
  <c r="Q2575" i="4"/>
  <c r="Q2574" i="4"/>
  <c r="Q2573" i="4"/>
  <c r="Q2572" i="4"/>
  <c r="Q2571" i="4"/>
  <c r="Q2570" i="4"/>
  <c r="Q2569" i="4"/>
  <c r="Q2568" i="4"/>
  <c r="Q2567" i="4"/>
  <c r="Q2566" i="4"/>
  <c r="Q2565" i="4"/>
  <c r="Q2564" i="4"/>
  <c r="Q2563" i="4"/>
  <c r="Q2562" i="4"/>
  <c r="Q2561" i="4"/>
  <c r="Q2560" i="4"/>
  <c r="Q2559" i="4"/>
  <c r="Q2558" i="4"/>
  <c r="Q2557" i="4"/>
  <c r="Q2556" i="4"/>
  <c r="Q2555" i="4"/>
  <c r="Q2554" i="4"/>
  <c r="Q2553" i="4"/>
  <c r="Q2552" i="4"/>
  <c r="Q2551" i="4"/>
  <c r="Q2550" i="4"/>
  <c r="Q2549" i="4"/>
  <c r="Q2548" i="4"/>
  <c r="Q2547" i="4"/>
  <c r="Q2546" i="4"/>
  <c r="Q2545" i="4"/>
  <c r="Q2544" i="4"/>
  <c r="Q2543" i="4"/>
  <c r="Q2542" i="4"/>
  <c r="Q2541" i="4"/>
  <c r="Q2540" i="4"/>
  <c r="Q2539" i="4"/>
  <c r="Q2538" i="4"/>
  <c r="Q2537" i="4"/>
  <c r="Q2536" i="4"/>
  <c r="Q2535" i="4"/>
  <c r="Q2534" i="4"/>
  <c r="Q2533" i="4"/>
  <c r="Q2532" i="4"/>
  <c r="Q2531" i="4"/>
  <c r="Q2530" i="4"/>
  <c r="Q2529" i="4"/>
  <c r="Q2528" i="4"/>
  <c r="Q2527" i="4"/>
  <c r="Q2526" i="4"/>
  <c r="Q2525" i="4"/>
  <c r="Q2524" i="4"/>
  <c r="Q2523" i="4"/>
  <c r="Q2522" i="4"/>
  <c r="Q2521" i="4"/>
  <c r="Q2520" i="4"/>
  <c r="Q2519" i="4"/>
  <c r="Q2518" i="4"/>
  <c r="Q2517" i="4"/>
  <c r="Q2516" i="4"/>
  <c r="Q2515" i="4"/>
  <c r="Q2514" i="4"/>
  <c r="Q2513" i="4"/>
  <c r="Q2512" i="4"/>
  <c r="Q2511" i="4"/>
  <c r="Q2510" i="4"/>
  <c r="Q2509" i="4"/>
  <c r="Q2508" i="4"/>
  <c r="Q2507" i="4"/>
  <c r="Q2506" i="4"/>
  <c r="Q2505" i="4"/>
  <c r="Q2504" i="4"/>
  <c r="Q2503" i="4"/>
  <c r="Q2502" i="4"/>
  <c r="Q2501" i="4"/>
  <c r="Q2500" i="4"/>
  <c r="Q2499" i="4"/>
  <c r="Q2498" i="4"/>
  <c r="Q2497" i="4"/>
  <c r="Q2496" i="4"/>
  <c r="Q2495" i="4"/>
  <c r="Q2494" i="4"/>
  <c r="Q2493" i="4"/>
  <c r="Q2492" i="4"/>
  <c r="Q2491" i="4"/>
  <c r="Q2490" i="4"/>
  <c r="Q2489" i="4"/>
  <c r="Q2488" i="4"/>
  <c r="Q2487" i="4"/>
  <c r="Q2486" i="4"/>
  <c r="Q2485" i="4"/>
  <c r="Q2484" i="4"/>
  <c r="Q2483" i="4"/>
  <c r="Q2482" i="4"/>
  <c r="Q2481" i="4"/>
  <c r="Q2480" i="4"/>
  <c r="Q2479" i="4"/>
  <c r="Q2478" i="4"/>
  <c r="Q2477" i="4"/>
  <c r="Q2476" i="4"/>
  <c r="Q2475" i="4"/>
  <c r="Q2474" i="4"/>
  <c r="Q2473" i="4"/>
  <c r="Q2472" i="4"/>
  <c r="Q2471" i="4"/>
  <c r="Q2470" i="4"/>
  <c r="Q2469" i="4"/>
  <c r="Q2468" i="4"/>
  <c r="Q2467" i="4"/>
  <c r="Q2466" i="4"/>
  <c r="Q2465" i="4"/>
  <c r="Q2464" i="4"/>
  <c r="Q2463" i="4"/>
  <c r="Q2462" i="4"/>
  <c r="Q2461" i="4"/>
  <c r="Q2460" i="4"/>
  <c r="Q2459" i="4"/>
  <c r="Q2458" i="4"/>
  <c r="Q2457" i="4"/>
  <c r="Q2456" i="4"/>
  <c r="Q2455" i="4"/>
  <c r="Q2454" i="4"/>
  <c r="Q2453" i="4"/>
  <c r="Q2452" i="4"/>
  <c r="Q2451" i="4"/>
  <c r="Q2450" i="4"/>
  <c r="Q2449" i="4"/>
  <c r="Q2448" i="4"/>
  <c r="Q2447" i="4"/>
  <c r="Q2446" i="4"/>
  <c r="Q2445" i="4"/>
  <c r="Q2444" i="4"/>
  <c r="Q2443" i="4"/>
  <c r="Q2442" i="4"/>
  <c r="Q2441" i="4"/>
  <c r="Q2440" i="4"/>
  <c r="Q2439" i="4"/>
  <c r="Q2438" i="4"/>
  <c r="Q2437" i="4"/>
  <c r="Q2436" i="4"/>
  <c r="Q2435" i="4"/>
  <c r="Q2434" i="4"/>
  <c r="Q2433" i="4"/>
  <c r="Q2432" i="4"/>
  <c r="Q2431" i="4"/>
  <c r="Q2430" i="4"/>
  <c r="Q2429" i="4"/>
  <c r="Q2428" i="4"/>
  <c r="Q2427" i="4"/>
  <c r="Q2426" i="4"/>
  <c r="Q2425" i="4"/>
  <c r="Q2424" i="4"/>
  <c r="Q2423" i="4"/>
  <c r="Q2422" i="4"/>
  <c r="Q2421" i="4"/>
  <c r="Q2420" i="4"/>
  <c r="Q2419" i="4"/>
  <c r="Q2418" i="4"/>
  <c r="Q2417" i="4"/>
  <c r="Q2416" i="4"/>
  <c r="Q2415" i="4"/>
  <c r="Q2414" i="4"/>
  <c r="Q2413" i="4"/>
  <c r="Q2412" i="4"/>
  <c r="Q2411" i="4"/>
  <c r="Q2410" i="4"/>
  <c r="Q2409" i="4"/>
  <c r="Q2408" i="4"/>
  <c r="Q2407" i="4"/>
  <c r="Q2406" i="4"/>
  <c r="Q2405" i="4"/>
  <c r="Q2404" i="4"/>
  <c r="Q2403" i="4"/>
  <c r="Q2402" i="4"/>
  <c r="Q2401" i="4"/>
  <c r="Q2400" i="4"/>
  <c r="Q2399" i="4"/>
  <c r="Q2398" i="4"/>
  <c r="Q2397" i="4"/>
  <c r="Q2396" i="4"/>
  <c r="Q2395" i="4"/>
  <c r="Q2394" i="4"/>
  <c r="Q2393" i="4"/>
  <c r="Q2392" i="4"/>
  <c r="Q2391" i="4"/>
  <c r="Q2390" i="4"/>
  <c r="Q2389" i="4"/>
  <c r="Q2388" i="4"/>
  <c r="Q2387" i="4"/>
  <c r="Q2386" i="4"/>
  <c r="Q2385" i="4"/>
  <c r="Q2384" i="4"/>
  <c r="Q2383" i="4"/>
  <c r="Q2382" i="4"/>
  <c r="Q2381" i="4"/>
  <c r="Q2380" i="4"/>
  <c r="Q2379" i="4"/>
  <c r="Q2378" i="4"/>
  <c r="Q2377" i="4"/>
  <c r="Q2376" i="4"/>
  <c r="Q2375" i="4"/>
  <c r="Q2374" i="4"/>
  <c r="Q2373" i="4"/>
  <c r="Q2372" i="4"/>
  <c r="Q2371" i="4"/>
  <c r="Q2370" i="4"/>
  <c r="Q2369" i="4"/>
  <c r="Q2368" i="4"/>
  <c r="Q2367" i="4"/>
  <c r="Q2366" i="4"/>
  <c r="Q2365" i="4"/>
  <c r="Q2364" i="4"/>
  <c r="Q2363" i="4"/>
  <c r="Q2362" i="4"/>
  <c r="Q2361" i="4"/>
  <c r="Q2360" i="4"/>
  <c r="Q2359" i="4"/>
  <c r="Q2358" i="4"/>
  <c r="Q2357" i="4"/>
  <c r="Q2356" i="4"/>
  <c r="Q2355" i="4"/>
  <c r="Q2354" i="4"/>
  <c r="Q2353" i="4"/>
  <c r="Q2352" i="4"/>
  <c r="Q2351" i="4"/>
  <c r="Q2350" i="4"/>
  <c r="Q2349" i="4"/>
  <c r="Q2348" i="4"/>
  <c r="Q2347" i="4"/>
  <c r="Q2346" i="4"/>
  <c r="Q2345" i="4"/>
  <c r="Q2344" i="4"/>
  <c r="Q2343" i="4"/>
  <c r="Q2342" i="4"/>
  <c r="Q2341" i="4"/>
  <c r="Q2340" i="4"/>
  <c r="Q2339" i="4"/>
  <c r="Q2338" i="4"/>
  <c r="Q2337" i="4"/>
  <c r="Q2336" i="4"/>
  <c r="Q2335" i="4"/>
  <c r="Q2334" i="4"/>
  <c r="Q2333" i="4"/>
  <c r="Q2332" i="4"/>
  <c r="Q2331" i="4"/>
  <c r="Q2330" i="4"/>
  <c r="Q2329" i="4"/>
  <c r="Q2328" i="4"/>
  <c r="Q2327" i="4"/>
  <c r="Q2326" i="4"/>
  <c r="Q2325" i="4"/>
  <c r="Q2324" i="4"/>
  <c r="Q2323" i="4"/>
  <c r="Q2322" i="4"/>
  <c r="Q2321" i="4"/>
  <c r="Q2320" i="4"/>
  <c r="Q2319" i="4"/>
  <c r="Q2318" i="4"/>
  <c r="Q2317" i="4"/>
  <c r="Q2316" i="4"/>
  <c r="Q2315" i="4"/>
  <c r="Q2314" i="4"/>
  <c r="Q2313" i="4"/>
  <c r="Q2312" i="4"/>
  <c r="Q2311" i="4"/>
  <c r="Q2310" i="4"/>
  <c r="Q2309" i="4"/>
  <c r="Q2308" i="4"/>
  <c r="Q2307" i="4"/>
  <c r="Q2306" i="4"/>
  <c r="Q2305" i="4"/>
  <c r="Q2304" i="4"/>
  <c r="Q2303" i="4"/>
  <c r="Q2302" i="4"/>
  <c r="Q2301" i="4"/>
  <c r="Q2300" i="4"/>
  <c r="Q2299" i="4"/>
  <c r="Q2298" i="4"/>
  <c r="Q2297" i="4"/>
  <c r="Q2296" i="4"/>
  <c r="Q2295" i="4"/>
  <c r="Q2294" i="4"/>
  <c r="Q2293" i="4"/>
  <c r="Q2292" i="4"/>
  <c r="Q2291" i="4"/>
  <c r="Q2290" i="4"/>
  <c r="Q2289" i="4"/>
  <c r="Q2288" i="4"/>
  <c r="Q2287" i="4"/>
  <c r="Q2286" i="4"/>
  <c r="Q2285" i="4"/>
  <c r="Q2284" i="4"/>
  <c r="Q2283" i="4"/>
  <c r="Q2282" i="4"/>
  <c r="Q2281" i="4"/>
  <c r="Q2280" i="4"/>
  <c r="Q2279" i="4"/>
  <c r="Q2278" i="4"/>
  <c r="Q2277" i="4"/>
  <c r="Q2276" i="4"/>
  <c r="Q2275" i="4"/>
  <c r="Q2274" i="4"/>
  <c r="Q2273" i="4"/>
  <c r="Q2272" i="4"/>
  <c r="Q2271" i="4"/>
  <c r="Q2270" i="4"/>
  <c r="Q2269" i="4"/>
  <c r="Q2268" i="4"/>
  <c r="Q2267" i="4"/>
  <c r="Q2266" i="4"/>
  <c r="Q2265" i="4"/>
  <c r="Q2264" i="4"/>
  <c r="Q2263" i="4"/>
  <c r="Q2262" i="4"/>
  <c r="Q2261" i="4"/>
  <c r="Q2260" i="4"/>
  <c r="Q2259" i="4"/>
  <c r="Q2258" i="4"/>
  <c r="Q2257" i="4"/>
  <c r="Q2256" i="4"/>
  <c r="Q2255" i="4"/>
  <c r="Q2254" i="4"/>
  <c r="Q2253" i="4"/>
  <c r="Q2252" i="4"/>
  <c r="Q2251" i="4"/>
  <c r="Q2250" i="4"/>
  <c r="Q2249" i="4"/>
  <c r="Q2248" i="4"/>
  <c r="Q2247" i="4"/>
  <c r="Q2246" i="4"/>
  <c r="Q2245" i="4"/>
  <c r="Q2244" i="4"/>
  <c r="Q2243" i="4"/>
  <c r="Q2242" i="4"/>
  <c r="Q2241" i="4"/>
  <c r="Q2240" i="4"/>
  <c r="Q2239" i="4"/>
  <c r="Q2238" i="4"/>
  <c r="Q2237" i="4"/>
  <c r="Q2236" i="4"/>
  <c r="Q2235" i="4"/>
  <c r="Q2234" i="4"/>
  <c r="Q2233" i="4"/>
  <c r="Q2232" i="4"/>
  <c r="Q2231" i="4"/>
  <c r="Q2230" i="4"/>
  <c r="Q2229" i="4"/>
  <c r="Q2228" i="4"/>
  <c r="Q2227" i="4"/>
  <c r="Q2226" i="4"/>
  <c r="Q2225" i="4"/>
  <c r="Q2224" i="4"/>
  <c r="Q2223" i="4"/>
  <c r="Q2222" i="4"/>
  <c r="Q2221" i="4"/>
  <c r="Q2220" i="4"/>
  <c r="Q2219" i="4"/>
  <c r="Q2218" i="4"/>
  <c r="Q2217" i="4"/>
  <c r="Q2216" i="4"/>
  <c r="Q2215" i="4"/>
  <c r="Q2214" i="4"/>
  <c r="Q2213" i="4"/>
  <c r="Q2212" i="4"/>
  <c r="Q2211" i="4"/>
  <c r="Q2210" i="4"/>
  <c r="Q2209" i="4"/>
  <c r="Q2208" i="4"/>
  <c r="Q2207" i="4"/>
  <c r="Q2206" i="4"/>
  <c r="Q2205" i="4"/>
  <c r="Q2204" i="4"/>
  <c r="Q2203" i="4"/>
  <c r="Q2202" i="4"/>
  <c r="Q2201" i="4"/>
  <c r="Q2200" i="4"/>
  <c r="Q2199" i="4"/>
  <c r="Q2198" i="4"/>
  <c r="Q2197" i="4"/>
  <c r="Q2196" i="4"/>
  <c r="Q2195" i="4"/>
  <c r="Q2194" i="4"/>
  <c r="Q2193" i="4"/>
  <c r="Q2192" i="4"/>
  <c r="Q2191" i="4"/>
  <c r="Q2190" i="4"/>
  <c r="Q2189" i="4"/>
  <c r="Q2188" i="4"/>
  <c r="Q2187" i="4"/>
  <c r="Q2186" i="4"/>
  <c r="Q2185" i="4"/>
  <c r="Q2184" i="4"/>
  <c r="Q2183" i="4"/>
  <c r="Q2182" i="4"/>
  <c r="Q2181" i="4"/>
  <c r="Q2180" i="4"/>
  <c r="Q2179" i="4"/>
  <c r="Q2178" i="4"/>
  <c r="Q2177" i="4"/>
  <c r="Q2176" i="4"/>
  <c r="Q2175" i="4"/>
  <c r="Q2174" i="4"/>
  <c r="Q2173" i="4"/>
  <c r="Q2172" i="4"/>
  <c r="Q2171" i="4"/>
  <c r="Q2170" i="4"/>
  <c r="Q2169" i="4"/>
  <c r="Q2168" i="4"/>
  <c r="Q2167" i="4"/>
  <c r="Q2166" i="4"/>
  <c r="Q2165" i="4"/>
  <c r="Q2164" i="4"/>
  <c r="Q2163" i="4"/>
  <c r="Q2162" i="4"/>
  <c r="Q2161" i="4"/>
  <c r="Q2160" i="4"/>
  <c r="Q2159" i="4"/>
  <c r="Q2158" i="4"/>
  <c r="Q2157" i="4"/>
  <c r="Q2156" i="4"/>
  <c r="Q2155" i="4"/>
  <c r="Q2154" i="4"/>
  <c r="Q2153" i="4"/>
  <c r="Q2152" i="4"/>
  <c r="Q2151" i="4"/>
  <c r="Q2150" i="4"/>
  <c r="Q2149" i="4"/>
  <c r="Q2148" i="4"/>
  <c r="Q2147" i="4"/>
  <c r="Q2146" i="4"/>
  <c r="Q2145" i="4"/>
  <c r="Q2144" i="4"/>
  <c r="Q2143" i="4"/>
  <c r="Q2142" i="4"/>
  <c r="Q2141" i="4"/>
  <c r="Q2140" i="4"/>
  <c r="Q2139" i="4"/>
  <c r="Q2138" i="4"/>
  <c r="Q2137" i="4"/>
  <c r="Q2136" i="4"/>
  <c r="Q2135" i="4"/>
  <c r="Q2134" i="4"/>
  <c r="Q2133" i="4"/>
  <c r="Q2132" i="4"/>
  <c r="Q2131" i="4"/>
  <c r="Q2130" i="4"/>
  <c r="Q2129" i="4"/>
  <c r="Q2128" i="4"/>
  <c r="Q2127" i="4"/>
  <c r="Q2126" i="4"/>
  <c r="Q2125" i="4"/>
  <c r="Q2124" i="4"/>
  <c r="Q2123" i="4"/>
  <c r="Q2122" i="4"/>
  <c r="Q2121" i="4"/>
  <c r="Q2120" i="4"/>
  <c r="Q2119" i="4"/>
  <c r="Q2118" i="4"/>
  <c r="Q2117" i="4"/>
  <c r="Q2116" i="4"/>
  <c r="Q2115" i="4"/>
  <c r="Q2114" i="4"/>
  <c r="Q2113" i="4"/>
  <c r="Q2112" i="4"/>
  <c r="Q2111" i="4"/>
  <c r="Q2110" i="4"/>
  <c r="Q2109" i="4"/>
  <c r="Q2108" i="4"/>
  <c r="Q2107" i="4"/>
  <c r="Q2106" i="4"/>
  <c r="Q2105" i="4"/>
  <c r="Q2104" i="4"/>
  <c r="Q2103" i="4"/>
  <c r="Q2102" i="4"/>
  <c r="Q2101" i="4"/>
  <c r="Q2100" i="4"/>
  <c r="Q2099" i="4"/>
  <c r="Q2098" i="4"/>
  <c r="Q2097" i="4"/>
  <c r="Q2096" i="4"/>
  <c r="Q2095" i="4"/>
  <c r="Q2094" i="4"/>
  <c r="Q2093" i="4"/>
  <c r="Q2092" i="4"/>
  <c r="Q2091" i="4"/>
  <c r="Q2090" i="4"/>
  <c r="Q2089" i="4"/>
  <c r="Q2088" i="4"/>
  <c r="Q2087" i="4"/>
  <c r="Q2086" i="4"/>
  <c r="Q2085" i="4"/>
  <c r="Q2084" i="4"/>
  <c r="Q2083" i="4"/>
  <c r="Q2082" i="4"/>
  <c r="Q2081" i="4"/>
  <c r="Q2080" i="4"/>
  <c r="Q2079" i="4"/>
  <c r="Q2078" i="4"/>
  <c r="Q2077" i="4"/>
  <c r="Q2076" i="4"/>
  <c r="Q2075" i="4"/>
  <c r="Q2074" i="4"/>
  <c r="Q2073" i="4"/>
  <c r="Q2072" i="4"/>
  <c r="Q2071" i="4"/>
  <c r="Q2070" i="4"/>
  <c r="Q2069" i="4"/>
  <c r="Q2068" i="4"/>
  <c r="Q2067" i="4"/>
  <c r="Q2066" i="4"/>
  <c r="Q2065" i="4"/>
  <c r="Q2064" i="4"/>
  <c r="Q2063" i="4"/>
  <c r="Q2062" i="4"/>
  <c r="Q2061" i="4"/>
  <c r="Q2060" i="4"/>
  <c r="Q2059" i="4"/>
  <c r="Q2058" i="4"/>
  <c r="Q2057" i="4"/>
  <c r="Q2056" i="4"/>
  <c r="Q2055" i="4"/>
  <c r="Q2054" i="4"/>
  <c r="Q2053" i="4"/>
  <c r="Q2052" i="4"/>
  <c r="Q2051" i="4"/>
  <c r="Q2050" i="4"/>
  <c r="Q2049" i="4"/>
  <c r="Q2048" i="4"/>
  <c r="Q2047" i="4"/>
  <c r="Q2046" i="4"/>
  <c r="Q2045" i="4"/>
  <c r="Q2044" i="4"/>
  <c r="Q2043" i="4"/>
  <c r="Q2042" i="4"/>
  <c r="Q2041" i="4"/>
  <c r="Q2040" i="4"/>
  <c r="Q2039" i="4"/>
  <c r="Q2038" i="4"/>
  <c r="Q2037" i="4"/>
  <c r="Q2036" i="4"/>
  <c r="Q2035" i="4"/>
  <c r="Q2034" i="4"/>
  <c r="Q2033" i="4"/>
  <c r="Q2032" i="4"/>
  <c r="Q2031" i="4"/>
  <c r="Q2030" i="4"/>
  <c r="Q2029" i="4"/>
  <c r="Q2028" i="4"/>
  <c r="Q2027" i="4"/>
  <c r="Q2026" i="4"/>
  <c r="Q2025" i="4"/>
  <c r="Q2024" i="4"/>
  <c r="Q2023" i="4"/>
  <c r="Q2022" i="4"/>
  <c r="Q2021" i="4"/>
  <c r="Q2020" i="4"/>
  <c r="Q2019" i="4"/>
  <c r="Q2018" i="4"/>
  <c r="Q2017" i="4"/>
  <c r="Q2016" i="4"/>
  <c r="Q2015" i="4"/>
  <c r="Q2014" i="4"/>
  <c r="Q2013" i="4"/>
  <c r="Q2012" i="4"/>
  <c r="Q2011" i="4"/>
  <c r="Q2010" i="4"/>
  <c r="Q2009" i="4"/>
  <c r="Q2008" i="4"/>
  <c r="Q2007" i="4"/>
  <c r="Q2006" i="4"/>
  <c r="Q2005" i="4"/>
  <c r="Q2004" i="4"/>
  <c r="Q2003" i="4"/>
  <c r="Q2002" i="4"/>
  <c r="Q2001" i="4"/>
  <c r="Q2000" i="4"/>
  <c r="Q1999" i="4"/>
  <c r="Q1998" i="4"/>
  <c r="Q1997" i="4"/>
  <c r="Q1996" i="4"/>
  <c r="Q1995" i="4"/>
  <c r="Q1994" i="4"/>
  <c r="Q1993" i="4"/>
  <c r="Q1992" i="4"/>
  <c r="Q1991" i="4"/>
  <c r="Q1990" i="4"/>
  <c r="Q1989" i="4"/>
  <c r="Q1988" i="4"/>
  <c r="Q1987" i="4"/>
  <c r="Q1986" i="4"/>
  <c r="Q1985" i="4"/>
  <c r="Q1984" i="4"/>
  <c r="Q1983" i="4"/>
  <c r="Q1982" i="4"/>
  <c r="Q1981" i="4"/>
  <c r="Q1980" i="4"/>
  <c r="Q1979" i="4"/>
  <c r="Q1978" i="4"/>
  <c r="Q1977" i="4"/>
  <c r="Q1976" i="4"/>
  <c r="Q1975" i="4"/>
  <c r="Q1974" i="4"/>
  <c r="Q1973" i="4"/>
  <c r="Q1972" i="4"/>
  <c r="Q1971" i="4"/>
  <c r="Q1970" i="4"/>
  <c r="Q1969" i="4"/>
  <c r="Q1968" i="4"/>
  <c r="Q1967" i="4"/>
  <c r="Q1966" i="4"/>
  <c r="Q1965" i="4"/>
  <c r="Q1964" i="4"/>
  <c r="Q1963" i="4"/>
  <c r="Q1962" i="4"/>
  <c r="Q1961" i="4"/>
  <c r="Q1960" i="4"/>
  <c r="Q1959" i="4"/>
  <c r="Q1958" i="4"/>
  <c r="Q1957" i="4"/>
  <c r="Q1956" i="4"/>
  <c r="Q1955" i="4"/>
  <c r="Q1954" i="4"/>
  <c r="Q1953" i="4"/>
  <c r="Q1952" i="4"/>
  <c r="Q1951" i="4"/>
  <c r="Q1950" i="4"/>
  <c r="Q1949" i="4"/>
  <c r="Q1948" i="4"/>
  <c r="Q1947" i="4"/>
  <c r="Q1946" i="4"/>
  <c r="Q1945" i="4"/>
  <c r="Q1944" i="4"/>
  <c r="Q1943" i="4"/>
  <c r="Q1942" i="4"/>
  <c r="Q1941" i="4"/>
  <c r="Q1940" i="4"/>
  <c r="Q1939" i="4"/>
  <c r="Q1938" i="4"/>
  <c r="Q1937" i="4"/>
  <c r="Q1936" i="4"/>
  <c r="Q1935" i="4"/>
  <c r="Q1934" i="4"/>
  <c r="Q1933" i="4"/>
  <c r="Q1932" i="4"/>
  <c r="Q1931" i="4"/>
  <c r="Q1930" i="4"/>
  <c r="Q1929" i="4"/>
  <c r="Q1928" i="4"/>
  <c r="Q1927" i="4"/>
  <c r="Q1926" i="4"/>
  <c r="Q1925" i="4"/>
  <c r="Q1924" i="4"/>
  <c r="Q1923" i="4"/>
  <c r="Q1922" i="4"/>
  <c r="Q1921" i="4"/>
  <c r="Q1920" i="4"/>
  <c r="Q1919" i="4"/>
  <c r="Q1918" i="4"/>
  <c r="Q1917" i="4"/>
  <c r="Q1916" i="4"/>
  <c r="Q1915" i="4"/>
  <c r="Q1914" i="4"/>
  <c r="Q1913" i="4"/>
  <c r="Q1912" i="4"/>
  <c r="Q1911" i="4"/>
  <c r="Q1910" i="4"/>
  <c r="Q1909" i="4"/>
  <c r="Q1908" i="4"/>
  <c r="Q1907" i="4"/>
  <c r="Q1906" i="4"/>
  <c r="Q1905" i="4"/>
  <c r="Q1904" i="4"/>
  <c r="Q1903" i="4"/>
  <c r="Q1902" i="4"/>
  <c r="Q1901" i="4"/>
  <c r="Q1900" i="4"/>
  <c r="Q1899" i="4"/>
  <c r="Q1898" i="4"/>
  <c r="Q1897" i="4"/>
  <c r="Q1896" i="4"/>
  <c r="Q1895" i="4"/>
  <c r="Q1894" i="4"/>
  <c r="Q1893" i="4"/>
  <c r="Q1892" i="4"/>
  <c r="Q1891" i="4"/>
  <c r="Q1890" i="4"/>
  <c r="Q1889" i="4"/>
  <c r="Q1888" i="4"/>
  <c r="Q1887" i="4"/>
  <c r="Q1886" i="4"/>
  <c r="Q1885" i="4"/>
  <c r="Q1884" i="4"/>
  <c r="Q1883" i="4"/>
  <c r="Q1882" i="4"/>
  <c r="Q1881" i="4"/>
  <c r="Q1880" i="4"/>
  <c r="Q1879" i="4"/>
  <c r="Q1878" i="4"/>
  <c r="Q1877" i="4"/>
  <c r="Q1876" i="4"/>
  <c r="Q1875" i="4"/>
  <c r="Q1874" i="4"/>
  <c r="Q1873" i="4"/>
  <c r="Q1872" i="4"/>
  <c r="Q1871" i="4"/>
  <c r="Q1870" i="4"/>
  <c r="Q1869" i="4"/>
  <c r="Q1868" i="4"/>
  <c r="Q1867" i="4"/>
  <c r="Q1866" i="4"/>
  <c r="Q1865" i="4"/>
  <c r="Q1864" i="4"/>
  <c r="Q1863" i="4"/>
  <c r="Q1862" i="4"/>
  <c r="Q1861" i="4"/>
  <c r="Q1860" i="4"/>
  <c r="Q1859" i="4"/>
  <c r="Q1858" i="4"/>
  <c r="Q1857" i="4"/>
  <c r="Q1856" i="4"/>
  <c r="Q1855" i="4"/>
  <c r="Q1854" i="4"/>
  <c r="Q1853" i="4"/>
  <c r="Q1852" i="4"/>
  <c r="Q1851" i="4"/>
  <c r="Q1850" i="4"/>
  <c r="Q1849" i="4"/>
  <c r="Q1848" i="4"/>
  <c r="Q1847" i="4"/>
  <c r="Q1846" i="4"/>
  <c r="Q1845" i="4"/>
  <c r="Q1844" i="4"/>
  <c r="Q1843" i="4"/>
  <c r="Q1842" i="4"/>
  <c r="Q1841" i="4"/>
  <c r="Q1840" i="4"/>
  <c r="Q1839" i="4"/>
  <c r="Q1838" i="4"/>
  <c r="Q1837" i="4"/>
  <c r="Q1836" i="4"/>
  <c r="Q1835" i="4"/>
  <c r="Q1834" i="4"/>
  <c r="Q1833" i="4"/>
  <c r="Q1832" i="4"/>
  <c r="Q1831" i="4"/>
  <c r="Q1830" i="4"/>
  <c r="Q1829" i="4"/>
  <c r="Q1828" i="4"/>
  <c r="Q1827" i="4"/>
  <c r="Q1826" i="4"/>
  <c r="Q1825" i="4"/>
  <c r="Q1824" i="4"/>
  <c r="Q1823" i="4"/>
  <c r="Q1822" i="4"/>
  <c r="Q1821" i="4"/>
  <c r="Q1820" i="4"/>
  <c r="Q1819" i="4"/>
  <c r="Q1818" i="4"/>
  <c r="Q1817" i="4"/>
  <c r="Q1816" i="4"/>
  <c r="Q1815" i="4"/>
  <c r="Q1814" i="4"/>
  <c r="Q1813" i="4"/>
  <c r="Q1812" i="4"/>
  <c r="Q1811" i="4"/>
  <c r="Q1810" i="4"/>
  <c r="Q1809" i="4"/>
  <c r="Q1808" i="4"/>
  <c r="Q1807" i="4"/>
  <c r="Q1806" i="4"/>
  <c r="Q1805" i="4"/>
  <c r="Q1804" i="4"/>
  <c r="Q1803" i="4"/>
  <c r="Q1802" i="4"/>
  <c r="Q1801" i="4"/>
  <c r="Q1800" i="4"/>
  <c r="Q1799" i="4"/>
  <c r="Q1798" i="4"/>
  <c r="Q1797" i="4"/>
  <c r="Q1796" i="4"/>
  <c r="Q1795" i="4"/>
  <c r="Q1794" i="4"/>
  <c r="Q1793" i="4"/>
  <c r="Q1792" i="4"/>
  <c r="Q1791" i="4"/>
  <c r="Q1790" i="4"/>
  <c r="Q1789" i="4"/>
  <c r="Q1788" i="4"/>
  <c r="Q1787" i="4"/>
  <c r="Q1786" i="4"/>
  <c r="Q1785" i="4"/>
  <c r="Q1784" i="4"/>
  <c r="Q1783" i="4"/>
  <c r="Q1782" i="4"/>
  <c r="Q1781" i="4"/>
  <c r="Q1780" i="4"/>
  <c r="Q1779" i="4"/>
  <c r="Q1778" i="4"/>
  <c r="Q1777" i="4"/>
  <c r="Q1776" i="4"/>
  <c r="Q1775" i="4"/>
  <c r="Q1774" i="4"/>
  <c r="Q1773" i="4"/>
  <c r="Q1772" i="4"/>
  <c r="Q1771" i="4"/>
  <c r="Q1770" i="4"/>
  <c r="Q1769" i="4"/>
  <c r="Q1768" i="4"/>
  <c r="Q1767" i="4"/>
  <c r="Q1766" i="4"/>
  <c r="Q1765" i="4"/>
  <c r="Q1764" i="4"/>
  <c r="Q1763" i="4"/>
  <c r="Q1762" i="4"/>
  <c r="Q1761" i="4"/>
  <c r="Q1760" i="4"/>
  <c r="Q1759" i="4"/>
  <c r="Q1758" i="4"/>
  <c r="Q1757" i="4"/>
  <c r="Q1756" i="4"/>
  <c r="Q1755" i="4"/>
  <c r="Q1754" i="4"/>
  <c r="Q1753" i="4"/>
  <c r="Q1752" i="4"/>
  <c r="Q1751" i="4"/>
  <c r="Q1750" i="4"/>
  <c r="Q1749" i="4"/>
  <c r="Q1748" i="4"/>
  <c r="Q1747" i="4"/>
  <c r="Q1746" i="4"/>
  <c r="Q1745" i="4"/>
  <c r="Q1744" i="4"/>
  <c r="Q1743" i="4"/>
  <c r="Q1742" i="4"/>
  <c r="Q1741" i="4"/>
  <c r="Q1740" i="4"/>
  <c r="Q1739" i="4"/>
  <c r="Q1738" i="4"/>
  <c r="Q1737" i="4"/>
  <c r="Q1736" i="4"/>
  <c r="Q1735" i="4"/>
  <c r="Q1734" i="4"/>
  <c r="Q1733" i="4"/>
  <c r="Q1732" i="4"/>
  <c r="Q1731" i="4"/>
  <c r="Q1730" i="4"/>
  <c r="Q1729" i="4"/>
  <c r="Q1728" i="4"/>
  <c r="Q1727" i="4"/>
  <c r="Q1726" i="4"/>
  <c r="Q1725" i="4"/>
  <c r="Q1724" i="4"/>
  <c r="Q1723" i="4"/>
  <c r="Q1722" i="4"/>
  <c r="Q1721" i="4"/>
  <c r="Q1720" i="4"/>
  <c r="Q1719" i="4"/>
  <c r="Q1718" i="4"/>
  <c r="Q1717" i="4"/>
  <c r="Q1716" i="4"/>
  <c r="Q1715" i="4"/>
  <c r="Q1714" i="4"/>
  <c r="Q1713" i="4"/>
  <c r="Q1712" i="4"/>
  <c r="Q1711" i="4"/>
  <c r="Q1710" i="4"/>
  <c r="Q1709" i="4"/>
  <c r="Q1708" i="4"/>
  <c r="Q1707" i="4"/>
  <c r="Q1706" i="4"/>
  <c r="Q1705" i="4"/>
  <c r="Q1704" i="4"/>
  <c r="Q1703" i="4"/>
  <c r="Q1702" i="4"/>
  <c r="Q1701" i="4"/>
  <c r="Q1700" i="4"/>
  <c r="Q1699" i="4"/>
  <c r="Q1698" i="4"/>
  <c r="Q1697" i="4"/>
  <c r="Q1696" i="4"/>
  <c r="Q1695" i="4"/>
  <c r="Q1694" i="4"/>
  <c r="Q1693" i="4"/>
  <c r="Q1692" i="4"/>
  <c r="Q1691" i="4"/>
  <c r="Q1690" i="4"/>
  <c r="Q1689" i="4"/>
  <c r="Q1688" i="4"/>
  <c r="Q1687" i="4"/>
  <c r="Q1686" i="4"/>
  <c r="Q1685" i="4"/>
  <c r="Q1684" i="4"/>
  <c r="Q1683" i="4"/>
  <c r="Q1682" i="4"/>
  <c r="Q1681" i="4"/>
  <c r="Q1680" i="4"/>
  <c r="Q1679" i="4"/>
  <c r="Q1678" i="4"/>
  <c r="Q1677" i="4"/>
  <c r="Q1676" i="4"/>
  <c r="Q1675" i="4"/>
  <c r="Q1674" i="4"/>
  <c r="Q1673" i="4"/>
  <c r="Q1672" i="4"/>
  <c r="Q1671" i="4"/>
  <c r="Q1670" i="4"/>
  <c r="Q1669" i="4"/>
  <c r="Q1668" i="4"/>
  <c r="Q1667" i="4"/>
  <c r="Q1666" i="4"/>
  <c r="Q1665" i="4"/>
  <c r="Q1664" i="4"/>
  <c r="Q1663" i="4"/>
  <c r="Q1662" i="4"/>
  <c r="Q1661" i="4"/>
  <c r="Q1660" i="4"/>
  <c r="Q1659" i="4"/>
  <c r="Q1658" i="4"/>
  <c r="Q1657" i="4"/>
  <c r="Q1656" i="4"/>
  <c r="Q1655" i="4"/>
  <c r="Q1654" i="4"/>
  <c r="Q1653" i="4"/>
  <c r="Q1652" i="4"/>
  <c r="Q1651" i="4"/>
  <c r="Q1650" i="4"/>
  <c r="Q1649" i="4"/>
  <c r="Q1648" i="4"/>
  <c r="Q1647" i="4"/>
  <c r="Q1646" i="4"/>
  <c r="Q1645" i="4"/>
  <c r="Q1644" i="4"/>
  <c r="Q1643" i="4"/>
  <c r="Q1642" i="4"/>
  <c r="Q1641" i="4"/>
  <c r="Q1640" i="4"/>
  <c r="Q1639" i="4"/>
  <c r="Q1638" i="4"/>
  <c r="Q1637" i="4"/>
  <c r="Q1636" i="4"/>
  <c r="Q1635" i="4"/>
  <c r="Q1634" i="4"/>
  <c r="Q1633" i="4"/>
  <c r="Q1632" i="4"/>
  <c r="Q1631" i="4"/>
  <c r="Q1630" i="4"/>
  <c r="Q1629" i="4"/>
  <c r="Q1628" i="4"/>
  <c r="Q1627" i="4"/>
  <c r="Q1626" i="4"/>
  <c r="Q1625" i="4"/>
  <c r="Q1624" i="4"/>
  <c r="Q1623" i="4"/>
  <c r="Q1622" i="4"/>
  <c r="Q1621" i="4"/>
  <c r="Q1620" i="4"/>
  <c r="Q1619" i="4"/>
  <c r="Q1618" i="4"/>
  <c r="Q1617" i="4"/>
  <c r="Q1616" i="4"/>
  <c r="Q1615" i="4"/>
  <c r="Q1614" i="4"/>
  <c r="Q1613" i="4"/>
  <c r="Q1612" i="4"/>
  <c r="Q1611" i="4"/>
  <c r="Q1610" i="4"/>
  <c r="Q1609" i="4"/>
  <c r="Q1608" i="4"/>
  <c r="Q1607" i="4"/>
  <c r="Q1606" i="4"/>
  <c r="Q1605" i="4"/>
  <c r="Q1604" i="4"/>
  <c r="Q1603" i="4"/>
  <c r="Q1602" i="4"/>
  <c r="Q1601" i="4"/>
  <c r="Q1600" i="4"/>
  <c r="Q1599" i="4"/>
  <c r="Q1598" i="4"/>
  <c r="Q1597" i="4"/>
  <c r="Q1596" i="4"/>
  <c r="Q1595" i="4"/>
  <c r="Q1594" i="4"/>
  <c r="Q1593" i="4"/>
  <c r="Q1592" i="4"/>
  <c r="Q1591" i="4"/>
  <c r="Q1590" i="4"/>
  <c r="Q1589" i="4"/>
  <c r="Q1588" i="4"/>
  <c r="Q1587" i="4"/>
  <c r="Q1586" i="4"/>
  <c r="Q1585" i="4"/>
  <c r="Q1584" i="4"/>
  <c r="Q1583" i="4"/>
  <c r="Q1582" i="4"/>
  <c r="Q1581" i="4"/>
  <c r="Q1580" i="4"/>
  <c r="Q1579" i="4"/>
  <c r="Q1578" i="4"/>
  <c r="Q1577" i="4"/>
  <c r="Q1576" i="4"/>
  <c r="Q1575" i="4"/>
  <c r="Q1574" i="4"/>
  <c r="Q1573" i="4"/>
  <c r="Q1572" i="4"/>
  <c r="Q1571" i="4"/>
  <c r="Q1570" i="4"/>
  <c r="Q1569" i="4"/>
  <c r="Q1568" i="4"/>
  <c r="Q1567" i="4"/>
  <c r="Q1566" i="4"/>
  <c r="Q1565" i="4"/>
  <c r="Q1564" i="4"/>
  <c r="Q1563" i="4"/>
  <c r="Q1562" i="4"/>
  <c r="Q1561" i="4"/>
  <c r="Q1560" i="4"/>
  <c r="Q1559" i="4"/>
  <c r="Q1558" i="4"/>
  <c r="Q1557" i="4"/>
  <c r="Q1556" i="4"/>
  <c r="Q1555" i="4"/>
  <c r="Q1554" i="4"/>
  <c r="Q1553" i="4"/>
  <c r="Q1552" i="4"/>
  <c r="Q1551" i="4"/>
  <c r="Q1550" i="4"/>
  <c r="Q1549" i="4"/>
  <c r="Q1548" i="4"/>
  <c r="Q1547" i="4"/>
  <c r="Q1546" i="4"/>
  <c r="Q1545" i="4"/>
  <c r="Q1544" i="4"/>
  <c r="Q1543" i="4"/>
  <c r="Q1542" i="4"/>
  <c r="Q1541" i="4"/>
  <c r="Q1540" i="4"/>
  <c r="Q1539" i="4"/>
  <c r="Q1538" i="4"/>
  <c r="Q1537" i="4"/>
  <c r="Q1536" i="4"/>
  <c r="Q1535" i="4"/>
  <c r="Q1534" i="4"/>
  <c r="Q1533" i="4"/>
  <c r="Q1532" i="4"/>
  <c r="Q1531" i="4"/>
  <c r="Q1530" i="4"/>
  <c r="Q1529" i="4"/>
  <c r="Q1528" i="4"/>
  <c r="Q1527" i="4"/>
  <c r="Q1526" i="4"/>
  <c r="Q1525" i="4"/>
  <c r="Q1524" i="4"/>
  <c r="Q1523" i="4"/>
  <c r="Q1522" i="4"/>
  <c r="Q1521" i="4"/>
  <c r="Q1520" i="4"/>
  <c r="Q1519" i="4"/>
  <c r="Q1518" i="4"/>
  <c r="Q1517" i="4"/>
  <c r="Q1516" i="4"/>
  <c r="Q1515" i="4"/>
  <c r="Q1514" i="4"/>
  <c r="Q1513" i="4"/>
  <c r="Q1512" i="4"/>
  <c r="Q1511" i="4"/>
  <c r="Q1510" i="4"/>
  <c r="Q1509" i="4"/>
  <c r="Q1508" i="4"/>
  <c r="Q1507" i="4"/>
  <c r="Q1506" i="4"/>
  <c r="Q1505" i="4"/>
  <c r="Q1504" i="4"/>
  <c r="Q1503" i="4"/>
  <c r="Q1502" i="4"/>
  <c r="Q1501" i="4"/>
  <c r="Q1500" i="4"/>
  <c r="Q1499" i="4"/>
  <c r="Q1498" i="4"/>
  <c r="Q1497" i="4"/>
  <c r="Q1496" i="4"/>
  <c r="Q1495" i="4"/>
  <c r="Q1494" i="4"/>
  <c r="Q1493" i="4"/>
  <c r="Q1492" i="4"/>
  <c r="Q1491" i="4"/>
  <c r="Q1490" i="4"/>
  <c r="Q1489" i="4"/>
  <c r="Q1488" i="4"/>
  <c r="Q1487" i="4"/>
  <c r="Q1486" i="4"/>
  <c r="Q1485" i="4"/>
  <c r="Q1484" i="4"/>
  <c r="Q1483" i="4"/>
  <c r="Q1482" i="4"/>
  <c r="Q1481" i="4"/>
  <c r="Q1480" i="4"/>
  <c r="Q1479" i="4"/>
  <c r="Q1478" i="4"/>
  <c r="Q1477" i="4"/>
  <c r="Q1476" i="4"/>
  <c r="Q1475" i="4"/>
  <c r="Q1474" i="4"/>
  <c r="Q1473" i="4"/>
  <c r="Q1472" i="4"/>
  <c r="Q1471" i="4"/>
  <c r="Q1470" i="4"/>
  <c r="Q1469" i="4"/>
  <c r="Q1468" i="4"/>
  <c r="Q1467" i="4"/>
  <c r="Q1466" i="4"/>
  <c r="Q1465" i="4"/>
  <c r="Q1464" i="4"/>
  <c r="Q1463" i="4"/>
  <c r="Q1462" i="4"/>
  <c r="Q1461" i="4"/>
  <c r="Q1460" i="4"/>
  <c r="Q1459" i="4"/>
  <c r="Q1458" i="4"/>
  <c r="Q1457" i="4"/>
  <c r="Q1456" i="4"/>
  <c r="Q1455" i="4"/>
  <c r="Q1454" i="4"/>
  <c r="Q1453" i="4"/>
  <c r="Q1452" i="4"/>
  <c r="Q1451" i="4"/>
  <c r="Q1450" i="4"/>
  <c r="Q1449" i="4"/>
  <c r="Q1448" i="4"/>
  <c r="Q1447" i="4"/>
  <c r="Q1446" i="4"/>
  <c r="Q1445" i="4"/>
  <c r="Q1444" i="4"/>
  <c r="Q1443" i="4"/>
  <c r="Q1442" i="4"/>
  <c r="Q1441" i="4"/>
  <c r="Q1440" i="4"/>
  <c r="Q1439" i="4"/>
  <c r="Q1438" i="4"/>
  <c r="Q1437" i="4"/>
  <c r="Q1436" i="4"/>
  <c r="Q1435" i="4"/>
  <c r="Q1434" i="4"/>
  <c r="Q1433" i="4"/>
  <c r="Q1432" i="4"/>
  <c r="Q1431" i="4"/>
  <c r="Q1430" i="4"/>
  <c r="Q1429" i="4"/>
  <c r="Q1428" i="4"/>
  <c r="Q1427" i="4"/>
  <c r="Q1426" i="4"/>
  <c r="Q1425" i="4"/>
  <c r="Q1424" i="4"/>
  <c r="Q1423" i="4"/>
  <c r="Q1422" i="4"/>
  <c r="Q1421" i="4"/>
  <c r="Q1420" i="4"/>
  <c r="Q1419" i="4"/>
  <c r="Q1418" i="4"/>
  <c r="Q1417" i="4"/>
  <c r="Q1416" i="4"/>
  <c r="Q1415" i="4"/>
  <c r="Q1414" i="4"/>
  <c r="Q1413" i="4"/>
  <c r="Q1412" i="4"/>
  <c r="Q1411" i="4"/>
  <c r="Q1410" i="4"/>
  <c r="Q1409" i="4"/>
  <c r="Q1408" i="4"/>
  <c r="Q1407" i="4"/>
  <c r="Q1406" i="4"/>
  <c r="Q1405" i="4"/>
  <c r="Q1404" i="4"/>
  <c r="Q1403" i="4"/>
  <c r="Q1402" i="4"/>
  <c r="Q1401" i="4"/>
  <c r="Q1400" i="4"/>
  <c r="Q1399" i="4"/>
  <c r="Q1398" i="4"/>
  <c r="Q1397" i="4"/>
  <c r="Q1396" i="4"/>
  <c r="Q1395" i="4"/>
  <c r="Q1394" i="4"/>
  <c r="Q1393" i="4"/>
  <c r="Q1392" i="4"/>
  <c r="Q1391" i="4"/>
  <c r="Q1390" i="4"/>
  <c r="Q1389" i="4"/>
  <c r="Q1388" i="4"/>
  <c r="Q1387" i="4"/>
  <c r="Q1386" i="4"/>
  <c r="Q1385" i="4"/>
  <c r="Q1384" i="4"/>
  <c r="Q1383" i="4"/>
  <c r="Q1382" i="4"/>
  <c r="Q1381" i="4"/>
  <c r="Q1380" i="4"/>
  <c r="Q1379" i="4"/>
  <c r="Q1378" i="4"/>
  <c r="Q1377" i="4"/>
  <c r="Q1376" i="4"/>
  <c r="Q1375" i="4"/>
  <c r="Q1374" i="4"/>
  <c r="Q1373" i="4"/>
  <c r="Q1372" i="4"/>
  <c r="Q1371" i="4"/>
  <c r="Q1370" i="4"/>
  <c r="Q1369" i="4"/>
  <c r="Q1368" i="4"/>
  <c r="Q1367" i="4"/>
  <c r="Q1366" i="4"/>
  <c r="Q1365" i="4"/>
  <c r="Q1364" i="4"/>
  <c r="Q1363" i="4"/>
  <c r="Q1362" i="4"/>
  <c r="Q1361" i="4"/>
  <c r="Q1360" i="4"/>
  <c r="Q1359" i="4"/>
  <c r="Q1358" i="4"/>
  <c r="Q1357" i="4"/>
  <c r="Q1356" i="4"/>
  <c r="Q1355" i="4"/>
  <c r="Q1354" i="4"/>
  <c r="Q1353" i="4"/>
  <c r="Q1352" i="4"/>
  <c r="Q1351" i="4"/>
  <c r="Q1350" i="4"/>
  <c r="Q1349" i="4"/>
  <c r="Q1348" i="4"/>
  <c r="Q1347" i="4"/>
  <c r="Q1346" i="4"/>
  <c r="Q1345" i="4"/>
  <c r="Q1344" i="4"/>
  <c r="Q1343" i="4"/>
  <c r="Q1342" i="4"/>
  <c r="Q1341" i="4"/>
  <c r="Q1340" i="4"/>
  <c r="Q1339" i="4"/>
  <c r="Q1338" i="4"/>
  <c r="Q1337" i="4"/>
  <c r="Q1336" i="4"/>
  <c r="Q1335" i="4"/>
  <c r="Q1334" i="4"/>
  <c r="Q1333" i="4"/>
  <c r="Q1332" i="4"/>
  <c r="Q1331" i="4"/>
  <c r="Q1330" i="4"/>
  <c r="Q1329" i="4"/>
  <c r="Q1328" i="4"/>
  <c r="Q1327" i="4"/>
  <c r="Q1326" i="4"/>
  <c r="Q1325" i="4"/>
  <c r="Q1324" i="4"/>
  <c r="Q1323" i="4"/>
  <c r="Q1322" i="4"/>
  <c r="Q1321" i="4"/>
  <c r="Q1320" i="4"/>
  <c r="Q1319" i="4"/>
  <c r="Q1318" i="4"/>
  <c r="Q1317" i="4"/>
  <c r="Q1316" i="4"/>
  <c r="Q1315" i="4"/>
  <c r="Q1314" i="4"/>
  <c r="Q1313" i="4"/>
  <c r="Q1312" i="4"/>
  <c r="Q1311" i="4"/>
  <c r="Q1310" i="4"/>
  <c r="Q1309" i="4"/>
  <c r="Q1308" i="4"/>
  <c r="Q1307" i="4"/>
  <c r="Q1306" i="4"/>
  <c r="Q1305" i="4"/>
  <c r="Q1304" i="4"/>
  <c r="Q1303" i="4"/>
  <c r="Q1302" i="4"/>
  <c r="Q1301" i="4"/>
  <c r="Q1300" i="4"/>
  <c r="Q1299" i="4"/>
  <c r="Q1298" i="4"/>
  <c r="Q1297" i="4"/>
  <c r="Q1296" i="4"/>
  <c r="Q1295" i="4"/>
  <c r="Q1294" i="4"/>
  <c r="Q1293" i="4"/>
  <c r="Q1292" i="4"/>
  <c r="Q1291" i="4"/>
  <c r="Q1290" i="4"/>
  <c r="Q1289" i="4"/>
  <c r="Q1288" i="4"/>
  <c r="Q1287" i="4"/>
  <c r="Q1286" i="4"/>
  <c r="Q1285" i="4"/>
  <c r="Q1284" i="4"/>
  <c r="Q1283" i="4"/>
  <c r="Q1282" i="4"/>
  <c r="Q1281" i="4"/>
  <c r="Q1280" i="4"/>
  <c r="Q1279" i="4"/>
  <c r="Q1278" i="4"/>
  <c r="Q1277" i="4"/>
  <c r="Q1276" i="4"/>
  <c r="Q1275" i="4"/>
  <c r="Q1274" i="4"/>
  <c r="Q1273" i="4"/>
  <c r="Q1272" i="4"/>
  <c r="Q1271" i="4"/>
  <c r="Q1270" i="4"/>
  <c r="Q1269" i="4"/>
  <c r="Q1268" i="4"/>
  <c r="Q1267" i="4"/>
  <c r="Q1266" i="4"/>
  <c r="Q1265" i="4"/>
  <c r="Q1264" i="4"/>
  <c r="Q1263" i="4"/>
  <c r="Q1262" i="4"/>
  <c r="Q1261" i="4"/>
  <c r="Q1260" i="4"/>
  <c r="Q1259" i="4"/>
  <c r="Q1258" i="4"/>
  <c r="Q1257" i="4"/>
  <c r="Q1256" i="4"/>
  <c r="Q1255" i="4"/>
  <c r="Q1254" i="4"/>
  <c r="Q1253" i="4"/>
  <c r="Q1252" i="4"/>
  <c r="Q1251" i="4"/>
  <c r="Q1250" i="4"/>
  <c r="Q1249" i="4"/>
  <c r="Q1248" i="4"/>
  <c r="Q1247" i="4"/>
  <c r="Q1246" i="4"/>
  <c r="Q1245" i="4"/>
  <c r="Q1244" i="4"/>
  <c r="Q1243" i="4"/>
  <c r="Q1242" i="4"/>
  <c r="Q1241" i="4"/>
  <c r="Q1240" i="4"/>
  <c r="Q1239" i="4"/>
  <c r="Q1238" i="4"/>
  <c r="Q1237" i="4"/>
  <c r="Q1236" i="4"/>
  <c r="Q1235" i="4"/>
  <c r="Q1234" i="4"/>
  <c r="Q1233" i="4"/>
  <c r="Q1232" i="4"/>
  <c r="Q1231" i="4"/>
  <c r="Q1230" i="4"/>
  <c r="Q1229" i="4"/>
  <c r="Q1228" i="4"/>
  <c r="Q1227" i="4"/>
  <c r="Q1226" i="4"/>
  <c r="Q1225" i="4"/>
  <c r="Q1224" i="4"/>
  <c r="Q1223" i="4"/>
  <c r="Q1222" i="4"/>
  <c r="Q1221" i="4"/>
  <c r="Q1220" i="4"/>
  <c r="Q1219" i="4"/>
  <c r="Q1218" i="4"/>
  <c r="Q1217" i="4"/>
  <c r="Q1216" i="4"/>
  <c r="Q1215" i="4"/>
  <c r="Q1214" i="4"/>
  <c r="Q1213" i="4"/>
  <c r="Q1212" i="4"/>
  <c r="Q1211" i="4"/>
  <c r="Q1210" i="4"/>
  <c r="Q1209" i="4"/>
  <c r="Q1208" i="4"/>
  <c r="Q1207" i="4"/>
  <c r="Q1206" i="4"/>
  <c r="Q1205" i="4"/>
  <c r="Q1204" i="4"/>
  <c r="Q1203" i="4"/>
  <c r="Q1202" i="4"/>
  <c r="Q1201" i="4"/>
  <c r="Q1200" i="4"/>
  <c r="Q1199" i="4"/>
  <c r="Q1198" i="4"/>
  <c r="Q1197" i="4"/>
  <c r="Q1196" i="4"/>
  <c r="Q1195" i="4"/>
  <c r="Q1194" i="4"/>
  <c r="Q1193" i="4"/>
  <c r="Q1192" i="4"/>
  <c r="Q1191" i="4"/>
  <c r="Q1190" i="4"/>
  <c r="Q1189" i="4"/>
  <c r="Q1188" i="4"/>
  <c r="Q1187" i="4"/>
  <c r="Q1186" i="4"/>
  <c r="Q1185" i="4"/>
  <c r="Q1184" i="4"/>
  <c r="Q1183" i="4"/>
  <c r="Q1182" i="4"/>
  <c r="Q1181" i="4"/>
  <c r="Q1180" i="4"/>
  <c r="Q1179" i="4"/>
  <c r="Q1178" i="4"/>
  <c r="Q1177" i="4"/>
  <c r="Q1176" i="4"/>
  <c r="Q1175" i="4"/>
  <c r="Q1174" i="4"/>
  <c r="Q1173" i="4"/>
  <c r="Q1172" i="4"/>
  <c r="Q1171" i="4"/>
  <c r="Q1170" i="4"/>
  <c r="Q1169" i="4"/>
  <c r="Q1168" i="4"/>
  <c r="Q1167" i="4"/>
  <c r="Q1166" i="4"/>
  <c r="Q1165" i="4"/>
  <c r="Q1164" i="4"/>
  <c r="Q1163" i="4"/>
  <c r="Q1162" i="4"/>
  <c r="Q1161" i="4"/>
  <c r="Q1160" i="4"/>
  <c r="Q1159" i="4"/>
  <c r="Q1158" i="4"/>
  <c r="Q1157" i="4"/>
  <c r="Q1156" i="4"/>
  <c r="Q1155" i="4"/>
  <c r="Q1154" i="4"/>
  <c r="Q1153" i="4"/>
  <c r="Q1152" i="4"/>
  <c r="Q1151" i="4"/>
  <c r="Q1150" i="4"/>
  <c r="Q1149" i="4"/>
  <c r="Q1148" i="4"/>
  <c r="Q1147" i="4"/>
  <c r="Q1146" i="4"/>
  <c r="Q1145" i="4"/>
  <c r="Q1144" i="4"/>
  <c r="Q1143" i="4"/>
  <c r="Q1142" i="4"/>
  <c r="Q1141" i="4"/>
  <c r="Q1140" i="4"/>
  <c r="Q1139" i="4"/>
  <c r="Q1138" i="4"/>
  <c r="Q1137" i="4"/>
  <c r="Q1136" i="4"/>
  <c r="Q1135" i="4"/>
  <c r="Q1134" i="4"/>
  <c r="Q1133" i="4"/>
  <c r="Q1132" i="4"/>
  <c r="Q1131" i="4"/>
  <c r="Q1130" i="4"/>
  <c r="Q1129" i="4"/>
  <c r="Q1128" i="4"/>
  <c r="Q1127" i="4"/>
  <c r="Q1126" i="4"/>
  <c r="Q1125" i="4"/>
  <c r="Q1124" i="4"/>
  <c r="Q1123" i="4"/>
  <c r="Q1122" i="4"/>
  <c r="Q1121" i="4"/>
  <c r="Q1120" i="4"/>
  <c r="Q1119" i="4"/>
  <c r="Q1118" i="4"/>
  <c r="Q1117" i="4"/>
  <c r="Q1116" i="4"/>
  <c r="Q1115" i="4"/>
  <c r="Q1114" i="4"/>
  <c r="Q1113" i="4"/>
  <c r="Q1112" i="4"/>
  <c r="Q1111" i="4"/>
  <c r="Q1110" i="4"/>
  <c r="Q1109" i="4"/>
  <c r="Q1108" i="4"/>
  <c r="Q1107" i="4"/>
  <c r="Q1106" i="4"/>
  <c r="Q1105" i="4"/>
  <c r="Q1104" i="4"/>
  <c r="Q1103" i="4"/>
  <c r="Q1102" i="4"/>
  <c r="Q1101" i="4"/>
  <c r="Q1100" i="4"/>
  <c r="Q1099" i="4"/>
  <c r="Q1098" i="4"/>
  <c r="Q1097" i="4"/>
  <c r="Q1096" i="4"/>
  <c r="Q1095" i="4"/>
  <c r="Q1094" i="4"/>
  <c r="Q1093" i="4"/>
  <c r="Q1092" i="4"/>
  <c r="Q1091" i="4"/>
  <c r="Q1090" i="4"/>
  <c r="Q1089" i="4"/>
  <c r="Q1088" i="4"/>
  <c r="Q1087" i="4"/>
  <c r="Q1086" i="4"/>
  <c r="Q1085" i="4"/>
  <c r="Q1084" i="4"/>
  <c r="Q1083" i="4"/>
  <c r="Q1082" i="4"/>
  <c r="Q1081" i="4"/>
  <c r="Q1080" i="4"/>
  <c r="Q1079" i="4"/>
  <c r="Q1078" i="4"/>
  <c r="Q1077" i="4"/>
  <c r="Q1076" i="4"/>
  <c r="Q1075" i="4"/>
  <c r="Q1074" i="4"/>
  <c r="Q1073" i="4"/>
  <c r="Q1072" i="4"/>
  <c r="Q1071" i="4"/>
  <c r="Q1070" i="4"/>
  <c r="Q1069" i="4"/>
  <c r="Q1068" i="4"/>
  <c r="Q1067" i="4"/>
  <c r="Q1066" i="4"/>
  <c r="Q1065" i="4"/>
  <c r="Q1064" i="4"/>
  <c r="Q1063" i="4"/>
  <c r="Q1062" i="4"/>
  <c r="Q1061" i="4"/>
  <c r="Q1060" i="4"/>
  <c r="Q1059" i="4"/>
  <c r="Q1058" i="4"/>
  <c r="Q1057" i="4"/>
  <c r="Q1056" i="4"/>
  <c r="Q1055" i="4"/>
  <c r="Q1054" i="4"/>
  <c r="Q1053" i="4"/>
  <c r="Q1052" i="4"/>
  <c r="Q1051" i="4"/>
  <c r="Q1050" i="4"/>
  <c r="Q1049" i="4"/>
  <c r="Q1048" i="4"/>
  <c r="Q1047" i="4"/>
  <c r="Q1046" i="4"/>
  <c r="Q1045" i="4"/>
  <c r="Q1044" i="4"/>
  <c r="Q1043" i="4"/>
  <c r="Q1042" i="4"/>
  <c r="Q1041" i="4"/>
  <c r="Q1040" i="4"/>
  <c r="Q1039" i="4"/>
  <c r="Q1038" i="4"/>
  <c r="Q1037" i="4"/>
  <c r="Q1036" i="4"/>
  <c r="Q1035" i="4"/>
  <c r="Q1034" i="4"/>
  <c r="Q1033" i="4"/>
  <c r="Q1032" i="4"/>
  <c r="Q1031" i="4"/>
  <c r="Q1030" i="4"/>
  <c r="Q1029" i="4"/>
  <c r="Q1028" i="4"/>
  <c r="Q1027" i="4"/>
  <c r="Q1026" i="4"/>
  <c r="Q1025" i="4"/>
  <c r="Q1024" i="4"/>
  <c r="Q1023" i="4"/>
  <c r="Q1022" i="4"/>
  <c r="Q1021" i="4"/>
  <c r="Q1020" i="4"/>
  <c r="Q1019" i="4"/>
  <c r="Q1018" i="4"/>
  <c r="Q1017" i="4"/>
  <c r="Q1016" i="4"/>
  <c r="Q1015" i="4"/>
  <c r="Q1014" i="4"/>
  <c r="Q1013" i="4"/>
  <c r="Q1012" i="4"/>
  <c r="Q1011" i="4"/>
  <c r="Q1010" i="4"/>
  <c r="Q1009" i="4"/>
  <c r="Q1008" i="4"/>
  <c r="Q1007" i="4"/>
  <c r="Q1006" i="4"/>
  <c r="Q1005" i="4"/>
  <c r="Q1004" i="4"/>
  <c r="Q1003" i="4"/>
  <c r="Q1002" i="4"/>
  <c r="Q1001" i="4"/>
  <c r="Q1000" i="4"/>
  <c r="Q999" i="4"/>
  <c r="Q998" i="4"/>
  <c r="Q997" i="4"/>
  <c r="Q996" i="4"/>
  <c r="Q995" i="4"/>
  <c r="Q994" i="4"/>
  <c r="Q993" i="4"/>
  <c r="Q992" i="4"/>
  <c r="Q991" i="4"/>
  <c r="Q990" i="4"/>
  <c r="Q989" i="4"/>
  <c r="Q988" i="4"/>
  <c r="Q987" i="4"/>
  <c r="Q986" i="4"/>
  <c r="Q985" i="4"/>
  <c r="Q984" i="4"/>
  <c r="Q983" i="4"/>
  <c r="Q982" i="4"/>
  <c r="Q981" i="4"/>
  <c r="Q980" i="4"/>
  <c r="Q979" i="4"/>
  <c r="Q978" i="4"/>
  <c r="Q977" i="4"/>
  <c r="Q976" i="4"/>
  <c r="Q975" i="4"/>
  <c r="Q974" i="4"/>
  <c r="Q973" i="4"/>
  <c r="Q972" i="4"/>
  <c r="Q971" i="4"/>
  <c r="Q970" i="4"/>
  <c r="Q969" i="4"/>
  <c r="Q968" i="4"/>
  <c r="Q967" i="4"/>
  <c r="Q966" i="4"/>
  <c r="Q965" i="4"/>
  <c r="Q964" i="4"/>
  <c r="Q963" i="4"/>
  <c r="Q962" i="4"/>
  <c r="Q961" i="4"/>
  <c r="Q960" i="4"/>
  <c r="Q959" i="4"/>
  <c r="Q958" i="4"/>
  <c r="Q957" i="4"/>
  <c r="Q956" i="4"/>
  <c r="Q955" i="4"/>
  <c r="Q954" i="4"/>
  <c r="Q953" i="4"/>
  <c r="Q952" i="4"/>
  <c r="Q951" i="4"/>
  <c r="Q950" i="4"/>
  <c r="Q949" i="4"/>
  <c r="Q948" i="4"/>
  <c r="Q947" i="4"/>
  <c r="Q946" i="4"/>
  <c r="Q945" i="4"/>
  <c r="Q944" i="4"/>
  <c r="Q943" i="4"/>
  <c r="Q942" i="4"/>
  <c r="Q941" i="4"/>
  <c r="Q940" i="4"/>
  <c r="Q939" i="4"/>
  <c r="Q938" i="4"/>
  <c r="Q937" i="4"/>
  <c r="Q936" i="4"/>
  <c r="Q935" i="4"/>
  <c r="Q934" i="4"/>
  <c r="Q933" i="4"/>
  <c r="Q932" i="4"/>
  <c r="Q931" i="4"/>
  <c r="Q930" i="4"/>
  <c r="Q929" i="4"/>
  <c r="Q928" i="4"/>
  <c r="Q927" i="4"/>
  <c r="Q926" i="4"/>
  <c r="Q925" i="4"/>
  <c r="Q924" i="4"/>
  <c r="Q923" i="4"/>
  <c r="Q922" i="4"/>
  <c r="Q921" i="4"/>
  <c r="Q920" i="4"/>
  <c r="Q919" i="4"/>
  <c r="Q918" i="4"/>
  <c r="Q917" i="4"/>
  <c r="Q916" i="4"/>
  <c r="Q915" i="4"/>
  <c r="Q914" i="4"/>
  <c r="Q913" i="4"/>
  <c r="Q912" i="4"/>
  <c r="Q911" i="4"/>
  <c r="Q910" i="4"/>
  <c r="Q909" i="4"/>
  <c r="Q908" i="4"/>
  <c r="Q907" i="4"/>
  <c r="Q906" i="4"/>
  <c r="Q905" i="4"/>
  <c r="Q904" i="4"/>
  <c r="Q903" i="4"/>
  <c r="Q902" i="4"/>
  <c r="Q901" i="4"/>
  <c r="Q900" i="4"/>
  <c r="Q899" i="4"/>
  <c r="Q898" i="4"/>
  <c r="Q897" i="4"/>
  <c r="Q896" i="4"/>
  <c r="Q895" i="4"/>
  <c r="Q894" i="4"/>
  <c r="Q893" i="4"/>
  <c r="Q892" i="4"/>
  <c r="Q891" i="4"/>
  <c r="Q890" i="4"/>
  <c r="Q889" i="4"/>
  <c r="Q888" i="4"/>
  <c r="Q887" i="4"/>
  <c r="Q886" i="4"/>
  <c r="Q885" i="4"/>
  <c r="Q884" i="4"/>
  <c r="Q883" i="4"/>
  <c r="Q882" i="4"/>
  <c r="Q881" i="4"/>
  <c r="Q880" i="4"/>
  <c r="Q879" i="4"/>
  <c r="Q878" i="4"/>
  <c r="Q877" i="4"/>
  <c r="Q876" i="4"/>
  <c r="Q875" i="4"/>
  <c r="Q874" i="4"/>
  <c r="Q873" i="4"/>
  <c r="Q872" i="4"/>
  <c r="Q871" i="4"/>
  <c r="Q870" i="4"/>
  <c r="Q869" i="4"/>
  <c r="Q868" i="4"/>
  <c r="Q867" i="4"/>
  <c r="Q866" i="4"/>
  <c r="Q865" i="4"/>
  <c r="Q864" i="4"/>
  <c r="Q863" i="4"/>
  <c r="Q862" i="4"/>
  <c r="Q861" i="4"/>
  <c r="Q860" i="4"/>
  <c r="Q859" i="4"/>
  <c r="Q858" i="4"/>
  <c r="Q857" i="4"/>
  <c r="Q856" i="4"/>
  <c r="Q855" i="4"/>
  <c r="Q854" i="4"/>
  <c r="Q853" i="4"/>
  <c r="Q852" i="4"/>
  <c r="Q851" i="4"/>
  <c r="Q850" i="4"/>
  <c r="Q849" i="4"/>
  <c r="Q848" i="4"/>
  <c r="Q847" i="4"/>
  <c r="Q846" i="4"/>
  <c r="Q845" i="4"/>
  <c r="Q844" i="4"/>
  <c r="Q843" i="4"/>
  <c r="Q842" i="4"/>
  <c r="Q841" i="4"/>
  <c r="Q840" i="4"/>
  <c r="Q839" i="4"/>
  <c r="Q838" i="4"/>
  <c r="Q837" i="4"/>
  <c r="Q836" i="4"/>
  <c r="Q835" i="4"/>
  <c r="Q834" i="4"/>
  <c r="Q833" i="4"/>
  <c r="Q832" i="4"/>
  <c r="Q831" i="4"/>
  <c r="Q830" i="4"/>
  <c r="Q829" i="4"/>
  <c r="Q828" i="4"/>
  <c r="Q827" i="4"/>
  <c r="Q826" i="4"/>
  <c r="Q825" i="4"/>
  <c r="Q824" i="4"/>
  <c r="Q823" i="4"/>
  <c r="Q822" i="4"/>
  <c r="Q821" i="4"/>
  <c r="Q820" i="4"/>
  <c r="Q819" i="4"/>
  <c r="Q818" i="4"/>
  <c r="Q817" i="4"/>
  <c r="Q816" i="4"/>
  <c r="Q815" i="4"/>
  <c r="Q814" i="4"/>
  <c r="Q813" i="4"/>
  <c r="Q812" i="4"/>
  <c r="Q811" i="4"/>
  <c r="Q810" i="4"/>
  <c r="Q809" i="4"/>
  <c r="Q808" i="4"/>
  <c r="Q807" i="4"/>
  <c r="Q806" i="4"/>
  <c r="Q805" i="4"/>
  <c r="Q804" i="4"/>
  <c r="Q803" i="4"/>
  <c r="Q802" i="4"/>
  <c r="Q801" i="4"/>
  <c r="Q800" i="4"/>
  <c r="Q799" i="4"/>
  <c r="Q798" i="4"/>
  <c r="Q797" i="4"/>
  <c r="Q796" i="4"/>
  <c r="Q795" i="4"/>
  <c r="Q794" i="4"/>
  <c r="Q793" i="4"/>
  <c r="Q792" i="4"/>
  <c r="Q791" i="4"/>
  <c r="Q790" i="4"/>
  <c r="Q789" i="4"/>
  <c r="Q788" i="4"/>
  <c r="Q787" i="4"/>
  <c r="Q786" i="4"/>
  <c r="Q785" i="4"/>
  <c r="Q784" i="4"/>
  <c r="Q783" i="4"/>
  <c r="Q782" i="4"/>
  <c r="Q781" i="4"/>
  <c r="Q780" i="4"/>
  <c r="Q779" i="4"/>
  <c r="Q778" i="4"/>
  <c r="Q777" i="4"/>
  <c r="Q776" i="4"/>
  <c r="Q775" i="4"/>
  <c r="Q774" i="4"/>
  <c r="Q773" i="4"/>
  <c r="Q772" i="4"/>
  <c r="Q771" i="4"/>
  <c r="Q770" i="4"/>
  <c r="Q769" i="4"/>
  <c r="Q768" i="4"/>
  <c r="Q767" i="4"/>
  <c r="Q766" i="4"/>
  <c r="Q765" i="4"/>
  <c r="Q764" i="4"/>
  <c r="Q763" i="4"/>
  <c r="Q762" i="4"/>
  <c r="Q761" i="4"/>
  <c r="Q760" i="4"/>
  <c r="Q759" i="4"/>
  <c r="Q758" i="4"/>
  <c r="Q757" i="4"/>
  <c r="Q756" i="4"/>
  <c r="Q755" i="4"/>
  <c r="Q754" i="4"/>
  <c r="Q753" i="4"/>
  <c r="Q752" i="4"/>
  <c r="Q751" i="4"/>
  <c r="Q750" i="4"/>
  <c r="Q749" i="4"/>
  <c r="Q748" i="4"/>
  <c r="Q747" i="4"/>
  <c r="Q746" i="4"/>
  <c r="Q745" i="4"/>
  <c r="Q744" i="4"/>
  <c r="Q743" i="4"/>
  <c r="Q742" i="4"/>
  <c r="Q741" i="4"/>
  <c r="Q740" i="4"/>
  <c r="Q739" i="4"/>
  <c r="Q738" i="4"/>
  <c r="Q737" i="4"/>
  <c r="Q736" i="4"/>
  <c r="Q735" i="4"/>
  <c r="Q734" i="4"/>
  <c r="Q733" i="4"/>
  <c r="Q732" i="4"/>
  <c r="Q731" i="4"/>
  <c r="Q730" i="4"/>
  <c r="Q729" i="4"/>
  <c r="Q728" i="4"/>
  <c r="Q727" i="4"/>
  <c r="Q726" i="4"/>
  <c r="Q725" i="4"/>
  <c r="Q724" i="4"/>
  <c r="Q723" i="4"/>
  <c r="Q722" i="4"/>
  <c r="Q721" i="4"/>
  <c r="Q720" i="4"/>
  <c r="Q719" i="4"/>
  <c r="Q718" i="4"/>
  <c r="Q717" i="4"/>
  <c r="Q716" i="4"/>
  <c r="Q715" i="4"/>
  <c r="Q714" i="4"/>
  <c r="Q713" i="4"/>
  <c r="Q712" i="4"/>
  <c r="Q711" i="4"/>
  <c r="Q710" i="4"/>
  <c r="Q709" i="4"/>
  <c r="Q708" i="4"/>
  <c r="Q707" i="4"/>
  <c r="Q706" i="4"/>
  <c r="Q705" i="4"/>
  <c r="Q704" i="4"/>
  <c r="Q703" i="4"/>
  <c r="Q702" i="4"/>
  <c r="Q701" i="4"/>
  <c r="Q700" i="4"/>
  <c r="Q699" i="4"/>
  <c r="Q698" i="4"/>
  <c r="Q697" i="4"/>
  <c r="Q696" i="4"/>
  <c r="Q695" i="4"/>
  <c r="Q694" i="4"/>
  <c r="Q693" i="4"/>
  <c r="Q692" i="4"/>
  <c r="Q691" i="4"/>
  <c r="Q690" i="4"/>
  <c r="Q689" i="4"/>
  <c r="Q688" i="4"/>
  <c r="Q687" i="4"/>
  <c r="Q686" i="4"/>
  <c r="Q685" i="4"/>
  <c r="Q684" i="4"/>
  <c r="Q683" i="4"/>
  <c r="Q682" i="4"/>
  <c r="Q681" i="4"/>
  <c r="Q680" i="4"/>
  <c r="Q679" i="4"/>
  <c r="Q678" i="4"/>
  <c r="Q677" i="4"/>
  <c r="Q676" i="4"/>
  <c r="Q675" i="4"/>
  <c r="Q674" i="4"/>
  <c r="Q673" i="4"/>
  <c r="Q672" i="4"/>
  <c r="Q671" i="4"/>
  <c r="Q670" i="4"/>
  <c r="Q669" i="4"/>
  <c r="Q668" i="4"/>
  <c r="Q667" i="4"/>
  <c r="Q666" i="4"/>
  <c r="Q665" i="4"/>
  <c r="Q664" i="4"/>
  <c r="Q663" i="4"/>
  <c r="Q662" i="4"/>
  <c r="Q661" i="4"/>
  <c r="Q660" i="4"/>
  <c r="Q659" i="4"/>
  <c r="Q658" i="4"/>
  <c r="Q657" i="4"/>
  <c r="Q656" i="4"/>
  <c r="Q655" i="4"/>
  <c r="Q654" i="4"/>
  <c r="Q653" i="4"/>
  <c r="Q652" i="4"/>
  <c r="Q651" i="4"/>
  <c r="Q650" i="4"/>
  <c r="Q649" i="4"/>
  <c r="Q648" i="4"/>
  <c r="Q647" i="4"/>
  <c r="Q646" i="4"/>
  <c r="Q645" i="4"/>
  <c r="Q644" i="4"/>
  <c r="Q643" i="4"/>
  <c r="Q642" i="4"/>
  <c r="Q641" i="4"/>
  <c r="Q640" i="4"/>
  <c r="Q639" i="4"/>
  <c r="Q638" i="4"/>
  <c r="Q637" i="4"/>
  <c r="Q636" i="4"/>
  <c r="Q635" i="4"/>
  <c r="Q634" i="4"/>
  <c r="Q633" i="4"/>
  <c r="Q632" i="4"/>
  <c r="Q631" i="4"/>
  <c r="Q630" i="4"/>
  <c r="Q629" i="4"/>
  <c r="Q628" i="4"/>
  <c r="N628" i="4"/>
  <c r="M628" i="4"/>
  <c r="L628" i="4"/>
  <c r="K628" i="4"/>
  <c r="J628" i="4"/>
  <c r="I628" i="4"/>
  <c r="H628" i="4"/>
  <c r="G628" i="4"/>
  <c r="F628" i="4"/>
  <c r="E628" i="4"/>
  <c r="D628" i="4"/>
  <c r="C628" i="4"/>
  <c r="B628" i="4"/>
  <c r="A628" i="4"/>
  <c r="Q627" i="4"/>
  <c r="P627" i="4"/>
  <c r="N627" i="4"/>
  <c r="M627" i="4"/>
  <c r="L627" i="4"/>
  <c r="K627" i="4"/>
  <c r="J627" i="4"/>
  <c r="I627" i="4"/>
  <c r="H627" i="4"/>
  <c r="G627" i="4"/>
  <c r="F627" i="4"/>
  <c r="O627" i="4" s="1"/>
  <c r="E627" i="4"/>
  <c r="D627" i="4"/>
  <c r="C627" i="4"/>
  <c r="B627" i="4"/>
  <c r="A627" i="4"/>
  <c r="Q626" i="4"/>
  <c r="N626" i="4"/>
  <c r="M626" i="4"/>
  <c r="L626" i="4"/>
  <c r="K626" i="4"/>
  <c r="J626" i="4"/>
  <c r="I626" i="4"/>
  <c r="H626" i="4"/>
  <c r="G626" i="4"/>
  <c r="F626" i="4"/>
  <c r="E626" i="4"/>
  <c r="D626" i="4"/>
  <c r="C626" i="4"/>
  <c r="B626" i="4"/>
  <c r="A626" i="4"/>
  <c r="N625" i="4"/>
  <c r="M625" i="4"/>
  <c r="L625" i="4"/>
  <c r="K625" i="4"/>
  <c r="J625" i="4"/>
  <c r="I625" i="4"/>
  <c r="H625" i="4"/>
  <c r="G625" i="4"/>
  <c r="F625" i="4"/>
  <c r="E625" i="4"/>
  <c r="Q625" i="4" s="1"/>
  <c r="D625" i="4"/>
  <c r="C625" i="4"/>
  <c r="B625" i="4"/>
  <c r="A625" i="4"/>
  <c r="Q624" i="4"/>
  <c r="N624" i="4"/>
  <c r="M624" i="4"/>
  <c r="L624" i="4"/>
  <c r="K624" i="4"/>
  <c r="J624" i="4"/>
  <c r="I624" i="4"/>
  <c r="H624" i="4"/>
  <c r="G624" i="4"/>
  <c r="F624" i="4"/>
  <c r="E624" i="4"/>
  <c r="D624" i="4"/>
  <c r="C624" i="4"/>
  <c r="B624" i="4"/>
  <c r="A624" i="4"/>
  <c r="Q623" i="4"/>
  <c r="N623" i="4"/>
  <c r="M623" i="4"/>
  <c r="L623" i="4"/>
  <c r="K623" i="4"/>
  <c r="J623" i="4"/>
  <c r="I623" i="4"/>
  <c r="H623" i="4"/>
  <c r="G623" i="4"/>
  <c r="F623" i="4"/>
  <c r="E623" i="4"/>
  <c r="D623" i="4"/>
  <c r="C623" i="4"/>
  <c r="B623" i="4"/>
  <c r="A623" i="4"/>
  <c r="N622" i="4"/>
  <c r="M622" i="4"/>
  <c r="L622" i="4"/>
  <c r="K622" i="4"/>
  <c r="J622" i="4"/>
  <c r="I622" i="4"/>
  <c r="H622" i="4"/>
  <c r="G622" i="4"/>
  <c r="F622" i="4"/>
  <c r="E622" i="4"/>
  <c r="Q622" i="4" s="1"/>
  <c r="D622" i="4"/>
  <c r="C622" i="4"/>
  <c r="B622" i="4"/>
  <c r="A622" i="4"/>
  <c r="Q621" i="4"/>
  <c r="N621" i="4"/>
  <c r="M621" i="4"/>
  <c r="L621" i="4"/>
  <c r="K621" i="4"/>
  <c r="J621" i="4"/>
  <c r="I621" i="4"/>
  <c r="H621" i="4"/>
  <c r="G621" i="4"/>
  <c r="F621" i="4"/>
  <c r="E621" i="4"/>
  <c r="D621" i="4"/>
  <c r="C621" i="4"/>
  <c r="B621" i="4"/>
  <c r="A621" i="4"/>
  <c r="N620" i="4"/>
  <c r="M620" i="4"/>
  <c r="L620" i="4"/>
  <c r="K620" i="4"/>
  <c r="J620" i="4"/>
  <c r="I620" i="4"/>
  <c r="H620" i="4"/>
  <c r="G620" i="4"/>
  <c r="F620" i="4"/>
  <c r="E620" i="4"/>
  <c r="Q620" i="4" s="1"/>
  <c r="D620" i="4"/>
  <c r="C620" i="4"/>
  <c r="B620" i="4"/>
  <c r="A620" i="4"/>
  <c r="N619" i="4"/>
  <c r="M619" i="4"/>
  <c r="L619" i="4"/>
  <c r="K619" i="4"/>
  <c r="J619" i="4"/>
  <c r="I619" i="4"/>
  <c r="H619" i="4"/>
  <c r="G619" i="4"/>
  <c r="F619" i="4"/>
  <c r="E619" i="4"/>
  <c r="Q619" i="4" s="1"/>
  <c r="D619" i="4"/>
  <c r="C619" i="4"/>
  <c r="B619" i="4"/>
  <c r="A619" i="4"/>
  <c r="N618" i="4"/>
  <c r="M618" i="4"/>
  <c r="L618" i="4"/>
  <c r="K618" i="4"/>
  <c r="J618" i="4"/>
  <c r="I618" i="4"/>
  <c r="H618" i="4"/>
  <c r="G618" i="4"/>
  <c r="F618" i="4"/>
  <c r="E618" i="4"/>
  <c r="Q618" i="4" s="1"/>
  <c r="D618" i="4"/>
  <c r="C618" i="4"/>
  <c r="B618" i="4"/>
  <c r="A618" i="4"/>
  <c r="N617" i="4"/>
  <c r="M617" i="4"/>
  <c r="L617" i="4"/>
  <c r="K617" i="4"/>
  <c r="J617" i="4"/>
  <c r="I617" i="4"/>
  <c r="H617" i="4"/>
  <c r="G617" i="4"/>
  <c r="F617" i="4"/>
  <c r="E617" i="4"/>
  <c r="Q617" i="4" s="1"/>
  <c r="D617" i="4"/>
  <c r="C617" i="4"/>
  <c r="B617" i="4"/>
  <c r="A617" i="4"/>
  <c r="N616" i="4"/>
  <c r="M616" i="4"/>
  <c r="L616" i="4"/>
  <c r="K616" i="4"/>
  <c r="J616" i="4"/>
  <c r="I616" i="4"/>
  <c r="H616" i="4"/>
  <c r="G616" i="4"/>
  <c r="F616" i="4"/>
  <c r="E616" i="4"/>
  <c r="Q616" i="4" s="1"/>
  <c r="D616" i="4"/>
  <c r="C616" i="4"/>
  <c r="B616" i="4"/>
  <c r="A616" i="4"/>
  <c r="N615" i="4"/>
  <c r="M615" i="4"/>
  <c r="L615" i="4"/>
  <c r="K615" i="4"/>
  <c r="J615" i="4"/>
  <c r="I615" i="4"/>
  <c r="H615" i="4"/>
  <c r="G615" i="4"/>
  <c r="F615" i="4"/>
  <c r="E615" i="4"/>
  <c r="Q615" i="4" s="1"/>
  <c r="D615" i="4"/>
  <c r="C615" i="4"/>
  <c r="B615" i="4"/>
  <c r="A615" i="4"/>
  <c r="N614" i="4"/>
  <c r="M614" i="4"/>
  <c r="L614" i="4"/>
  <c r="K614" i="4"/>
  <c r="J614" i="4"/>
  <c r="I614" i="4"/>
  <c r="H614" i="4"/>
  <c r="G614" i="4"/>
  <c r="F614" i="4"/>
  <c r="E614" i="4"/>
  <c r="Q614" i="4" s="1"/>
  <c r="D614" i="4"/>
  <c r="C614" i="4"/>
  <c r="B614" i="4"/>
  <c r="A614" i="4"/>
  <c r="Q613" i="4"/>
  <c r="N613" i="4"/>
  <c r="M613" i="4"/>
  <c r="L613" i="4"/>
  <c r="K613" i="4"/>
  <c r="J613" i="4"/>
  <c r="I613" i="4"/>
  <c r="H613" i="4"/>
  <c r="G613" i="4"/>
  <c r="F613" i="4"/>
  <c r="E613" i="4"/>
  <c r="D613" i="4"/>
  <c r="C613" i="4"/>
  <c r="B613" i="4"/>
  <c r="A613" i="4"/>
  <c r="Q612" i="4"/>
  <c r="N612" i="4"/>
  <c r="M612" i="4"/>
  <c r="L612" i="4"/>
  <c r="K612" i="4"/>
  <c r="J612" i="4"/>
  <c r="I612" i="4"/>
  <c r="H612" i="4"/>
  <c r="G612" i="4"/>
  <c r="F612" i="4"/>
  <c r="E612" i="4"/>
  <c r="D612" i="4"/>
  <c r="C612" i="4"/>
  <c r="B612" i="4"/>
  <c r="A612" i="4"/>
  <c r="N611" i="4"/>
  <c r="M611" i="4"/>
  <c r="L611" i="4"/>
  <c r="K611" i="4"/>
  <c r="J611" i="4"/>
  <c r="I611" i="4"/>
  <c r="H611" i="4"/>
  <c r="G611" i="4"/>
  <c r="F611" i="4"/>
  <c r="E611" i="4"/>
  <c r="Q611" i="4" s="1"/>
  <c r="D611" i="4"/>
  <c r="C611" i="4"/>
  <c r="B611" i="4"/>
  <c r="A611" i="4"/>
  <c r="N610" i="4"/>
  <c r="M610" i="4"/>
  <c r="L610" i="4"/>
  <c r="K610" i="4"/>
  <c r="J610" i="4"/>
  <c r="I610" i="4"/>
  <c r="H610" i="4"/>
  <c r="G610" i="4"/>
  <c r="F610" i="4"/>
  <c r="E610" i="4"/>
  <c r="Q610" i="4" s="1"/>
  <c r="D610" i="4"/>
  <c r="C610" i="4"/>
  <c r="B610" i="4"/>
  <c r="A610" i="4"/>
  <c r="N609" i="4"/>
  <c r="M609" i="4"/>
  <c r="L609" i="4"/>
  <c r="K609" i="4"/>
  <c r="J609" i="4"/>
  <c r="I609" i="4"/>
  <c r="H609" i="4"/>
  <c r="G609" i="4"/>
  <c r="F609" i="4"/>
  <c r="E609" i="4"/>
  <c r="Q609" i="4" s="1"/>
  <c r="D609" i="4"/>
  <c r="C609" i="4"/>
  <c r="B609" i="4"/>
  <c r="A609" i="4"/>
  <c r="N608" i="4"/>
  <c r="M608" i="4"/>
  <c r="L608" i="4"/>
  <c r="K608" i="4"/>
  <c r="J608" i="4"/>
  <c r="I608" i="4"/>
  <c r="H608" i="4"/>
  <c r="G608" i="4"/>
  <c r="F608" i="4"/>
  <c r="E608" i="4"/>
  <c r="Q608" i="4" s="1"/>
  <c r="D608" i="4"/>
  <c r="C608" i="4"/>
  <c r="B608" i="4"/>
  <c r="A608" i="4"/>
  <c r="Q607" i="4"/>
  <c r="N607" i="4"/>
  <c r="M607" i="4"/>
  <c r="L607" i="4"/>
  <c r="K607" i="4"/>
  <c r="J607" i="4"/>
  <c r="I607" i="4"/>
  <c r="H607" i="4"/>
  <c r="G607" i="4"/>
  <c r="F607" i="4"/>
  <c r="E607" i="4"/>
  <c r="D607" i="4"/>
  <c r="C607" i="4"/>
  <c r="B607" i="4"/>
  <c r="A607" i="4"/>
  <c r="Q606" i="4"/>
  <c r="N606" i="4"/>
  <c r="M606" i="4"/>
  <c r="L606" i="4"/>
  <c r="K606" i="4"/>
  <c r="J606" i="4"/>
  <c r="I606" i="4"/>
  <c r="H606" i="4"/>
  <c r="G606" i="4"/>
  <c r="F606" i="4"/>
  <c r="E606" i="4"/>
  <c r="D606" i="4"/>
  <c r="C606" i="4"/>
  <c r="B606" i="4"/>
  <c r="A606" i="4"/>
  <c r="Q605" i="4"/>
  <c r="N605" i="4"/>
  <c r="M605" i="4"/>
  <c r="L605" i="4"/>
  <c r="K605" i="4"/>
  <c r="J605" i="4"/>
  <c r="I605" i="4"/>
  <c r="H605" i="4"/>
  <c r="G605" i="4"/>
  <c r="F605" i="4"/>
  <c r="E605" i="4"/>
  <c r="D605" i="4"/>
  <c r="C605" i="4"/>
  <c r="B605" i="4"/>
  <c r="A605" i="4"/>
  <c r="Q604" i="4"/>
  <c r="N604" i="4"/>
  <c r="M604" i="4"/>
  <c r="L604" i="4"/>
  <c r="K604" i="4"/>
  <c r="J604" i="4"/>
  <c r="I604" i="4"/>
  <c r="H604" i="4"/>
  <c r="G604" i="4"/>
  <c r="F604" i="4"/>
  <c r="E604" i="4"/>
  <c r="D604" i="4"/>
  <c r="C604" i="4"/>
  <c r="B604" i="4"/>
  <c r="A604" i="4"/>
  <c r="N603" i="4"/>
  <c r="M603" i="4"/>
  <c r="L603" i="4"/>
  <c r="K603" i="4"/>
  <c r="J603" i="4"/>
  <c r="I603" i="4"/>
  <c r="H603" i="4"/>
  <c r="G603" i="4"/>
  <c r="F603" i="4"/>
  <c r="E603" i="4"/>
  <c r="Q603" i="4" s="1"/>
  <c r="D603" i="4"/>
  <c r="C603" i="4"/>
  <c r="B603" i="4"/>
  <c r="A603" i="4"/>
  <c r="N602" i="4"/>
  <c r="M602" i="4"/>
  <c r="L602" i="4"/>
  <c r="K602" i="4"/>
  <c r="J602" i="4"/>
  <c r="I602" i="4"/>
  <c r="H602" i="4"/>
  <c r="G602" i="4"/>
  <c r="F602" i="4"/>
  <c r="E602" i="4"/>
  <c r="Q602" i="4" s="1"/>
  <c r="D602" i="4"/>
  <c r="C602" i="4"/>
  <c r="B602" i="4"/>
  <c r="A602" i="4"/>
  <c r="N601" i="4"/>
  <c r="M601" i="4"/>
  <c r="L601" i="4"/>
  <c r="K601" i="4"/>
  <c r="J601" i="4"/>
  <c r="I601" i="4"/>
  <c r="H601" i="4"/>
  <c r="G601" i="4"/>
  <c r="F601" i="4"/>
  <c r="E601" i="4"/>
  <c r="Q601" i="4" s="1"/>
  <c r="D601" i="4"/>
  <c r="C601" i="4"/>
  <c r="B601" i="4"/>
  <c r="A601" i="4"/>
  <c r="N600" i="4"/>
  <c r="M600" i="4"/>
  <c r="L600" i="4"/>
  <c r="K600" i="4"/>
  <c r="J600" i="4"/>
  <c r="I600" i="4"/>
  <c r="H600" i="4"/>
  <c r="G600" i="4"/>
  <c r="F600" i="4"/>
  <c r="E600" i="4"/>
  <c r="Q600" i="4" s="1"/>
  <c r="D600" i="4"/>
  <c r="C600" i="4"/>
  <c r="B600" i="4"/>
  <c r="A600" i="4"/>
  <c r="N599" i="4"/>
  <c r="M599" i="4"/>
  <c r="L599" i="4"/>
  <c r="K599" i="4"/>
  <c r="J599" i="4"/>
  <c r="I599" i="4"/>
  <c r="H599" i="4"/>
  <c r="G599" i="4"/>
  <c r="F599" i="4"/>
  <c r="E599" i="4"/>
  <c r="Q599" i="4" s="1"/>
  <c r="D599" i="4"/>
  <c r="C599" i="4"/>
  <c r="B599" i="4"/>
  <c r="A599" i="4"/>
  <c r="N598" i="4"/>
  <c r="M598" i="4"/>
  <c r="L598" i="4"/>
  <c r="K598" i="4"/>
  <c r="J598" i="4"/>
  <c r="I598" i="4"/>
  <c r="H598" i="4"/>
  <c r="G598" i="4"/>
  <c r="F598" i="4"/>
  <c r="E598" i="4"/>
  <c r="Q598" i="4" s="1"/>
  <c r="D598" i="4"/>
  <c r="C598" i="4"/>
  <c r="B598" i="4"/>
  <c r="A598" i="4"/>
  <c r="Q597" i="4"/>
  <c r="N597" i="4"/>
  <c r="M597" i="4"/>
  <c r="L597" i="4"/>
  <c r="K597" i="4"/>
  <c r="J597" i="4"/>
  <c r="I597" i="4"/>
  <c r="H597" i="4"/>
  <c r="G597" i="4"/>
  <c r="F597" i="4"/>
  <c r="E597" i="4"/>
  <c r="D597" i="4"/>
  <c r="C597" i="4"/>
  <c r="B597" i="4"/>
  <c r="A597" i="4"/>
  <c r="Q596" i="4"/>
  <c r="N596" i="4"/>
  <c r="M596" i="4"/>
  <c r="L596" i="4"/>
  <c r="K596" i="4"/>
  <c r="J596" i="4"/>
  <c r="I596" i="4"/>
  <c r="H596" i="4"/>
  <c r="G596" i="4"/>
  <c r="F596" i="4"/>
  <c r="E596" i="4"/>
  <c r="D596" i="4"/>
  <c r="C596" i="4"/>
  <c r="B596" i="4"/>
  <c r="A596" i="4"/>
  <c r="Q595" i="4"/>
  <c r="N595" i="4"/>
  <c r="M595" i="4"/>
  <c r="L595" i="4"/>
  <c r="K595" i="4"/>
  <c r="J595" i="4"/>
  <c r="I595" i="4"/>
  <c r="H595" i="4"/>
  <c r="G595" i="4"/>
  <c r="F595" i="4"/>
  <c r="E595" i="4"/>
  <c r="D595" i="4"/>
  <c r="C595" i="4"/>
  <c r="B595" i="4"/>
  <c r="A595" i="4"/>
  <c r="Q594" i="4"/>
  <c r="N594" i="4"/>
  <c r="M594" i="4"/>
  <c r="L594" i="4"/>
  <c r="K594" i="4"/>
  <c r="J594" i="4"/>
  <c r="I594" i="4"/>
  <c r="H594" i="4"/>
  <c r="G594" i="4"/>
  <c r="F594" i="4"/>
  <c r="E594" i="4"/>
  <c r="D594" i="4"/>
  <c r="C594" i="4"/>
  <c r="B594" i="4"/>
  <c r="A594" i="4"/>
  <c r="N593" i="4"/>
  <c r="M593" i="4"/>
  <c r="L593" i="4"/>
  <c r="K593" i="4"/>
  <c r="J593" i="4"/>
  <c r="I593" i="4"/>
  <c r="H593" i="4"/>
  <c r="G593" i="4"/>
  <c r="F593" i="4"/>
  <c r="E593" i="4"/>
  <c r="Q593" i="4" s="1"/>
  <c r="D593" i="4"/>
  <c r="C593" i="4"/>
  <c r="B593" i="4"/>
  <c r="A593" i="4"/>
  <c r="Q592" i="4"/>
  <c r="N592" i="4"/>
  <c r="M592" i="4"/>
  <c r="L592" i="4"/>
  <c r="K592" i="4"/>
  <c r="J592" i="4"/>
  <c r="I592" i="4"/>
  <c r="H592" i="4"/>
  <c r="G592" i="4"/>
  <c r="F592" i="4"/>
  <c r="E592" i="4"/>
  <c r="D592" i="4"/>
  <c r="C592" i="4"/>
  <c r="B592" i="4"/>
  <c r="A592" i="4"/>
  <c r="Q591" i="4"/>
  <c r="N591" i="4"/>
  <c r="M591" i="4"/>
  <c r="L591" i="4"/>
  <c r="K591" i="4"/>
  <c r="J591" i="4"/>
  <c r="I591" i="4"/>
  <c r="H591" i="4"/>
  <c r="G591" i="4"/>
  <c r="F591" i="4"/>
  <c r="E591" i="4"/>
  <c r="D591" i="4"/>
  <c r="C591" i="4"/>
  <c r="B591" i="4"/>
  <c r="A591" i="4"/>
  <c r="Q590" i="4"/>
  <c r="N590" i="4"/>
  <c r="M590" i="4"/>
  <c r="L590" i="4"/>
  <c r="K590" i="4"/>
  <c r="J590" i="4"/>
  <c r="I590" i="4"/>
  <c r="H590" i="4"/>
  <c r="G590" i="4"/>
  <c r="F590" i="4"/>
  <c r="E590" i="4"/>
  <c r="D590" i="4"/>
  <c r="C590" i="4"/>
  <c r="B590" i="4"/>
  <c r="A590" i="4"/>
  <c r="Q589" i="4"/>
  <c r="N589" i="4"/>
  <c r="M589" i="4"/>
  <c r="L589" i="4"/>
  <c r="K589" i="4"/>
  <c r="J589" i="4"/>
  <c r="I589" i="4"/>
  <c r="H589" i="4"/>
  <c r="G589" i="4"/>
  <c r="F589" i="4"/>
  <c r="E589" i="4"/>
  <c r="D589" i="4"/>
  <c r="C589" i="4"/>
  <c r="B589" i="4"/>
  <c r="A589" i="4"/>
  <c r="N588" i="4"/>
  <c r="M588" i="4"/>
  <c r="L588" i="4"/>
  <c r="K588" i="4"/>
  <c r="J588" i="4"/>
  <c r="I588" i="4"/>
  <c r="H588" i="4"/>
  <c r="G588" i="4"/>
  <c r="F588" i="4"/>
  <c r="E588" i="4"/>
  <c r="Q588" i="4" s="1"/>
  <c r="D588" i="4"/>
  <c r="C588" i="4"/>
  <c r="B588" i="4"/>
  <c r="A588" i="4"/>
  <c r="N587" i="4"/>
  <c r="M587" i="4"/>
  <c r="L587" i="4"/>
  <c r="K587" i="4"/>
  <c r="J587" i="4"/>
  <c r="I587" i="4"/>
  <c r="H587" i="4"/>
  <c r="G587" i="4"/>
  <c r="F587" i="4"/>
  <c r="E587" i="4"/>
  <c r="Q587" i="4" s="1"/>
  <c r="D587" i="4"/>
  <c r="C587" i="4"/>
  <c r="B587" i="4"/>
  <c r="A587" i="4"/>
  <c r="N586" i="4"/>
  <c r="M586" i="4"/>
  <c r="L586" i="4"/>
  <c r="K586" i="4"/>
  <c r="J586" i="4"/>
  <c r="I586" i="4"/>
  <c r="H586" i="4"/>
  <c r="G586" i="4"/>
  <c r="F586" i="4"/>
  <c r="E586" i="4"/>
  <c r="Q586" i="4" s="1"/>
  <c r="D586" i="4"/>
  <c r="C586" i="4"/>
  <c r="B586" i="4"/>
  <c r="A586" i="4"/>
  <c r="N585" i="4"/>
  <c r="M585" i="4"/>
  <c r="L585" i="4"/>
  <c r="K585" i="4"/>
  <c r="J585" i="4"/>
  <c r="I585" i="4"/>
  <c r="H585" i="4"/>
  <c r="G585" i="4"/>
  <c r="F585" i="4"/>
  <c r="E585" i="4"/>
  <c r="Q585" i="4" s="1"/>
  <c r="D585" i="4"/>
  <c r="C585" i="4"/>
  <c r="B585" i="4"/>
  <c r="A585" i="4"/>
  <c r="Q584" i="4"/>
  <c r="N584" i="4"/>
  <c r="M584" i="4"/>
  <c r="L584" i="4"/>
  <c r="K584" i="4"/>
  <c r="J584" i="4"/>
  <c r="I584" i="4"/>
  <c r="H584" i="4"/>
  <c r="G584" i="4"/>
  <c r="F584" i="4"/>
  <c r="E584" i="4"/>
  <c r="D584" i="4"/>
  <c r="C584" i="4"/>
  <c r="B584" i="4"/>
  <c r="A584" i="4"/>
  <c r="N583" i="4"/>
  <c r="M583" i="4"/>
  <c r="L583" i="4"/>
  <c r="K583" i="4"/>
  <c r="J583" i="4"/>
  <c r="I583" i="4"/>
  <c r="H583" i="4"/>
  <c r="G583" i="4"/>
  <c r="F583" i="4"/>
  <c r="E583" i="4"/>
  <c r="Q583" i="4" s="1"/>
  <c r="D583" i="4"/>
  <c r="C583" i="4"/>
  <c r="B583" i="4"/>
  <c r="A583" i="4"/>
  <c r="Q582" i="4"/>
  <c r="N582" i="4"/>
  <c r="M582" i="4"/>
  <c r="L582" i="4"/>
  <c r="K582" i="4"/>
  <c r="J582" i="4"/>
  <c r="I582" i="4"/>
  <c r="H582" i="4"/>
  <c r="G582" i="4"/>
  <c r="F582" i="4"/>
  <c r="E582" i="4"/>
  <c r="D582" i="4"/>
  <c r="C582" i="4"/>
  <c r="B582" i="4"/>
  <c r="A582" i="4"/>
  <c r="Q581" i="4"/>
  <c r="N581" i="4"/>
  <c r="M581" i="4"/>
  <c r="L581" i="4"/>
  <c r="K581" i="4"/>
  <c r="J581" i="4"/>
  <c r="I581" i="4"/>
  <c r="H581" i="4"/>
  <c r="G581" i="4"/>
  <c r="F581" i="4"/>
  <c r="E581" i="4"/>
  <c r="D581" i="4"/>
  <c r="C581" i="4"/>
  <c r="B581" i="4"/>
  <c r="A581" i="4"/>
  <c r="Q580" i="4"/>
  <c r="N580" i="4"/>
  <c r="M580" i="4"/>
  <c r="L580" i="4"/>
  <c r="K580" i="4"/>
  <c r="J580" i="4"/>
  <c r="I580" i="4"/>
  <c r="H580" i="4"/>
  <c r="G580" i="4"/>
  <c r="F580" i="4"/>
  <c r="E580" i="4"/>
  <c r="D580" i="4"/>
  <c r="C580" i="4"/>
  <c r="B580" i="4"/>
  <c r="A580" i="4"/>
  <c r="N579" i="4"/>
  <c r="M579" i="4"/>
  <c r="L579" i="4"/>
  <c r="K579" i="4"/>
  <c r="J579" i="4"/>
  <c r="I579" i="4"/>
  <c r="H579" i="4"/>
  <c r="G579" i="4"/>
  <c r="F579" i="4"/>
  <c r="E579" i="4"/>
  <c r="Q579" i="4" s="1"/>
  <c r="D579" i="4"/>
  <c r="C579" i="4"/>
  <c r="B579" i="4"/>
  <c r="A579" i="4"/>
  <c r="Q578" i="4"/>
  <c r="N578" i="4"/>
  <c r="M578" i="4"/>
  <c r="L578" i="4"/>
  <c r="K578" i="4"/>
  <c r="J578" i="4"/>
  <c r="I578" i="4"/>
  <c r="H578" i="4"/>
  <c r="G578" i="4"/>
  <c r="F578" i="4"/>
  <c r="E578" i="4"/>
  <c r="D578" i="4"/>
  <c r="C578" i="4"/>
  <c r="B578" i="4"/>
  <c r="A578" i="4"/>
  <c r="N577" i="4"/>
  <c r="M577" i="4"/>
  <c r="L577" i="4"/>
  <c r="K577" i="4"/>
  <c r="J577" i="4"/>
  <c r="I577" i="4"/>
  <c r="H577" i="4"/>
  <c r="G577" i="4"/>
  <c r="F577" i="4"/>
  <c r="E577" i="4"/>
  <c r="Q577" i="4" s="1"/>
  <c r="D577" i="4"/>
  <c r="C577" i="4"/>
  <c r="B577" i="4"/>
  <c r="A577" i="4"/>
  <c r="N576" i="4"/>
  <c r="M576" i="4"/>
  <c r="L576" i="4"/>
  <c r="K576" i="4"/>
  <c r="J576" i="4"/>
  <c r="I576" i="4"/>
  <c r="H576" i="4"/>
  <c r="G576" i="4"/>
  <c r="F576" i="4"/>
  <c r="E576" i="4"/>
  <c r="Q576" i="4" s="1"/>
  <c r="D576" i="4"/>
  <c r="C576" i="4"/>
  <c r="B576" i="4"/>
  <c r="A576" i="4"/>
  <c r="N575" i="4"/>
  <c r="M575" i="4"/>
  <c r="L575" i="4"/>
  <c r="K575" i="4"/>
  <c r="J575" i="4"/>
  <c r="I575" i="4"/>
  <c r="H575" i="4"/>
  <c r="G575" i="4"/>
  <c r="F575" i="4"/>
  <c r="E575" i="4"/>
  <c r="Q575" i="4" s="1"/>
  <c r="D575" i="4"/>
  <c r="C575" i="4"/>
  <c r="B575" i="4"/>
  <c r="A575" i="4"/>
  <c r="N574" i="4"/>
  <c r="M574" i="4"/>
  <c r="L574" i="4"/>
  <c r="K574" i="4"/>
  <c r="J574" i="4"/>
  <c r="I574" i="4"/>
  <c r="H574" i="4"/>
  <c r="G574" i="4"/>
  <c r="F574" i="4"/>
  <c r="E574" i="4"/>
  <c r="Q574" i="4" s="1"/>
  <c r="D574" i="4"/>
  <c r="C574" i="4"/>
  <c r="B574" i="4"/>
  <c r="A574" i="4"/>
  <c r="Q573" i="4"/>
  <c r="N573" i="4"/>
  <c r="M573" i="4"/>
  <c r="L573" i="4"/>
  <c r="K573" i="4"/>
  <c r="J573" i="4"/>
  <c r="I573" i="4"/>
  <c r="H573" i="4"/>
  <c r="G573" i="4"/>
  <c r="F573" i="4"/>
  <c r="E573" i="4"/>
  <c r="D573" i="4"/>
  <c r="C573" i="4"/>
  <c r="B573" i="4"/>
  <c r="A573" i="4"/>
  <c r="Q572" i="4"/>
  <c r="N572" i="4"/>
  <c r="M572" i="4"/>
  <c r="L572" i="4"/>
  <c r="K572" i="4"/>
  <c r="J572" i="4"/>
  <c r="I572" i="4"/>
  <c r="H572" i="4"/>
  <c r="G572" i="4"/>
  <c r="F572" i="4"/>
  <c r="E572" i="4"/>
  <c r="D572" i="4"/>
  <c r="C572" i="4"/>
  <c r="B572" i="4"/>
  <c r="A572" i="4"/>
  <c r="Q571" i="4"/>
  <c r="N571" i="4"/>
  <c r="M571" i="4"/>
  <c r="L571" i="4"/>
  <c r="K571" i="4"/>
  <c r="J571" i="4"/>
  <c r="I571" i="4"/>
  <c r="H571" i="4"/>
  <c r="G571" i="4"/>
  <c r="F571" i="4"/>
  <c r="E571" i="4"/>
  <c r="D571" i="4"/>
  <c r="C571" i="4"/>
  <c r="B571" i="4"/>
  <c r="A571" i="4"/>
  <c r="Q570" i="4"/>
  <c r="N570" i="4"/>
  <c r="M570" i="4"/>
  <c r="L570" i="4"/>
  <c r="K570" i="4"/>
  <c r="J570" i="4"/>
  <c r="I570" i="4"/>
  <c r="H570" i="4"/>
  <c r="G570" i="4"/>
  <c r="F570" i="4"/>
  <c r="E570" i="4"/>
  <c r="D570" i="4"/>
  <c r="C570" i="4"/>
  <c r="B570" i="4"/>
  <c r="A570" i="4"/>
  <c r="N569" i="4"/>
  <c r="M569" i="4"/>
  <c r="L569" i="4"/>
  <c r="K569" i="4"/>
  <c r="J569" i="4"/>
  <c r="I569" i="4"/>
  <c r="H569" i="4"/>
  <c r="G569" i="4"/>
  <c r="F569" i="4"/>
  <c r="E569" i="4"/>
  <c r="Q569" i="4" s="1"/>
  <c r="D569" i="4"/>
  <c r="C569" i="4"/>
  <c r="B569" i="4"/>
  <c r="A569" i="4"/>
  <c r="Q568" i="4"/>
  <c r="N568" i="4"/>
  <c r="M568" i="4"/>
  <c r="L568" i="4"/>
  <c r="K568" i="4"/>
  <c r="J568" i="4"/>
  <c r="I568" i="4"/>
  <c r="H568" i="4"/>
  <c r="G568" i="4"/>
  <c r="F568" i="4"/>
  <c r="E568" i="4"/>
  <c r="D568" i="4"/>
  <c r="C568" i="4"/>
  <c r="B568" i="4"/>
  <c r="A568" i="4"/>
  <c r="Q567" i="4"/>
  <c r="N567" i="4"/>
  <c r="M567" i="4"/>
  <c r="L567" i="4"/>
  <c r="K567" i="4"/>
  <c r="J567" i="4"/>
  <c r="I567" i="4"/>
  <c r="H567" i="4"/>
  <c r="G567" i="4"/>
  <c r="F567" i="4"/>
  <c r="E567" i="4"/>
  <c r="D567" i="4"/>
  <c r="C567" i="4"/>
  <c r="B567" i="4"/>
  <c r="A567" i="4"/>
  <c r="Q566" i="4"/>
  <c r="N566" i="4"/>
  <c r="M566" i="4"/>
  <c r="L566" i="4"/>
  <c r="K566" i="4"/>
  <c r="J566" i="4"/>
  <c r="I566" i="4"/>
  <c r="H566" i="4"/>
  <c r="G566" i="4"/>
  <c r="F566" i="4"/>
  <c r="E566" i="4"/>
  <c r="D566" i="4"/>
  <c r="C566" i="4"/>
  <c r="B566" i="4"/>
  <c r="A566" i="4"/>
  <c r="Q565" i="4"/>
  <c r="N565" i="4"/>
  <c r="M565" i="4"/>
  <c r="L565" i="4"/>
  <c r="K565" i="4"/>
  <c r="J565" i="4"/>
  <c r="I565" i="4"/>
  <c r="H565" i="4"/>
  <c r="G565" i="4"/>
  <c r="F565" i="4"/>
  <c r="E565" i="4"/>
  <c r="D565" i="4"/>
  <c r="C565" i="4"/>
  <c r="B565" i="4"/>
  <c r="A565" i="4"/>
  <c r="N564" i="4"/>
  <c r="M564" i="4"/>
  <c r="L564" i="4"/>
  <c r="K564" i="4"/>
  <c r="J564" i="4"/>
  <c r="I564" i="4"/>
  <c r="H564" i="4"/>
  <c r="G564" i="4"/>
  <c r="F564" i="4"/>
  <c r="E564" i="4"/>
  <c r="Q564" i="4" s="1"/>
  <c r="D564" i="4"/>
  <c r="C564" i="4"/>
  <c r="B564" i="4"/>
  <c r="A564" i="4"/>
  <c r="Q563" i="4"/>
  <c r="N563" i="4"/>
  <c r="M563" i="4"/>
  <c r="L563" i="4"/>
  <c r="K563" i="4"/>
  <c r="J563" i="4"/>
  <c r="I563" i="4"/>
  <c r="H563" i="4"/>
  <c r="G563" i="4"/>
  <c r="F563" i="4"/>
  <c r="E563" i="4"/>
  <c r="D563" i="4"/>
  <c r="C563" i="4"/>
  <c r="B563" i="4"/>
  <c r="A563" i="4"/>
  <c r="Q562" i="4"/>
  <c r="N562" i="4"/>
  <c r="M562" i="4"/>
  <c r="L562" i="4"/>
  <c r="K562" i="4"/>
  <c r="J562" i="4"/>
  <c r="I562" i="4"/>
  <c r="H562" i="4"/>
  <c r="G562" i="4"/>
  <c r="F562" i="4"/>
  <c r="E562" i="4"/>
  <c r="D562" i="4"/>
  <c r="C562" i="4"/>
  <c r="B562" i="4"/>
  <c r="A562" i="4"/>
  <c r="N561" i="4"/>
  <c r="M561" i="4"/>
  <c r="L561" i="4"/>
  <c r="K561" i="4"/>
  <c r="J561" i="4"/>
  <c r="I561" i="4"/>
  <c r="H561" i="4"/>
  <c r="G561" i="4"/>
  <c r="F561" i="4"/>
  <c r="E561" i="4"/>
  <c r="Q561" i="4" s="1"/>
  <c r="D561" i="4"/>
  <c r="C561" i="4"/>
  <c r="B561" i="4"/>
  <c r="A561" i="4"/>
  <c r="N560" i="4"/>
  <c r="M560" i="4"/>
  <c r="L560" i="4"/>
  <c r="K560" i="4"/>
  <c r="J560" i="4"/>
  <c r="I560" i="4"/>
  <c r="H560" i="4"/>
  <c r="G560" i="4"/>
  <c r="F560" i="4"/>
  <c r="E560" i="4"/>
  <c r="Q560" i="4" s="1"/>
  <c r="D560" i="4"/>
  <c r="C560" i="4"/>
  <c r="B560" i="4"/>
  <c r="A560" i="4"/>
  <c r="N559" i="4"/>
  <c r="M559" i="4"/>
  <c r="L559" i="4"/>
  <c r="K559" i="4"/>
  <c r="J559" i="4"/>
  <c r="I559" i="4"/>
  <c r="H559" i="4"/>
  <c r="G559" i="4"/>
  <c r="F559" i="4"/>
  <c r="E559" i="4"/>
  <c r="Q559" i="4" s="1"/>
  <c r="D559" i="4"/>
  <c r="C559" i="4"/>
  <c r="B559" i="4"/>
  <c r="A559" i="4"/>
  <c r="Q558" i="4"/>
  <c r="N558" i="4"/>
  <c r="M558" i="4"/>
  <c r="L558" i="4"/>
  <c r="K558" i="4"/>
  <c r="J558" i="4"/>
  <c r="I558" i="4"/>
  <c r="H558" i="4"/>
  <c r="G558" i="4"/>
  <c r="F558" i="4"/>
  <c r="E558" i="4"/>
  <c r="D558" i="4"/>
  <c r="C558" i="4"/>
  <c r="B558" i="4"/>
  <c r="A558" i="4"/>
  <c r="Q557" i="4"/>
  <c r="N557" i="4"/>
  <c r="M557" i="4"/>
  <c r="L557" i="4"/>
  <c r="K557" i="4"/>
  <c r="J557" i="4"/>
  <c r="I557" i="4"/>
  <c r="H557" i="4"/>
  <c r="G557" i="4"/>
  <c r="F557" i="4"/>
  <c r="E557" i="4"/>
  <c r="D557" i="4"/>
  <c r="C557" i="4"/>
  <c r="B557" i="4"/>
  <c r="A557" i="4"/>
  <c r="N556" i="4"/>
  <c r="M556" i="4"/>
  <c r="L556" i="4"/>
  <c r="K556" i="4"/>
  <c r="J556" i="4"/>
  <c r="I556" i="4"/>
  <c r="H556" i="4"/>
  <c r="G556" i="4"/>
  <c r="F556" i="4"/>
  <c r="E556" i="4"/>
  <c r="Q556" i="4" s="1"/>
  <c r="D556" i="4"/>
  <c r="C556" i="4"/>
  <c r="B556" i="4"/>
  <c r="A556" i="4"/>
  <c r="N555" i="4"/>
  <c r="M555" i="4"/>
  <c r="L555" i="4"/>
  <c r="K555" i="4"/>
  <c r="J555" i="4"/>
  <c r="I555" i="4"/>
  <c r="H555" i="4"/>
  <c r="G555" i="4"/>
  <c r="F555" i="4"/>
  <c r="E555" i="4"/>
  <c r="Q555" i="4" s="1"/>
  <c r="D555" i="4"/>
  <c r="C555" i="4"/>
  <c r="B555" i="4"/>
  <c r="A555" i="4"/>
  <c r="Q554" i="4"/>
  <c r="N554" i="4"/>
  <c r="M554" i="4"/>
  <c r="L554" i="4"/>
  <c r="K554" i="4"/>
  <c r="J554" i="4"/>
  <c r="I554" i="4"/>
  <c r="H554" i="4"/>
  <c r="G554" i="4"/>
  <c r="F554" i="4"/>
  <c r="E554" i="4"/>
  <c r="D554" i="4"/>
  <c r="C554" i="4"/>
  <c r="B554" i="4"/>
  <c r="A554" i="4"/>
  <c r="N553" i="4"/>
  <c r="M553" i="4"/>
  <c r="L553" i="4"/>
  <c r="K553" i="4"/>
  <c r="J553" i="4"/>
  <c r="I553" i="4"/>
  <c r="H553" i="4"/>
  <c r="G553" i="4"/>
  <c r="F553" i="4"/>
  <c r="E553" i="4"/>
  <c r="Q553" i="4" s="1"/>
  <c r="D553" i="4"/>
  <c r="C553" i="4"/>
  <c r="B553" i="4"/>
  <c r="A553" i="4"/>
  <c r="N552" i="4"/>
  <c r="M552" i="4"/>
  <c r="L552" i="4"/>
  <c r="K552" i="4"/>
  <c r="J552" i="4"/>
  <c r="I552" i="4"/>
  <c r="H552" i="4"/>
  <c r="G552" i="4"/>
  <c r="F552" i="4"/>
  <c r="E552" i="4"/>
  <c r="Q552" i="4" s="1"/>
  <c r="D552" i="4"/>
  <c r="C552" i="4"/>
  <c r="B552" i="4"/>
  <c r="A552" i="4"/>
  <c r="Q551" i="4"/>
  <c r="N551" i="4"/>
  <c r="M551" i="4"/>
  <c r="L551" i="4"/>
  <c r="K551" i="4"/>
  <c r="J551" i="4"/>
  <c r="I551" i="4"/>
  <c r="H551" i="4"/>
  <c r="G551" i="4"/>
  <c r="F551" i="4"/>
  <c r="E551" i="4"/>
  <c r="D551" i="4"/>
  <c r="C551" i="4"/>
  <c r="B551" i="4"/>
  <c r="A551" i="4"/>
  <c r="N550" i="4"/>
  <c r="M550" i="4"/>
  <c r="L550" i="4"/>
  <c r="K550" i="4"/>
  <c r="J550" i="4"/>
  <c r="I550" i="4"/>
  <c r="H550" i="4"/>
  <c r="G550" i="4"/>
  <c r="F550" i="4"/>
  <c r="E550" i="4"/>
  <c r="Q550" i="4" s="1"/>
  <c r="D550" i="4"/>
  <c r="C550" i="4"/>
  <c r="B550" i="4"/>
  <c r="A550" i="4"/>
  <c r="Q549" i="4"/>
  <c r="N549" i="4"/>
  <c r="M549" i="4"/>
  <c r="L549" i="4"/>
  <c r="K549" i="4"/>
  <c r="J549" i="4"/>
  <c r="I549" i="4"/>
  <c r="H549" i="4"/>
  <c r="G549" i="4"/>
  <c r="F549" i="4"/>
  <c r="E549" i="4"/>
  <c r="D549" i="4"/>
  <c r="C549" i="4"/>
  <c r="B549" i="4"/>
  <c r="A549" i="4"/>
  <c r="Q548" i="4"/>
  <c r="N548" i="4"/>
  <c r="M548" i="4"/>
  <c r="L548" i="4"/>
  <c r="K548" i="4"/>
  <c r="J548" i="4"/>
  <c r="I548" i="4"/>
  <c r="H548" i="4"/>
  <c r="G548" i="4"/>
  <c r="F548" i="4"/>
  <c r="E548" i="4"/>
  <c r="D548" i="4"/>
  <c r="C548" i="4"/>
  <c r="B548" i="4"/>
  <c r="A548" i="4"/>
  <c r="N547" i="4"/>
  <c r="M547" i="4"/>
  <c r="L547" i="4"/>
  <c r="K547" i="4"/>
  <c r="J547" i="4"/>
  <c r="I547" i="4"/>
  <c r="H547" i="4"/>
  <c r="G547" i="4"/>
  <c r="F547" i="4"/>
  <c r="E547" i="4"/>
  <c r="Q547" i="4" s="1"/>
  <c r="D547" i="4"/>
  <c r="C547" i="4"/>
  <c r="B547" i="4"/>
  <c r="A547" i="4"/>
  <c r="N546" i="4"/>
  <c r="M546" i="4"/>
  <c r="L546" i="4"/>
  <c r="K546" i="4"/>
  <c r="J546" i="4"/>
  <c r="I546" i="4"/>
  <c r="H546" i="4"/>
  <c r="G546" i="4"/>
  <c r="F546" i="4"/>
  <c r="E546" i="4"/>
  <c r="Q546" i="4" s="1"/>
  <c r="D546" i="4"/>
  <c r="C546" i="4"/>
  <c r="B546" i="4"/>
  <c r="A546" i="4"/>
  <c r="N545" i="4"/>
  <c r="M545" i="4"/>
  <c r="L545" i="4"/>
  <c r="K545" i="4"/>
  <c r="J545" i="4"/>
  <c r="I545" i="4"/>
  <c r="H545" i="4"/>
  <c r="G545" i="4"/>
  <c r="F545" i="4"/>
  <c r="E545" i="4"/>
  <c r="Q545" i="4" s="1"/>
  <c r="D545" i="4"/>
  <c r="C545" i="4"/>
  <c r="B545" i="4"/>
  <c r="A545" i="4"/>
  <c r="Q544" i="4"/>
  <c r="N544" i="4"/>
  <c r="M544" i="4"/>
  <c r="L544" i="4"/>
  <c r="K544" i="4"/>
  <c r="J544" i="4"/>
  <c r="I544" i="4"/>
  <c r="H544" i="4"/>
  <c r="G544" i="4"/>
  <c r="F544" i="4"/>
  <c r="E544" i="4"/>
  <c r="D544" i="4"/>
  <c r="C544" i="4"/>
  <c r="B544" i="4"/>
  <c r="A544" i="4"/>
  <c r="Q543" i="4"/>
  <c r="N543" i="4"/>
  <c r="M543" i="4"/>
  <c r="L543" i="4"/>
  <c r="K543" i="4"/>
  <c r="J543" i="4"/>
  <c r="I543" i="4"/>
  <c r="H543" i="4"/>
  <c r="G543" i="4"/>
  <c r="F543" i="4"/>
  <c r="E543" i="4"/>
  <c r="D543" i="4"/>
  <c r="C543" i="4"/>
  <c r="B543" i="4"/>
  <c r="A543" i="4"/>
  <c r="N542" i="4"/>
  <c r="M542" i="4"/>
  <c r="L542" i="4"/>
  <c r="K542" i="4"/>
  <c r="J542" i="4"/>
  <c r="I542" i="4"/>
  <c r="H542" i="4"/>
  <c r="G542" i="4"/>
  <c r="F542" i="4"/>
  <c r="E542" i="4"/>
  <c r="Q542" i="4" s="1"/>
  <c r="D542" i="4"/>
  <c r="C542" i="4"/>
  <c r="B542" i="4"/>
  <c r="A542" i="4"/>
  <c r="Q541" i="4"/>
  <c r="N541" i="4"/>
  <c r="M541" i="4"/>
  <c r="L541" i="4"/>
  <c r="K541" i="4"/>
  <c r="J541" i="4"/>
  <c r="I541" i="4"/>
  <c r="H541" i="4"/>
  <c r="G541" i="4"/>
  <c r="F541" i="4"/>
  <c r="E541" i="4"/>
  <c r="D541" i="4"/>
  <c r="C541" i="4"/>
  <c r="B541" i="4"/>
  <c r="A541" i="4"/>
  <c r="N540" i="4"/>
  <c r="M540" i="4"/>
  <c r="L540" i="4"/>
  <c r="K540" i="4"/>
  <c r="J540" i="4"/>
  <c r="I540" i="4"/>
  <c r="H540" i="4"/>
  <c r="G540" i="4"/>
  <c r="F540" i="4"/>
  <c r="E540" i="4"/>
  <c r="Q540" i="4" s="1"/>
  <c r="D540" i="4"/>
  <c r="C540" i="4"/>
  <c r="B540" i="4"/>
  <c r="A540" i="4"/>
  <c r="N539" i="4"/>
  <c r="M539" i="4"/>
  <c r="L539" i="4"/>
  <c r="K539" i="4"/>
  <c r="J539" i="4"/>
  <c r="I539" i="4"/>
  <c r="H539" i="4"/>
  <c r="G539" i="4"/>
  <c r="F539" i="4"/>
  <c r="E539" i="4"/>
  <c r="Q539" i="4" s="1"/>
  <c r="D539" i="4"/>
  <c r="C539" i="4"/>
  <c r="B539" i="4"/>
  <c r="A539" i="4"/>
  <c r="N538" i="4"/>
  <c r="M538" i="4"/>
  <c r="L538" i="4"/>
  <c r="K538" i="4"/>
  <c r="J538" i="4"/>
  <c r="I538" i="4"/>
  <c r="H538" i="4"/>
  <c r="G538" i="4"/>
  <c r="F538" i="4"/>
  <c r="E538" i="4"/>
  <c r="Q538" i="4" s="1"/>
  <c r="D538" i="4"/>
  <c r="C538" i="4"/>
  <c r="B538" i="4"/>
  <c r="A538" i="4"/>
  <c r="N537" i="4"/>
  <c r="M537" i="4"/>
  <c r="L537" i="4"/>
  <c r="K537" i="4"/>
  <c r="J537" i="4"/>
  <c r="I537" i="4"/>
  <c r="H537" i="4"/>
  <c r="G537" i="4"/>
  <c r="F537" i="4"/>
  <c r="E537" i="4"/>
  <c r="Q537" i="4" s="1"/>
  <c r="D537" i="4"/>
  <c r="C537" i="4"/>
  <c r="B537" i="4"/>
  <c r="A537" i="4"/>
  <c r="N536" i="4"/>
  <c r="M536" i="4"/>
  <c r="L536" i="4"/>
  <c r="K536" i="4"/>
  <c r="J536" i="4"/>
  <c r="I536" i="4"/>
  <c r="H536" i="4"/>
  <c r="G536" i="4"/>
  <c r="F536" i="4"/>
  <c r="E536" i="4"/>
  <c r="Q536" i="4" s="1"/>
  <c r="D536" i="4"/>
  <c r="C536" i="4"/>
  <c r="B536" i="4"/>
  <c r="A536" i="4"/>
  <c r="Q535" i="4"/>
  <c r="N535" i="4"/>
  <c r="M535" i="4"/>
  <c r="L535" i="4"/>
  <c r="K535" i="4"/>
  <c r="J535" i="4"/>
  <c r="I535" i="4"/>
  <c r="H535" i="4"/>
  <c r="G535" i="4"/>
  <c r="F535" i="4"/>
  <c r="E535" i="4"/>
  <c r="D535" i="4"/>
  <c r="C535" i="4"/>
  <c r="B535" i="4"/>
  <c r="A535" i="4"/>
  <c r="N534" i="4"/>
  <c r="M534" i="4"/>
  <c r="L534" i="4"/>
  <c r="K534" i="4"/>
  <c r="J534" i="4"/>
  <c r="I534" i="4"/>
  <c r="H534" i="4"/>
  <c r="G534" i="4"/>
  <c r="F534" i="4"/>
  <c r="E534" i="4"/>
  <c r="Q534" i="4" s="1"/>
  <c r="D534" i="4"/>
  <c r="C534" i="4"/>
  <c r="B534" i="4"/>
  <c r="A534" i="4"/>
  <c r="Q533" i="4"/>
  <c r="N533" i="4"/>
  <c r="M533" i="4"/>
  <c r="L533" i="4"/>
  <c r="K533" i="4"/>
  <c r="J533" i="4"/>
  <c r="I533" i="4"/>
  <c r="H533" i="4"/>
  <c r="G533" i="4"/>
  <c r="F533" i="4"/>
  <c r="E533" i="4"/>
  <c r="D533" i="4"/>
  <c r="C533" i="4"/>
  <c r="B533" i="4"/>
  <c r="A533" i="4"/>
  <c r="Q532" i="4"/>
  <c r="N532" i="4"/>
  <c r="M532" i="4"/>
  <c r="L532" i="4"/>
  <c r="K532" i="4"/>
  <c r="J532" i="4"/>
  <c r="I532" i="4"/>
  <c r="H532" i="4"/>
  <c r="G532" i="4"/>
  <c r="F532" i="4"/>
  <c r="E532" i="4"/>
  <c r="D532" i="4"/>
  <c r="C532" i="4"/>
  <c r="B532" i="4"/>
  <c r="A532" i="4"/>
  <c r="Q531" i="4"/>
  <c r="N531" i="4"/>
  <c r="M531" i="4"/>
  <c r="L531" i="4"/>
  <c r="K531" i="4"/>
  <c r="J531" i="4"/>
  <c r="I531" i="4"/>
  <c r="H531" i="4"/>
  <c r="G531" i="4"/>
  <c r="F531" i="4"/>
  <c r="E531" i="4"/>
  <c r="D531" i="4"/>
  <c r="C531" i="4"/>
  <c r="B531" i="4"/>
  <c r="A531" i="4"/>
  <c r="Q530" i="4"/>
  <c r="N530" i="4"/>
  <c r="M530" i="4"/>
  <c r="L530" i="4"/>
  <c r="K530" i="4"/>
  <c r="J530" i="4"/>
  <c r="I530" i="4"/>
  <c r="H530" i="4"/>
  <c r="G530" i="4"/>
  <c r="F530" i="4"/>
  <c r="E530" i="4"/>
  <c r="D530" i="4"/>
  <c r="C530" i="4"/>
  <c r="B530" i="4"/>
  <c r="A530" i="4"/>
  <c r="N529" i="4"/>
  <c r="M529" i="4"/>
  <c r="L529" i="4"/>
  <c r="K529" i="4"/>
  <c r="J529" i="4"/>
  <c r="I529" i="4"/>
  <c r="H529" i="4"/>
  <c r="G529" i="4"/>
  <c r="F529" i="4"/>
  <c r="E529" i="4"/>
  <c r="Q529" i="4" s="1"/>
  <c r="D529" i="4"/>
  <c r="C529" i="4"/>
  <c r="B529" i="4"/>
  <c r="A529" i="4"/>
  <c r="N528" i="4"/>
  <c r="M528" i="4"/>
  <c r="L528" i="4"/>
  <c r="K528" i="4"/>
  <c r="J528" i="4"/>
  <c r="I528" i="4"/>
  <c r="H528" i="4"/>
  <c r="G528" i="4"/>
  <c r="F528" i="4"/>
  <c r="E528" i="4"/>
  <c r="Q528" i="4" s="1"/>
  <c r="D528" i="4"/>
  <c r="C528" i="4"/>
  <c r="B528" i="4"/>
  <c r="A528" i="4"/>
  <c r="Q527" i="4"/>
  <c r="N527" i="4"/>
  <c r="M527" i="4"/>
  <c r="L527" i="4"/>
  <c r="K527" i="4"/>
  <c r="J527" i="4"/>
  <c r="I527" i="4"/>
  <c r="H527" i="4"/>
  <c r="G527" i="4"/>
  <c r="F527" i="4"/>
  <c r="E527" i="4"/>
  <c r="D527" i="4"/>
  <c r="C527" i="4"/>
  <c r="B527" i="4"/>
  <c r="A527" i="4"/>
  <c r="Q526" i="4"/>
  <c r="N526" i="4"/>
  <c r="M526" i="4"/>
  <c r="L526" i="4"/>
  <c r="K526" i="4"/>
  <c r="J526" i="4"/>
  <c r="I526" i="4"/>
  <c r="H526" i="4"/>
  <c r="G526" i="4"/>
  <c r="F526" i="4"/>
  <c r="E526" i="4"/>
  <c r="D526" i="4"/>
  <c r="C526" i="4"/>
  <c r="B526" i="4"/>
  <c r="A526" i="4"/>
  <c r="Q525" i="4"/>
  <c r="N525" i="4"/>
  <c r="M525" i="4"/>
  <c r="L525" i="4"/>
  <c r="K525" i="4"/>
  <c r="J525" i="4"/>
  <c r="I525" i="4"/>
  <c r="H525" i="4"/>
  <c r="G525" i="4"/>
  <c r="F525" i="4"/>
  <c r="E525" i="4"/>
  <c r="D525" i="4"/>
  <c r="C525" i="4"/>
  <c r="B525" i="4"/>
  <c r="A525" i="4"/>
  <c r="Q524" i="4"/>
  <c r="N524" i="4"/>
  <c r="M524" i="4"/>
  <c r="L524" i="4"/>
  <c r="K524" i="4"/>
  <c r="J524" i="4"/>
  <c r="I524" i="4"/>
  <c r="H524" i="4"/>
  <c r="G524" i="4"/>
  <c r="F524" i="4"/>
  <c r="E524" i="4"/>
  <c r="D524" i="4"/>
  <c r="C524" i="4"/>
  <c r="B524" i="4"/>
  <c r="A524" i="4"/>
  <c r="Q523" i="4"/>
  <c r="N523" i="4"/>
  <c r="M523" i="4"/>
  <c r="L523" i="4"/>
  <c r="K523" i="4"/>
  <c r="J523" i="4"/>
  <c r="I523" i="4"/>
  <c r="H523" i="4"/>
  <c r="G523" i="4"/>
  <c r="F523" i="4"/>
  <c r="E523" i="4"/>
  <c r="D523" i="4"/>
  <c r="C523" i="4"/>
  <c r="B523" i="4"/>
  <c r="A523" i="4"/>
  <c r="Q522" i="4"/>
  <c r="N522" i="4"/>
  <c r="M522" i="4"/>
  <c r="L522" i="4"/>
  <c r="K522" i="4"/>
  <c r="J522" i="4"/>
  <c r="I522" i="4"/>
  <c r="H522" i="4"/>
  <c r="G522" i="4"/>
  <c r="F522" i="4"/>
  <c r="E522" i="4"/>
  <c r="D522" i="4"/>
  <c r="C522" i="4"/>
  <c r="B522" i="4"/>
  <c r="A522" i="4"/>
  <c r="Q521" i="4"/>
  <c r="N521" i="4"/>
  <c r="M521" i="4"/>
  <c r="L521" i="4"/>
  <c r="K521" i="4"/>
  <c r="J521" i="4"/>
  <c r="I521" i="4"/>
  <c r="H521" i="4"/>
  <c r="G521" i="4"/>
  <c r="F521" i="4"/>
  <c r="E521" i="4"/>
  <c r="D521" i="4"/>
  <c r="C521" i="4"/>
  <c r="B521" i="4"/>
  <c r="A521" i="4"/>
  <c r="Q520" i="4"/>
  <c r="N520" i="4"/>
  <c r="M520" i="4"/>
  <c r="L520" i="4"/>
  <c r="K520" i="4"/>
  <c r="J520" i="4"/>
  <c r="I520" i="4"/>
  <c r="H520" i="4"/>
  <c r="G520" i="4"/>
  <c r="F520" i="4"/>
  <c r="E520" i="4"/>
  <c r="D520" i="4"/>
  <c r="C520" i="4"/>
  <c r="B520" i="4"/>
  <c r="A520" i="4"/>
  <c r="Q519" i="4"/>
  <c r="N519" i="4"/>
  <c r="M519" i="4"/>
  <c r="L519" i="4"/>
  <c r="K519" i="4"/>
  <c r="J519" i="4"/>
  <c r="I519" i="4"/>
  <c r="H519" i="4"/>
  <c r="G519" i="4"/>
  <c r="F519" i="4"/>
  <c r="E519" i="4"/>
  <c r="D519" i="4"/>
  <c r="C519" i="4"/>
  <c r="B519" i="4"/>
  <c r="A519" i="4"/>
  <c r="N518" i="4"/>
  <c r="M518" i="4"/>
  <c r="L518" i="4"/>
  <c r="K518" i="4"/>
  <c r="J518" i="4"/>
  <c r="I518" i="4"/>
  <c r="H518" i="4"/>
  <c r="G518" i="4"/>
  <c r="F518" i="4"/>
  <c r="E518" i="4"/>
  <c r="Q518" i="4" s="1"/>
  <c r="D518" i="4"/>
  <c r="C518" i="4"/>
  <c r="B518" i="4"/>
  <c r="A518" i="4"/>
  <c r="N517" i="4"/>
  <c r="M517" i="4"/>
  <c r="L517" i="4"/>
  <c r="K517" i="4"/>
  <c r="J517" i="4"/>
  <c r="I517" i="4"/>
  <c r="H517" i="4"/>
  <c r="G517" i="4"/>
  <c r="F517" i="4"/>
  <c r="E517" i="4"/>
  <c r="Q517" i="4" s="1"/>
  <c r="D517" i="4"/>
  <c r="C517" i="4"/>
  <c r="B517" i="4"/>
  <c r="A517" i="4"/>
  <c r="N516" i="4"/>
  <c r="M516" i="4"/>
  <c r="L516" i="4"/>
  <c r="K516" i="4"/>
  <c r="J516" i="4"/>
  <c r="I516" i="4"/>
  <c r="H516" i="4"/>
  <c r="G516" i="4"/>
  <c r="F516" i="4"/>
  <c r="E516" i="4"/>
  <c r="Q516" i="4" s="1"/>
  <c r="D516" i="4"/>
  <c r="C516" i="4"/>
  <c r="B516" i="4"/>
  <c r="A516" i="4"/>
  <c r="N515" i="4"/>
  <c r="M515" i="4"/>
  <c r="L515" i="4"/>
  <c r="K515" i="4"/>
  <c r="J515" i="4"/>
  <c r="I515" i="4"/>
  <c r="H515" i="4"/>
  <c r="G515" i="4"/>
  <c r="F515" i="4"/>
  <c r="E515" i="4"/>
  <c r="Q515" i="4" s="1"/>
  <c r="D515" i="4"/>
  <c r="C515" i="4"/>
  <c r="B515" i="4"/>
  <c r="A515" i="4"/>
  <c r="Q514" i="4"/>
  <c r="N514" i="4"/>
  <c r="M514" i="4"/>
  <c r="L514" i="4"/>
  <c r="K514" i="4"/>
  <c r="J514" i="4"/>
  <c r="I514" i="4"/>
  <c r="H514" i="4"/>
  <c r="G514" i="4"/>
  <c r="F514" i="4"/>
  <c r="E514" i="4"/>
  <c r="D514" i="4"/>
  <c r="C514" i="4"/>
  <c r="B514" i="4"/>
  <c r="A514" i="4"/>
  <c r="N513" i="4"/>
  <c r="M513" i="4"/>
  <c r="L513" i="4"/>
  <c r="K513" i="4"/>
  <c r="J513" i="4"/>
  <c r="I513" i="4"/>
  <c r="H513" i="4"/>
  <c r="G513" i="4"/>
  <c r="F513" i="4"/>
  <c r="E513" i="4"/>
  <c r="Q513" i="4" s="1"/>
  <c r="D513" i="4"/>
  <c r="C513" i="4"/>
  <c r="B513" i="4"/>
  <c r="A513" i="4"/>
  <c r="Q512" i="4"/>
  <c r="N512" i="4"/>
  <c r="M512" i="4"/>
  <c r="L512" i="4"/>
  <c r="K512" i="4"/>
  <c r="J512" i="4"/>
  <c r="I512" i="4"/>
  <c r="H512" i="4"/>
  <c r="G512" i="4"/>
  <c r="F512" i="4"/>
  <c r="E512" i="4"/>
  <c r="D512" i="4"/>
  <c r="C512" i="4"/>
  <c r="B512" i="4"/>
  <c r="A512" i="4"/>
  <c r="Q511" i="4"/>
  <c r="N511" i="4"/>
  <c r="M511" i="4"/>
  <c r="L511" i="4"/>
  <c r="K511" i="4"/>
  <c r="J511" i="4"/>
  <c r="I511" i="4"/>
  <c r="H511" i="4"/>
  <c r="G511" i="4"/>
  <c r="F511" i="4"/>
  <c r="E511" i="4"/>
  <c r="D511" i="4"/>
  <c r="C511" i="4"/>
  <c r="B511" i="4"/>
  <c r="A511" i="4"/>
  <c r="Q510" i="4"/>
  <c r="N510" i="4"/>
  <c r="M510" i="4"/>
  <c r="L510" i="4"/>
  <c r="K510" i="4"/>
  <c r="J510" i="4"/>
  <c r="I510" i="4"/>
  <c r="H510" i="4"/>
  <c r="G510" i="4"/>
  <c r="F510" i="4"/>
  <c r="E510" i="4"/>
  <c r="D510" i="4"/>
  <c r="C510" i="4"/>
  <c r="B510" i="4"/>
  <c r="A510" i="4"/>
  <c r="N509" i="4"/>
  <c r="M509" i="4"/>
  <c r="L509" i="4"/>
  <c r="K509" i="4"/>
  <c r="J509" i="4"/>
  <c r="I509" i="4"/>
  <c r="H509" i="4"/>
  <c r="G509" i="4"/>
  <c r="F509" i="4"/>
  <c r="E509" i="4"/>
  <c r="Q509" i="4" s="1"/>
  <c r="D509" i="4"/>
  <c r="C509" i="4"/>
  <c r="B509" i="4"/>
  <c r="A509" i="4"/>
  <c r="N508" i="4"/>
  <c r="M508" i="4"/>
  <c r="L508" i="4"/>
  <c r="K508" i="4"/>
  <c r="J508" i="4"/>
  <c r="I508" i="4"/>
  <c r="H508" i="4"/>
  <c r="G508" i="4"/>
  <c r="F508" i="4"/>
  <c r="E508" i="4"/>
  <c r="Q508" i="4" s="1"/>
  <c r="D508" i="4"/>
  <c r="C508" i="4"/>
  <c r="B508" i="4"/>
  <c r="A508" i="4"/>
  <c r="O507" i="4"/>
  <c r="P507" i="4" s="1"/>
  <c r="N507" i="4"/>
  <c r="M507" i="4"/>
  <c r="L507" i="4"/>
  <c r="K507" i="4"/>
  <c r="J507" i="4"/>
  <c r="I507" i="4"/>
  <c r="H507" i="4"/>
  <c r="G507" i="4"/>
  <c r="F507" i="4"/>
  <c r="E507" i="4"/>
  <c r="Q507" i="4" s="1"/>
  <c r="D507" i="4"/>
  <c r="C507" i="4"/>
  <c r="B507" i="4"/>
  <c r="A507" i="4"/>
  <c r="Q506" i="4"/>
  <c r="N506" i="4"/>
  <c r="M506" i="4"/>
  <c r="L506" i="4"/>
  <c r="K506" i="4"/>
  <c r="J506" i="4"/>
  <c r="I506" i="4"/>
  <c r="H506" i="4"/>
  <c r="G506" i="4"/>
  <c r="F506" i="4"/>
  <c r="O506" i="4" s="1"/>
  <c r="P506" i="4" s="1"/>
  <c r="E506" i="4"/>
  <c r="D506" i="4"/>
  <c r="C506" i="4"/>
  <c r="B506" i="4"/>
  <c r="A506" i="4"/>
  <c r="N505" i="4"/>
  <c r="M505" i="4"/>
  <c r="L505" i="4"/>
  <c r="K505" i="4"/>
  <c r="J505" i="4"/>
  <c r="I505" i="4"/>
  <c r="H505" i="4"/>
  <c r="G505" i="4"/>
  <c r="F505" i="4"/>
  <c r="E505" i="4"/>
  <c r="Q505" i="4" s="1"/>
  <c r="D505" i="4"/>
  <c r="C505" i="4"/>
  <c r="B505" i="4"/>
  <c r="A505" i="4"/>
  <c r="N504" i="4"/>
  <c r="M504" i="4"/>
  <c r="L504" i="4"/>
  <c r="K504" i="4"/>
  <c r="J504" i="4"/>
  <c r="I504" i="4"/>
  <c r="H504" i="4"/>
  <c r="G504" i="4"/>
  <c r="F504" i="4"/>
  <c r="E504" i="4"/>
  <c r="Q504" i="4" s="1"/>
  <c r="D504" i="4"/>
  <c r="C504" i="4"/>
  <c r="B504" i="4"/>
  <c r="A504" i="4"/>
  <c r="Q503" i="4"/>
  <c r="N503" i="4"/>
  <c r="M503" i="4"/>
  <c r="L503" i="4"/>
  <c r="K503" i="4"/>
  <c r="J503" i="4"/>
  <c r="I503" i="4"/>
  <c r="H503" i="4"/>
  <c r="G503" i="4"/>
  <c r="F503" i="4"/>
  <c r="E503" i="4"/>
  <c r="D503" i="4"/>
  <c r="C503" i="4"/>
  <c r="B503" i="4"/>
  <c r="A503" i="4"/>
  <c r="N502" i="4"/>
  <c r="M502" i="4"/>
  <c r="L502" i="4"/>
  <c r="K502" i="4"/>
  <c r="J502" i="4"/>
  <c r="I502" i="4"/>
  <c r="H502" i="4"/>
  <c r="G502" i="4"/>
  <c r="F502" i="4"/>
  <c r="E502" i="4"/>
  <c r="D502" i="4"/>
  <c r="C502" i="4"/>
  <c r="B502" i="4"/>
  <c r="A502" i="4"/>
  <c r="N501" i="4"/>
  <c r="M501" i="4"/>
  <c r="L501" i="4"/>
  <c r="K501" i="4"/>
  <c r="J501" i="4"/>
  <c r="I501" i="4"/>
  <c r="H501" i="4"/>
  <c r="G501" i="4"/>
  <c r="F501" i="4"/>
  <c r="E501" i="4"/>
  <c r="D501" i="4"/>
  <c r="C501" i="4"/>
  <c r="B501" i="4"/>
  <c r="A501" i="4"/>
  <c r="N500" i="4"/>
  <c r="M500" i="4"/>
  <c r="L500" i="4"/>
  <c r="K500" i="4"/>
  <c r="J500" i="4"/>
  <c r="I500" i="4"/>
  <c r="H500" i="4"/>
  <c r="G500" i="4"/>
  <c r="F500" i="4"/>
  <c r="E500" i="4"/>
  <c r="D500" i="4"/>
  <c r="C500" i="4"/>
  <c r="B500" i="4"/>
  <c r="A500" i="4"/>
  <c r="N499" i="4"/>
  <c r="M499" i="4"/>
  <c r="L499" i="4"/>
  <c r="K499" i="4"/>
  <c r="J499" i="4"/>
  <c r="I499" i="4"/>
  <c r="H499" i="4"/>
  <c r="G499" i="4"/>
  <c r="F499" i="4"/>
  <c r="E499" i="4"/>
  <c r="D499" i="4"/>
  <c r="C499" i="4"/>
  <c r="B499" i="4"/>
  <c r="A499" i="4"/>
  <c r="N498" i="4"/>
  <c r="M498" i="4"/>
  <c r="L498" i="4"/>
  <c r="K498" i="4"/>
  <c r="J498" i="4"/>
  <c r="I498" i="4"/>
  <c r="H498" i="4"/>
  <c r="G498" i="4"/>
  <c r="F498" i="4"/>
  <c r="E498" i="4"/>
  <c r="D498" i="4"/>
  <c r="C498" i="4"/>
  <c r="B498" i="4"/>
  <c r="A498" i="4"/>
  <c r="Q497" i="4"/>
  <c r="N497" i="4"/>
  <c r="M497" i="4"/>
  <c r="L497" i="4"/>
  <c r="K497" i="4"/>
  <c r="J497" i="4"/>
  <c r="I497" i="4"/>
  <c r="H497" i="4"/>
  <c r="G497" i="4"/>
  <c r="F497" i="4"/>
  <c r="E497" i="4"/>
  <c r="D497" i="4"/>
  <c r="C497" i="4"/>
  <c r="B497" i="4"/>
  <c r="A497" i="4"/>
  <c r="N496" i="4"/>
  <c r="M496" i="4"/>
  <c r="L496" i="4"/>
  <c r="K496" i="4"/>
  <c r="J496" i="4"/>
  <c r="I496" i="4"/>
  <c r="H496" i="4"/>
  <c r="G496" i="4"/>
  <c r="F496" i="4"/>
  <c r="E496" i="4"/>
  <c r="Q496" i="4" s="1"/>
  <c r="D496" i="4"/>
  <c r="C496" i="4"/>
  <c r="B496" i="4"/>
  <c r="A496" i="4"/>
  <c r="Q495" i="4"/>
  <c r="N495" i="4"/>
  <c r="M495" i="4"/>
  <c r="L495" i="4"/>
  <c r="K495" i="4"/>
  <c r="J495" i="4"/>
  <c r="I495" i="4"/>
  <c r="H495" i="4"/>
  <c r="G495" i="4"/>
  <c r="F495" i="4"/>
  <c r="E495" i="4"/>
  <c r="D495" i="4"/>
  <c r="C495" i="4"/>
  <c r="B495" i="4"/>
  <c r="A495" i="4"/>
  <c r="N494" i="4"/>
  <c r="M494" i="4"/>
  <c r="L494" i="4"/>
  <c r="K494" i="4"/>
  <c r="J494" i="4"/>
  <c r="I494" i="4"/>
  <c r="H494" i="4"/>
  <c r="G494" i="4"/>
  <c r="F494" i="4"/>
  <c r="E494" i="4"/>
  <c r="Q494" i="4" s="1"/>
  <c r="D494" i="4"/>
  <c r="C494" i="4"/>
  <c r="B494" i="4"/>
  <c r="A494" i="4"/>
  <c r="N493" i="4"/>
  <c r="M493" i="4"/>
  <c r="L493" i="4"/>
  <c r="K493" i="4"/>
  <c r="J493" i="4"/>
  <c r="I493" i="4"/>
  <c r="H493" i="4"/>
  <c r="G493" i="4"/>
  <c r="F493" i="4"/>
  <c r="E493" i="4"/>
  <c r="Q493" i="4" s="1"/>
  <c r="D493" i="4"/>
  <c r="C493" i="4"/>
  <c r="B493" i="4"/>
  <c r="A493" i="4"/>
  <c r="N492" i="4"/>
  <c r="M492" i="4"/>
  <c r="L492" i="4"/>
  <c r="K492" i="4"/>
  <c r="J492" i="4"/>
  <c r="I492" i="4"/>
  <c r="H492" i="4"/>
  <c r="G492" i="4"/>
  <c r="F492" i="4"/>
  <c r="E492" i="4"/>
  <c r="Q492" i="4" s="1"/>
  <c r="D492" i="4"/>
  <c r="C492" i="4"/>
  <c r="B492" i="4"/>
  <c r="A492" i="4"/>
  <c r="N491" i="4"/>
  <c r="M491" i="4"/>
  <c r="L491" i="4"/>
  <c r="K491" i="4"/>
  <c r="J491" i="4"/>
  <c r="I491" i="4"/>
  <c r="H491" i="4"/>
  <c r="G491" i="4"/>
  <c r="F491" i="4"/>
  <c r="E491" i="4"/>
  <c r="Q491" i="4" s="1"/>
  <c r="D491" i="4"/>
  <c r="C491" i="4"/>
  <c r="B491" i="4"/>
  <c r="A491" i="4"/>
  <c r="N490" i="4"/>
  <c r="M490" i="4"/>
  <c r="L490" i="4"/>
  <c r="K490" i="4"/>
  <c r="J490" i="4"/>
  <c r="I490" i="4"/>
  <c r="H490" i="4"/>
  <c r="G490" i="4"/>
  <c r="F490" i="4"/>
  <c r="E490" i="4"/>
  <c r="Q490" i="4" s="1"/>
  <c r="D490" i="4"/>
  <c r="C490" i="4"/>
  <c r="B490" i="4"/>
  <c r="A490" i="4"/>
  <c r="Q489" i="4"/>
  <c r="N489" i="4"/>
  <c r="M489" i="4"/>
  <c r="L489" i="4"/>
  <c r="K489" i="4"/>
  <c r="J489" i="4"/>
  <c r="I489" i="4"/>
  <c r="H489" i="4"/>
  <c r="G489" i="4"/>
  <c r="F489" i="4"/>
  <c r="E489" i="4"/>
  <c r="D489" i="4"/>
  <c r="C489" i="4"/>
  <c r="B489" i="4"/>
  <c r="A489" i="4"/>
  <c r="N488" i="4"/>
  <c r="M488" i="4"/>
  <c r="L488" i="4"/>
  <c r="K488" i="4"/>
  <c r="J488" i="4"/>
  <c r="I488" i="4"/>
  <c r="H488" i="4"/>
  <c r="G488" i="4"/>
  <c r="F488" i="4"/>
  <c r="E488" i="4"/>
  <c r="Q488" i="4" s="1"/>
  <c r="D488" i="4"/>
  <c r="C488" i="4"/>
  <c r="B488" i="4"/>
  <c r="A488" i="4"/>
  <c r="Q487" i="4"/>
  <c r="N487" i="4"/>
  <c r="M487" i="4"/>
  <c r="L487" i="4"/>
  <c r="K487" i="4"/>
  <c r="J487" i="4"/>
  <c r="I487" i="4"/>
  <c r="H487" i="4"/>
  <c r="G487" i="4"/>
  <c r="F487" i="4"/>
  <c r="E487" i="4"/>
  <c r="D487" i="4"/>
  <c r="C487" i="4"/>
  <c r="B487" i="4"/>
  <c r="A487" i="4"/>
  <c r="Q486" i="4"/>
  <c r="N486" i="4"/>
  <c r="M486" i="4"/>
  <c r="L486" i="4"/>
  <c r="K486" i="4"/>
  <c r="J486" i="4"/>
  <c r="I486" i="4"/>
  <c r="H486" i="4"/>
  <c r="G486" i="4"/>
  <c r="F486" i="4"/>
  <c r="E486" i="4"/>
  <c r="D486" i="4"/>
  <c r="C486" i="4"/>
  <c r="B486" i="4"/>
  <c r="A486" i="4"/>
  <c r="Q485" i="4"/>
  <c r="N485" i="4"/>
  <c r="M485" i="4"/>
  <c r="L485" i="4"/>
  <c r="K485" i="4"/>
  <c r="J485" i="4"/>
  <c r="I485" i="4"/>
  <c r="H485" i="4"/>
  <c r="G485" i="4"/>
  <c r="F485" i="4"/>
  <c r="E485" i="4"/>
  <c r="D485" i="4"/>
  <c r="C485" i="4"/>
  <c r="B485" i="4"/>
  <c r="A485" i="4"/>
  <c r="Q484" i="4"/>
  <c r="N484" i="4"/>
  <c r="M484" i="4"/>
  <c r="L484" i="4"/>
  <c r="K484" i="4"/>
  <c r="J484" i="4"/>
  <c r="I484" i="4"/>
  <c r="H484" i="4"/>
  <c r="G484" i="4"/>
  <c r="F484" i="4"/>
  <c r="E484" i="4"/>
  <c r="D484" i="4"/>
  <c r="C484" i="4"/>
  <c r="B484" i="4"/>
  <c r="A484" i="4"/>
  <c r="N483" i="4"/>
  <c r="M483" i="4"/>
  <c r="L483" i="4"/>
  <c r="K483" i="4"/>
  <c r="J483" i="4"/>
  <c r="I483" i="4"/>
  <c r="H483" i="4"/>
  <c r="G483" i="4"/>
  <c r="F483" i="4"/>
  <c r="E483" i="4"/>
  <c r="Q483" i="4" s="1"/>
  <c r="D483" i="4"/>
  <c r="C483" i="4"/>
  <c r="B483" i="4"/>
  <c r="A483" i="4"/>
  <c r="N482" i="4"/>
  <c r="M482" i="4"/>
  <c r="L482" i="4"/>
  <c r="K482" i="4"/>
  <c r="J482" i="4"/>
  <c r="I482" i="4"/>
  <c r="H482" i="4"/>
  <c r="G482" i="4"/>
  <c r="F482" i="4"/>
  <c r="E482" i="4"/>
  <c r="Q482" i="4" s="1"/>
  <c r="D482" i="4"/>
  <c r="C482" i="4"/>
  <c r="B482" i="4"/>
  <c r="A482" i="4"/>
  <c r="Q481" i="4"/>
  <c r="N481" i="4"/>
  <c r="M481" i="4"/>
  <c r="L481" i="4"/>
  <c r="K481" i="4"/>
  <c r="J481" i="4"/>
  <c r="I481" i="4"/>
  <c r="H481" i="4"/>
  <c r="G481" i="4"/>
  <c r="F481" i="4"/>
  <c r="E481" i="4"/>
  <c r="D481" i="4"/>
  <c r="C481" i="4"/>
  <c r="B481" i="4"/>
  <c r="A481" i="4"/>
  <c r="Q480" i="4"/>
  <c r="N480" i="4"/>
  <c r="M480" i="4"/>
  <c r="L480" i="4"/>
  <c r="K480" i="4"/>
  <c r="J480" i="4"/>
  <c r="I480" i="4"/>
  <c r="H480" i="4"/>
  <c r="G480" i="4"/>
  <c r="F480" i="4"/>
  <c r="E480" i="4"/>
  <c r="D480" i="4"/>
  <c r="C480" i="4"/>
  <c r="B480" i="4"/>
  <c r="A480" i="4"/>
  <c r="Q479" i="4"/>
  <c r="N479" i="4"/>
  <c r="M479" i="4"/>
  <c r="L479" i="4"/>
  <c r="K479" i="4"/>
  <c r="J479" i="4"/>
  <c r="I479" i="4"/>
  <c r="H479" i="4"/>
  <c r="G479" i="4"/>
  <c r="F479" i="4"/>
  <c r="E479" i="4"/>
  <c r="D479" i="4"/>
  <c r="C479" i="4"/>
  <c r="B479" i="4"/>
  <c r="A479" i="4"/>
  <c r="Q478" i="4"/>
  <c r="N478" i="4"/>
  <c r="M478" i="4"/>
  <c r="L478" i="4"/>
  <c r="K478" i="4"/>
  <c r="J478" i="4"/>
  <c r="I478" i="4"/>
  <c r="H478" i="4"/>
  <c r="G478" i="4"/>
  <c r="F478" i="4"/>
  <c r="E478" i="4"/>
  <c r="D478" i="4"/>
  <c r="C478" i="4"/>
  <c r="B478" i="4"/>
  <c r="A478" i="4"/>
  <c r="N477" i="4"/>
  <c r="M477" i="4"/>
  <c r="L477" i="4"/>
  <c r="K477" i="4"/>
  <c r="J477" i="4"/>
  <c r="I477" i="4"/>
  <c r="H477" i="4"/>
  <c r="G477" i="4"/>
  <c r="F477" i="4"/>
  <c r="E477" i="4"/>
  <c r="Q477" i="4" s="1"/>
  <c r="D477" i="4"/>
  <c r="C477" i="4"/>
  <c r="B477" i="4"/>
  <c r="A477" i="4"/>
  <c r="N476" i="4"/>
  <c r="M476" i="4"/>
  <c r="L476" i="4"/>
  <c r="K476" i="4"/>
  <c r="J476" i="4"/>
  <c r="I476" i="4"/>
  <c r="H476" i="4"/>
  <c r="G476" i="4"/>
  <c r="F476" i="4"/>
  <c r="E476" i="4"/>
  <c r="Q476" i="4" s="1"/>
  <c r="D476" i="4"/>
  <c r="C476" i="4"/>
  <c r="B476" i="4"/>
  <c r="A476" i="4"/>
  <c r="N475" i="4"/>
  <c r="M475" i="4"/>
  <c r="L475" i="4"/>
  <c r="K475" i="4"/>
  <c r="J475" i="4"/>
  <c r="I475" i="4"/>
  <c r="H475" i="4"/>
  <c r="G475" i="4"/>
  <c r="F475" i="4"/>
  <c r="E475" i="4"/>
  <c r="Q475" i="4" s="1"/>
  <c r="D475" i="4"/>
  <c r="C475" i="4"/>
  <c r="B475" i="4"/>
  <c r="A475" i="4"/>
  <c r="N474" i="4"/>
  <c r="M474" i="4"/>
  <c r="L474" i="4"/>
  <c r="K474" i="4"/>
  <c r="J474" i="4"/>
  <c r="I474" i="4"/>
  <c r="H474" i="4"/>
  <c r="G474" i="4"/>
  <c r="F474" i="4"/>
  <c r="E474" i="4"/>
  <c r="Q474" i="4" s="1"/>
  <c r="D474" i="4"/>
  <c r="C474" i="4"/>
  <c r="B474" i="4"/>
  <c r="A474" i="4"/>
  <c r="Q473" i="4"/>
  <c r="N473" i="4"/>
  <c r="M473" i="4"/>
  <c r="L473" i="4"/>
  <c r="K473" i="4"/>
  <c r="J473" i="4"/>
  <c r="I473" i="4"/>
  <c r="H473" i="4"/>
  <c r="G473" i="4"/>
  <c r="F473" i="4"/>
  <c r="E473" i="4"/>
  <c r="D473" i="4"/>
  <c r="C473" i="4"/>
  <c r="B473" i="4"/>
  <c r="A473" i="4"/>
  <c r="Q472" i="4"/>
  <c r="N472" i="4"/>
  <c r="M472" i="4"/>
  <c r="L472" i="4"/>
  <c r="K472" i="4"/>
  <c r="J472" i="4"/>
  <c r="I472" i="4"/>
  <c r="H472" i="4"/>
  <c r="G472" i="4"/>
  <c r="F472" i="4"/>
  <c r="E472" i="4"/>
  <c r="D472" i="4"/>
  <c r="C472" i="4"/>
  <c r="B472" i="4"/>
  <c r="A472" i="4"/>
  <c r="Q471" i="4"/>
  <c r="N471" i="4"/>
  <c r="M471" i="4"/>
  <c r="L471" i="4"/>
  <c r="K471" i="4"/>
  <c r="J471" i="4"/>
  <c r="I471" i="4"/>
  <c r="H471" i="4"/>
  <c r="G471" i="4"/>
  <c r="F471" i="4"/>
  <c r="E471" i="4"/>
  <c r="D471" i="4"/>
  <c r="C471" i="4"/>
  <c r="B471" i="4"/>
  <c r="A471" i="4"/>
  <c r="Q470" i="4"/>
  <c r="N470" i="4"/>
  <c r="M470" i="4"/>
  <c r="L470" i="4"/>
  <c r="K470" i="4"/>
  <c r="J470" i="4"/>
  <c r="I470" i="4"/>
  <c r="H470" i="4"/>
  <c r="G470" i="4"/>
  <c r="F470" i="4"/>
  <c r="E470" i="4"/>
  <c r="D470" i="4"/>
  <c r="C470" i="4"/>
  <c r="B470" i="4"/>
  <c r="A470" i="4"/>
  <c r="Q469" i="4"/>
  <c r="N469" i="4"/>
  <c r="M469" i="4"/>
  <c r="L469" i="4"/>
  <c r="K469" i="4"/>
  <c r="J469" i="4"/>
  <c r="I469" i="4"/>
  <c r="H469" i="4"/>
  <c r="G469" i="4"/>
  <c r="F469" i="4"/>
  <c r="E469" i="4"/>
  <c r="D469" i="4"/>
  <c r="C469" i="4"/>
  <c r="B469" i="4"/>
  <c r="A469" i="4"/>
  <c r="Q468" i="4"/>
  <c r="N468" i="4"/>
  <c r="M468" i="4"/>
  <c r="L468" i="4"/>
  <c r="K468" i="4"/>
  <c r="J468" i="4"/>
  <c r="I468" i="4"/>
  <c r="H468" i="4"/>
  <c r="G468" i="4"/>
  <c r="F468" i="4"/>
  <c r="E468" i="4"/>
  <c r="D468" i="4"/>
  <c r="C468" i="4"/>
  <c r="B468" i="4"/>
  <c r="A468" i="4"/>
  <c r="N467" i="4"/>
  <c r="M467" i="4"/>
  <c r="L467" i="4"/>
  <c r="K467" i="4"/>
  <c r="J467" i="4"/>
  <c r="I467" i="4"/>
  <c r="H467" i="4"/>
  <c r="G467" i="4"/>
  <c r="F467" i="4"/>
  <c r="E467" i="4"/>
  <c r="Q467" i="4" s="1"/>
  <c r="D467" i="4"/>
  <c r="C467" i="4"/>
  <c r="B467" i="4"/>
  <c r="A467" i="4"/>
  <c r="Q466" i="4"/>
  <c r="N466" i="4"/>
  <c r="M466" i="4"/>
  <c r="L466" i="4"/>
  <c r="K466" i="4"/>
  <c r="J466" i="4"/>
  <c r="I466" i="4"/>
  <c r="H466" i="4"/>
  <c r="G466" i="4"/>
  <c r="F466" i="4"/>
  <c r="E466" i="4"/>
  <c r="D466" i="4"/>
  <c r="C466" i="4"/>
  <c r="B466" i="4"/>
  <c r="A466" i="4"/>
  <c r="N465" i="4"/>
  <c r="M465" i="4"/>
  <c r="L465" i="4"/>
  <c r="K465" i="4"/>
  <c r="J465" i="4"/>
  <c r="I465" i="4"/>
  <c r="H465" i="4"/>
  <c r="G465" i="4"/>
  <c r="F465" i="4"/>
  <c r="E465" i="4"/>
  <c r="Q465" i="4" s="1"/>
  <c r="D465" i="4"/>
  <c r="C465" i="4"/>
  <c r="B465" i="4"/>
  <c r="A465" i="4"/>
  <c r="Q464" i="4"/>
  <c r="N464" i="4"/>
  <c r="M464" i="4"/>
  <c r="L464" i="4"/>
  <c r="K464" i="4"/>
  <c r="J464" i="4"/>
  <c r="I464" i="4"/>
  <c r="H464" i="4"/>
  <c r="G464" i="4"/>
  <c r="F464" i="4"/>
  <c r="E464" i="4"/>
  <c r="D464" i="4"/>
  <c r="C464" i="4"/>
  <c r="B464" i="4"/>
  <c r="A464" i="4"/>
  <c r="Q463" i="4"/>
  <c r="N463" i="4"/>
  <c r="M463" i="4"/>
  <c r="L463" i="4"/>
  <c r="K463" i="4"/>
  <c r="J463" i="4"/>
  <c r="I463" i="4"/>
  <c r="H463" i="4"/>
  <c r="G463" i="4"/>
  <c r="F463" i="4"/>
  <c r="E463" i="4"/>
  <c r="D463" i="4"/>
  <c r="C463" i="4"/>
  <c r="B463" i="4"/>
  <c r="A463" i="4"/>
  <c r="Q462" i="4"/>
  <c r="N462" i="4"/>
  <c r="M462" i="4"/>
  <c r="L462" i="4"/>
  <c r="K462" i="4"/>
  <c r="J462" i="4"/>
  <c r="I462" i="4"/>
  <c r="H462" i="4"/>
  <c r="G462" i="4"/>
  <c r="F462" i="4"/>
  <c r="E462" i="4"/>
  <c r="D462" i="4"/>
  <c r="C462" i="4"/>
  <c r="B462" i="4"/>
  <c r="A462" i="4"/>
  <c r="N461" i="4"/>
  <c r="M461" i="4"/>
  <c r="L461" i="4"/>
  <c r="K461" i="4"/>
  <c r="J461" i="4"/>
  <c r="I461" i="4"/>
  <c r="H461" i="4"/>
  <c r="G461" i="4"/>
  <c r="F461" i="4"/>
  <c r="E461" i="4"/>
  <c r="Q461" i="4" s="1"/>
  <c r="D461" i="4"/>
  <c r="C461" i="4"/>
  <c r="B461" i="4"/>
  <c r="A461" i="4"/>
  <c r="N460" i="4"/>
  <c r="M460" i="4"/>
  <c r="L460" i="4"/>
  <c r="K460" i="4"/>
  <c r="J460" i="4"/>
  <c r="I460" i="4"/>
  <c r="H460" i="4"/>
  <c r="G460" i="4"/>
  <c r="F460" i="4"/>
  <c r="E460" i="4"/>
  <c r="Q460" i="4" s="1"/>
  <c r="D460" i="4"/>
  <c r="C460" i="4"/>
  <c r="B460" i="4"/>
  <c r="A460" i="4"/>
  <c r="N459" i="4"/>
  <c r="M459" i="4"/>
  <c r="L459" i="4"/>
  <c r="K459" i="4"/>
  <c r="J459" i="4"/>
  <c r="I459" i="4"/>
  <c r="H459" i="4"/>
  <c r="G459" i="4"/>
  <c r="F459" i="4"/>
  <c r="E459" i="4"/>
  <c r="Q459" i="4" s="1"/>
  <c r="D459" i="4"/>
  <c r="C459" i="4"/>
  <c r="B459" i="4"/>
  <c r="A459" i="4"/>
  <c r="Q458" i="4"/>
  <c r="N458" i="4"/>
  <c r="M458" i="4"/>
  <c r="L458" i="4"/>
  <c r="K458" i="4"/>
  <c r="J458" i="4"/>
  <c r="I458" i="4"/>
  <c r="H458" i="4"/>
  <c r="G458" i="4"/>
  <c r="F458" i="4"/>
  <c r="E458" i="4"/>
  <c r="D458" i="4"/>
  <c r="C458" i="4"/>
  <c r="B458" i="4"/>
  <c r="A458" i="4"/>
  <c r="N457" i="4"/>
  <c r="M457" i="4"/>
  <c r="L457" i="4"/>
  <c r="K457" i="4"/>
  <c r="J457" i="4"/>
  <c r="I457" i="4"/>
  <c r="H457" i="4"/>
  <c r="G457" i="4"/>
  <c r="F457" i="4"/>
  <c r="E457" i="4"/>
  <c r="Q457" i="4" s="1"/>
  <c r="D457" i="4"/>
  <c r="C457" i="4"/>
  <c r="B457" i="4"/>
  <c r="A457" i="4"/>
  <c r="Q456" i="4"/>
  <c r="N456" i="4"/>
  <c r="M456" i="4"/>
  <c r="L456" i="4"/>
  <c r="K456" i="4"/>
  <c r="J456" i="4"/>
  <c r="I456" i="4"/>
  <c r="H456" i="4"/>
  <c r="G456" i="4"/>
  <c r="F456" i="4"/>
  <c r="E456" i="4"/>
  <c r="D456" i="4"/>
  <c r="C456" i="4"/>
  <c r="B456" i="4"/>
  <c r="A456" i="4"/>
  <c r="Q455" i="4"/>
  <c r="N455" i="4"/>
  <c r="M455" i="4"/>
  <c r="L455" i="4"/>
  <c r="K455" i="4"/>
  <c r="J455" i="4"/>
  <c r="I455" i="4"/>
  <c r="H455" i="4"/>
  <c r="G455" i="4"/>
  <c r="F455" i="4"/>
  <c r="E455" i="4"/>
  <c r="D455" i="4"/>
  <c r="C455" i="4"/>
  <c r="B455" i="4"/>
  <c r="A455" i="4"/>
  <c r="N454" i="4"/>
  <c r="M454" i="4"/>
  <c r="L454" i="4"/>
  <c r="K454" i="4"/>
  <c r="J454" i="4"/>
  <c r="I454" i="4"/>
  <c r="H454" i="4"/>
  <c r="G454" i="4"/>
  <c r="F454" i="4"/>
  <c r="E454" i="4"/>
  <c r="Q454" i="4" s="1"/>
  <c r="D454" i="4"/>
  <c r="C454" i="4"/>
  <c r="B454" i="4"/>
  <c r="A454" i="4"/>
  <c r="N453" i="4"/>
  <c r="M453" i="4"/>
  <c r="L453" i="4"/>
  <c r="K453" i="4"/>
  <c r="J453" i="4"/>
  <c r="I453" i="4"/>
  <c r="H453" i="4"/>
  <c r="G453" i="4"/>
  <c r="F453" i="4"/>
  <c r="E453" i="4"/>
  <c r="Q453" i="4" s="1"/>
  <c r="D453" i="4"/>
  <c r="C453" i="4"/>
  <c r="B453" i="4"/>
  <c r="A453" i="4"/>
  <c r="N452" i="4"/>
  <c r="M452" i="4"/>
  <c r="L452" i="4"/>
  <c r="K452" i="4"/>
  <c r="J452" i="4"/>
  <c r="I452" i="4"/>
  <c r="H452" i="4"/>
  <c r="G452" i="4"/>
  <c r="F452" i="4"/>
  <c r="E452" i="4"/>
  <c r="Q452" i="4" s="1"/>
  <c r="D452" i="4"/>
  <c r="C452" i="4"/>
  <c r="B452" i="4"/>
  <c r="A452" i="4"/>
  <c r="N451" i="4"/>
  <c r="M451" i="4"/>
  <c r="L451" i="4"/>
  <c r="K451" i="4"/>
  <c r="J451" i="4"/>
  <c r="I451" i="4"/>
  <c r="H451" i="4"/>
  <c r="G451" i="4"/>
  <c r="F451" i="4"/>
  <c r="E451" i="4"/>
  <c r="Q451" i="4" s="1"/>
  <c r="D451" i="4"/>
  <c r="C451" i="4"/>
  <c r="B451" i="4"/>
  <c r="A451" i="4"/>
  <c r="Q450" i="4"/>
  <c r="N450" i="4"/>
  <c r="M450" i="4"/>
  <c r="L450" i="4"/>
  <c r="K450" i="4"/>
  <c r="J450" i="4"/>
  <c r="I450" i="4"/>
  <c r="H450" i="4"/>
  <c r="G450" i="4"/>
  <c r="F450" i="4"/>
  <c r="E450" i="4"/>
  <c r="D450" i="4"/>
  <c r="C450" i="4"/>
  <c r="B450" i="4"/>
  <c r="A450" i="4"/>
  <c r="N449" i="4"/>
  <c r="M449" i="4"/>
  <c r="L449" i="4"/>
  <c r="K449" i="4"/>
  <c r="J449" i="4"/>
  <c r="I449" i="4"/>
  <c r="H449" i="4"/>
  <c r="G449" i="4"/>
  <c r="F449" i="4"/>
  <c r="E449" i="4"/>
  <c r="Q449" i="4" s="1"/>
  <c r="D449" i="4"/>
  <c r="C449" i="4"/>
  <c r="B449" i="4"/>
  <c r="A449" i="4"/>
  <c r="N448" i="4"/>
  <c r="M448" i="4"/>
  <c r="L448" i="4"/>
  <c r="K448" i="4"/>
  <c r="J448" i="4"/>
  <c r="I448" i="4"/>
  <c r="H448" i="4"/>
  <c r="G448" i="4"/>
  <c r="F448" i="4"/>
  <c r="E448" i="4"/>
  <c r="Q448" i="4" s="1"/>
  <c r="D448" i="4"/>
  <c r="C448" i="4"/>
  <c r="B448" i="4"/>
  <c r="A448" i="4"/>
  <c r="Q447" i="4"/>
  <c r="N447" i="4"/>
  <c r="M447" i="4"/>
  <c r="L447" i="4"/>
  <c r="K447" i="4"/>
  <c r="J447" i="4"/>
  <c r="I447" i="4"/>
  <c r="H447" i="4"/>
  <c r="G447" i="4"/>
  <c r="F447" i="4"/>
  <c r="E447" i="4"/>
  <c r="D447" i="4"/>
  <c r="C447" i="4"/>
  <c r="B447" i="4"/>
  <c r="A447" i="4"/>
  <c r="N446" i="4"/>
  <c r="M446" i="4"/>
  <c r="L446" i="4"/>
  <c r="K446" i="4"/>
  <c r="J446" i="4"/>
  <c r="I446" i="4"/>
  <c r="H446" i="4"/>
  <c r="G446" i="4"/>
  <c r="F446" i="4"/>
  <c r="E446" i="4"/>
  <c r="Q446" i="4" s="1"/>
  <c r="D446" i="4"/>
  <c r="C446" i="4"/>
  <c r="B446" i="4"/>
  <c r="A446" i="4"/>
  <c r="N445" i="4"/>
  <c r="M445" i="4"/>
  <c r="L445" i="4"/>
  <c r="K445" i="4"/>
  <c r="J445" i="4"/>
  <c r="I445" i="4"/>
  <c r="H445" i="4"/>
  <c r="G445" i="4"/>
  <c r="F445" i="4"/>
  <c r="E445" i="4"/>
  <c r="Q445" i="4" s="1"/>
  <c r="D445" i="4"/>
  <c r="C445" i="4"/>
  <c r="B445" i="4"/>
  <c r="A445" i="4"/>
  <c r="N444" i="4"/>
  <c r="M444" i="4"/>
  <c r="L444" i="4"/>
  <c r="K444" i="4"/>
  <c r="J444" i="4"/>
  <c r="I444" i="4"/>
  <c r="H444" i="4"/>
  <c r="G444" i="4"/>
  <c r="F444" i="4"/>
  <c r="E444" i="4"/>
  <c r="Q444" i="4" s="1"/>
  <c r="D444" i="4"/>
  <c r="C444" i="4"/>
  <c r="B444" i="4"/>
  <c r="A444" i="4"/>
  <c r="N443" i="4"/>
  <c r="M443" i="4"/>
  <c r="L443" i="4"/>
  <c r="K443" i="4"/>
  <c r="J443" i="4"/>
  <c r="I443" i="4"/>
  <c r="H443" i="4"/>
  <c r="G443" i="4"/>
  <c r="F443" i="4"/>
  <c r="E443" i="4"/>
  <c r="Q443" i="4" s="1"/>
  <c r="D443" i="4"/>
  <c r="C443" i="4"/>
  <c r="B443" i="4"/>
  <c r="A443" i="4"/>
  <c r="Q442" i="4"/>
  <c r="N442" i="4"/>
  <c r="M442" i="4"/>
  <c r="L442" i="4"/>
  <c r="K442" i="4"/>
  <c r="J442" i="4"/>
  <c r="I442" i="4"/>
  <c r="H442" i="4"/>
  <c r="G442" i="4"/>
  <c r="F442" i="4"/>
  <c r="E442" i="4"/>
  <c r="D442" i="4"/>
  <c r="C442" i="4"/>
  <c r="B442" i="4"/>
  <c r="A442" i="4"/>
  <c r="N441" i="4"/>
  <c r="M441" i="4"/>
  <c r="L441" i="4"/>
  <c r="K441" i="4"/>
  <c r="J441" i="4"/>
  <c r="I441" i="4"/>
  <c r="H441" i="4"/>
  <c r="G441" i="4"/>
  <c r="F441" i="4"/>
  <c r="E441" i="4"/>
  <c r="Q441" i="4" s="1"/>
  <c r="D441" i="4"/>
  <c r="C441" i="4"/>
  <c r="B441" i="4"/>
  <c r="A441" i="4"/>
  <c r="N440" i="4"/>
  <c r="M440" i="4"/>
  <c r="L440" i="4"/>
  <c r="K440" i="4"/>
  <c r="J440" i="4"/>
  <c r="I440" i="4"/>
  <c r="H440" i="4"/>
  <c r="G440" i="4"/>
  <c r="F440" i="4"/>
  <c r="E440" i="4"/>
  <c r="Q440" i="4" s="1"/>
  <c r="D440" i="4"/>
  <c r="C440" i="4"/>
  <c r="B440" i="4"/>
  <c r="A440" i="4"/>
  <c r="Q439" i="4"/>
  <c r="N439" i="4"/>
  <c r="M439" i="4"/>
  <c r="L439" i="4"/>
  <c r="K439" i="4"/>
  <c r="J439" i="4"/>
  <c r="I439" i="4"/>
  <c r="H439" i="4"/>
  <c r="G439" i="4"/>
  <c r="F439" i="4"/>
  <c r="E439" i="4"/>
  <c r="D439" i="4"/>
  <c r="C439" i="4"/>
  <c r="B439" i="4"/>
  <c r="A439" i="4"/>
  <c r="N438" i="4"/>
  <c r="M438" i="4"/>
  <c r="L438" i="4"/>
  <c r="K438" i="4"/>
  <c r="J438" i="4"/>
  <c r="I438" i="4"/>
  <c r="H438" i="4"/>
  <c r="G438" i="4"/>
  <c r="F438" i="4"/>
  <c r="E438" i="4"/>
  <c r="Q438" i="4" s="1"/>
  <c r="D438" i="4"/>
  <c r="C438" i="4"/>
  <c r="B438" i="4"/>
  <c r="A438" i="4"/>
  <c r="Q437" i="4"/>
  <c r="N437" i="4"/>
  <c r="M437" i="4"/>
  <c r="L437" i="4"/>
  <c r="K437" i="4"/>
  <c r="J437" i="4"/>
  <c r="I437" i="4"/>
  <c r="H437" i="4"/>
  <c r="G437" i="4"/>
  <c r="F437" i="4"/>
  <c r="E437" i="4"/>
  <c r="D437" i="4"/>
  <c r="C437" i="4"/>
  <c r="B437" i="4"/>
  <c r="A437" i="4"/>
  <c r="Q436" i="4"/>
  <c r="N436" i="4"/>
  <c r="M436" i="4"/>
  <c r="L436" i="4"/>
  <c r="K436" i="4"/>
  <c r="J436" i="4"/>
  <c r="I436" i="4"/>
  <c r="H436" i="4"/>
  <c r="G436" i="4"/>
  <c r="F436" i="4"/>
  <c r="E436" i="4"/>
  <c r="D436" i="4"/>
  <c r="C436" i="4"/>
  <c r="B436" i="4"/>
  <c r="A436" i="4"/>
  <c r="N435" i="4"/>
  <c r="M435" i="4"/>
  <c r="L435" i="4"/>
  <c r="K435" i="4"/>
  <c r="J435" i="4"/>
  <c r="I435" i="4"/>
  <c r="H435" i="4"/>
  <c r="G435" i="4"/>
  <c r="F435" i="4"/>
  <c r="E435" i="4"/>
  <c r="Q435" i="4" s="1"/>
  <c r="D435" i="4"/>
  <c r="C435" i="4"/>
  <c r="B435" i="4"/>
  <c r="A435" i="4"/>
  <c r="N434" i="4"/>
  <c r="M434" i="4"/>
  <c r="L434" i="4"/>
  <c r="K434" i="4"/>
  <c r="J434" i="4"/>
  <c r="I434" i="4"/>
  <c r="H434" i="4"/>
  <c r="G434" i="4"/>
  <c r="F434" i="4"/>
  <c r="E434" i="4"/>
  <c r="Q434" i="4" s="1"/>
  <c r="D434" i="4"/>
  <c r="C434" i="4"/>
  <c r="B434" i="4"/>
  <c r="A434" i="4"/>
  <c r="Q433" i="4"/>
  <c r="N433" i="4"/>
  <c r="M433" i="4"/>
  <c r="L433" i="4"/>
  <c r="K433" i="4"/>
  <c r="J433" i="4"/>
  <c r="I433" i="4"/>
  <c r="H433" i="4"/>
  <c r="G433" i="4"/>
  <c r="F433" i="4"/>
  <c r="E433" i="4"/>
  <c r="D433" i="4"/>
  <c r="C433" i="4"/>
  <c r="B433" i="4"/>
  <c r="A433" i="4"/>
  <c r="N432" i="4"/>
  <c r="M432" i="4"/>
  <c r="L432" i="4"/>
  <c r="K432" i="4"/>
  <c r="J432" i="4"/>
  <c r="I432" i="4"/>
  <c r="H432" i="4"/>
  <c r="G432" i="4"/>
  <c r="F432" i="4"/>
  <c r="E432" i="4"/>
  <c r="Q432" i="4" s="1"/>
  <c r="D432" i="4"/>
  <c r="C432" i="4"/>
  <c r="B432" i="4"/>
  <c r="A432" i="4"/>
  <c r="Q431" i="4"/>
  <c r="N431" i="4"/>
  <c r="M431" i="4"/>
  <c r="L431" i="4"/>
  <c r="K431" i="4"/>
  <c r="J431" i="4"/>
  <c r="I431" i="4"/>
  <c r="H431" i="4"/>
  <c r="G431" i="4"/>
  <c r="F431" i="4"/>
  <c r="E431" i="4"/>
  <c r="D431" i="4"/>
  <c r="C431" i="4"/>
  <c r="B431" i="4"/>
  <c r="A431" i="4"/>
  <c r="N430" i="4"/>
  <c r="M430" i="4"/>
  <c r="L430" i="4"/>
  <c r="K430" i="4"/>
  <c r="J430" i="4"/>
  <c r="I430" i="4"/>
  <c r="H430" i="4"/>
  <c r="G430" i="4"/>
  <c r="F430" i="4"/>
  <c r="E430" i="4"/>
  <c r="Q430" i="4" s="1"/>
  <c r="D430" i="4"/>
  <c r="C430" i="4"/>
  <c r="B430" i="4"/>
  <c r="A430" i="4"/>
  <c r="N429" i="4"/>
  <c r="M429" i="4"/>
  <c r="L429" i="4"/>
  <c r="K429" i="4"/>
  <c r="J429" i="4"/>
  <c r="I429" i="4"/>
  <c r="H429" i="4"/>
  <c r="G429" i="4"/>
  <c r="F429" i="4"/>
  <c r="E429" i="4"/>
  <c r="Q429" i="4" s="1"/>
  <c r="D429" i="4"/>
  <c r="C429" i="4"/>
  <c r="B429" i="4"/>
  <c r="A429" i="4"/>
  <c r="N428" i="4"/>
  <c r="M428" i="4"/>
  <c r="L428" i="4"/>
  <c r="K428" i="4"/>
  <c r="J428" i="4"/>
  <c r="I428" i="4"/>
  <c r="H428" i="4"/>
  <c r="G428" i="4"/>
  <c r="F428" i="4"/>
  <c r="E428" i="4"/>
  <c r="Q428" i="4" s="1"/>
  <c r="D428" i="4"/>
  <c r="C428" i="4"/>
  <c r="B428" i="4"/>
  <c r="A428" i="4"/>
  <c r="N427" i="4"/>
  <c r="M427" i="4"/>
  <c r="L427" i="4"/>
  <c r="K427" i="4"/>
  <c r="J427" i="4"/>
  <c r="I427" i="4"/>
  <c r="H427" i="4"/>
  <c r="G427" i="4"/>
  <c r="F427" i="4"/>
  <c r="E427" i="4"/>
  <c r="Q427" i="4" s="1"/>
  <c r="D427" i="4"/>
  <c r="C427" i="4"/>
  <c r="B427" i="4"/>
  <c r="A427" i="4"/>
  <c r="N426" i="4"/>
  <c r="M426" i="4"/>
  <c r="L426" i="4"/>
  <c r="K426" i="4"/>
  <c r="J426" i="4"/>
  <c r="I426" i="4"/>
  <c r="H426" i="4"/>
  <c r="G426" i="4"/>
  <c r="F426" i="4"/>
  <c r="E426" i="4"/>
  <c r="Q426" i="4" s="1"/>
  <c r="D426" i="4"/>
  <c r="C426" i="4"/>
  <c r="B426" i="4"/>
  <c r="A426" i="4"/>
  <c r="Q425" i="4"/>
  <c r="N425" i="4"/>
  <c r="M425" i="4"/>
  <c r="L425" i="4"/>
  <c r="K425" i="4"/>
  <c r="J425" i="4"/>
  <c r="I425" i="4"/>
  <c r="H425" i="4"/>
  <c r="G425" i="4"/>
  <c r="F425" i="4"/>
  <c r="E425" i="4"/>
  <c r="D425" i="4"/>
  <c r="C425" i="4"/>
  <c r="B425" i="4"/>
  <c r="A425" i="4"/>
  <c r="N424" i="4"/>
  <c r="M424" i="4"/>
  <c r="L424" i="4"/>
  <c r="K424" i="4"/>
  <c r="J424" i="4"/>
  <c r="I424" i="4"/>
  <c r="H424" i="4"/>
  <c r="G424" i="4"/>
  <c r="F424" i="4"/>
  <c r="E424" i="4"/>
  <c r="Q424" i="4" s="1"/>
  <c r="D424" i="4"/>
  <c r="C424" i="4"/>
  <c r="B424" i="4"/>
  <c r="A424" i="4"/>
  <c r="Q423" i="4"/>
  <c r="N423" i="4"/>
  <c r="M423" i="4"/>
  <c r="L423" i="4"/>
  <c r="K423" i="4"/>
  <c r="J423" i="4"/>
  <c r="I423" i="4"/>
  <c r="H423" i="4"/>
  <c r="G423" i="4"/>
  <c r="F423" i="4"/>
  <c r="E423" i="4"/>
  <c r="D423" i="4"/>
  <c r="C423" i="4"/>
  <c r="B423" i="4"/>
  <c r="A423" i="4"/>
  <c r="Q422" i="4"/>
  <c r="N422" i="4"/>
  <c r="M422" i="4"/>
  <c r="L422" i="4"/>
  <c r="K422" i="4"/>
  <c r="J422" i="4"/>
  <c r="I422" i="4"/>
  <c r="H422" i="4"/>
  <c r="G422" i="4"/>
  <c r="F422" i="4"/>
  <c r="E422" i="4"/>
  <c r="D422" i="4"/>
  <c r="C422" i="4"/>
  <c r="B422" i="4"/>
  <c r="A422" i="4"/>
  <c r="Q421" i="4"/>
  <c r="N421" i="4"/>
  <c r="M421" i="4"/>
  <c r="L421" i="4"/>
  <c r="K421" i="4"/>
  <c r="J421" i="4"/>
  <c r="I421" i="4"/>
  <c r="H421" i="4"/>
  <c r="G421" i="4"/>
  <c r="F421" i="4"/>
  <c r="E421" i="4"/>
  <c r="D421" i="4"/>
  <c r="C421" i="4"/>
  <c r="B421" i="4"/>
  <c r="A421" i="4"/>
  <c r="Q420" i="4"/>
  <c r="N420" i="4"/>
  <c r="M420" i="4"/>
  <c r="L420" i="4"/>
  <c r="K420" i="4"/>
  <c r="J420" i="4"/>
  <c r="I420" i="4"/>
  <c r="H420" i="4"/>
  <c r="G420" i="4"/>
  <c r="F420" i="4"/>
  <c r="E420" i="4"/>
  <c r="D420" i="4"/>
  <c r="C420" i="4"/>
  <c r="B420" i="4"/>
  <c r="A420" i="4"/>
  <c r="N419" i="4"/>
  <c r="M419" i="4"/>
  <c r="L419" i="4"/>
  <c r="K419" i="4"/>
  <c r="J419" i="4"/>
  <c r="I419" i="4"/>
  <c r="H419" i="4"/>
  <c r="G419" i="4"/>
  <c r="F419" i="4"/>
  <c r="E419" i="4"/>
  <c r="D419" i="4"/>
  <c r="C419" i="4"/>
  <c r="B419" i="4"/>
  <c r="A419" i="4"/>
  <c r="N418" i="4"/>
  <c r="M418" i="4"/>
  <c r="L418" i="4"/>
  <c r="K418" i="4"/>
  <c r="J418" i="4"/>
  <c r="I418" i="4"/>
  <c r="H418" i="4"/>
  <c r="G418" i="4"/>
  <c r="F418" i="4"/>
  <c r="E418" i="4"/>
  <c r="D418" i="4"/>
  <c r="C418" i="4"/>
  <c r="B418" i="4"/>
  <c r="A418" i="4"/>
  <c r="N417" i="4"/>
  <c r="M417" i="4"/>
  <c r="L417" i="4"/>
  <c r="K417" i="4"/>
  <c r="J417" i="4"/>
  <c r="I417" i="4"/>
  <c r="H417" i="4"/>
  <c r="G417" i="4"/>
  <c r="F417" i="4"/>
  <c r="E417" i="4"/>
  <c r="D417" i="4"/>
  <c r="C417" i="4"/>
  <c r="B417" i="4"/>
  <c r="A417" i="4"/>
  <c r="N416" i="4"/>
  <c r="M416" i="4"/>
  <c r="L416" i="4"/>
  <c r="K416" i="4"/>
  <c r="J416" i="4"/>
  <c r="I416" i="4"/>
  <c r="H416" i="4"/>
  <c r="G416" i="4"/>
  <c r="F416" i="4"/>
  <c r="E416" i="4"/>
  <c r="D416" i="4"/>
  <c r="C416" i="4"/>
  <c r="B416" i="4"/>
  <c r="A416" i="4"/>
  <c r="N415" i="4"/>
  <c r="M415" i="4"/>
  <c r="L415" i="4"/>
  <c r="K415" i="4"/>
  <c r="J415" i="4"/>
  <c r="I415" i="4"/>
  <c r="H415" i="4"/>
  <c r="G415" i="4"/>
  <c r="F415" i="4"/>
  <c r="E415" i="4"/>
  <c r="D415" i="4"/>
  <c r="C415" i="4"/>
  <c r="B415" i="4"/>
  <c r="A415" i="4"/>
  <c r="N414" i="4"/>
  <c r="M414" i="4"/>
  <c r="L414" i="4"/>
  <c r="K414" i="4"/>
  <c r="J414" i="4"/>
  <c r="I414" i="4"/>
  <c r="H414" i="4"/>
  <c r="G414" i="4"/>
  <c r="F414" i="4"/>
  <c r="E414" i="4"/>
  <c r="D414" i="4"/>
  <c r="C414" i="4"/>
  <c r="B414" i="4"/>
  <c r="A414" i="4"/>
  <c r="N413" i="4"/>
  <c r="M413" i="4"/>
  <c r="L413" i="4"/>
  <c r="K413" i="4"/>
  <c r="J413" i="4"/>
  <c r="I413" i="4"/>
  <c r="H413" i="4"/>
  <c r="G413" i="4"/>
  <c r="F413" i="4"/>
  <c r="E413" i="4"/>
  <c r="Q413" i="4" s="1"/>
  <c r="D413" i="4"/>
  <c r="C413" i="4"/>
  <c r="B413" i="4"/>
  <c r="A413" i="4"/>
  <c r="N412" i="4"/>
  <c r="M412" i="4"/>
  <c r="L412" i="4"/>
  <c r="K412" i="4"/>
  <c r="J412" i="4"/>
  <c r="I412" i="4"/>
  <c r="H412" i="4"/>
  <c r="G412" i="4"/>
  <c r="F412" i="4"/>
  <c r="E412" i="4"/>
  <c r="Q412" i="4" s="1"/>
  <c r="D412" i="4"/>
  <c r="C412" i="4"/>
  <c r="B412" i="4"/>
  <c r="A412" i="4"/>
  <c r="N411" i="4"/>
  <c r="M411" i="4"/>
  <c r="L411" i="4"/>
  <c r="K411" i="4"/>
  <c r="J411" i="4"/>
  <c r="I411" i="4"/>
  <c r="H411" i="4"/>
  <c r="G411" i="4"/>
  <c r="F411" i="4"/>
  <c r="E411" i="4"/>
  <c r="Q411" i="4" s="1"/>
  <c r="D411" i="4"/>
  <c r="C411" i="4"/>
  <c r="B411" i="4"/>
  <c r="A411" i="4"/>
  <c r="Q410" i="4"/>
  <c r="N410" i="4"/>
  <c r="M410" i="4"/>
  <c r="L410" i="4"/>
  <c r="K410" i="4"/>
  <c r="J410" i="4"/>
  <c r="I410" i="4"/>
  <c r="H410" i="4"/>
  <c r="G410" i="4"/>
  <c r="F410" i="4"/>
  <c r="E410" i="4"/>
  <c r="D410" i="4"/>
  <c r="C410" i="4"/>
  <c r="B410" i="4"/>
  <c r="A410" i="4"/>
  <c r="Q409" i="4"/>
  <c r="N409" i="4"/>
  <c r="M409" i="4"/>
  <c r="L409" i="4"/>
  <c r="K409" i="4"/>
  <c r="J409" i="4"/>
  <c r="I409" i="4"/>
  <c r="H409" i="4"/>
  <c r="G409" i="4"/>
  <c r="F409" i="4"/>
  <c r="E409" i="4"/>
  <c r="D409" i="4"/>
  <c r="C409" i="4"/>
  <c r="B409" i="4"/>
  <c r="A409" i="4"/>
  <c r="Q408" i="4"/>
  <c r="N408" i="4"/>
  <c r="M408" i="4"/>
  <c r="L408" i="4"/>
  <c r="K408" i="4"/>
  <c r="J408" i="4"/>
  <c r="I408" i="4"/>
  <c r="H408" i="4"/>
  <c r="G408" i="4"/>
  <c r="F408" i="4"/>
  <c r="E408" i="4"/>
  <c r="D408" i="4"/>
  <c r="C408" i="4"/>
  <c r="B408" i="4"/>
  <c r="A408" i="4"/>
  <c r="Q407" i="4"/>
  <c r="N407" i="4"/>
  <c r="M407" i="4"/>
  <c r="L407" i="4"/>
  <c r="K407" i="4"/>
  <c r="J407" i="4"/>
  <c r="I407" i="4"/>
  <c r="H407" i="4"/>
  <c r="G407" i="4"/>
  <c r="F407" i="4"/>
  <c r="E407" i="4"/>
  <c r="D407" i="4"/>
  <c r="C407" i="4"/>
  <c r="B407" i="4"/>
  <c r="A407" i="4"/>
  <c r="Q406" i="4"/>
  <c r="N406" i="4"/>
  <c r="M406" i="4"/>
  <c r="L406" i="4"/>
  <c r="K406" i="4"/>
  <c r="J406" i="4"/>
  <c r="I406" i="4"/>
  <c r="H406" i="4"/>
  <c r="G406" i="4"/>
  <c r="F406" i="4"/>
  <c r="E406" i="4"/>
  <c r="D406" i="4"/>
  <c r="C406" i="4"/>
  <c r="B406" i="4"/>
  <c r="A406" i="4"/>
  <c r="N405" i="4"/>
  <c r="M405" i="4"/>
  <c r="L405" i="4"/>
  <c r="K405" i="4"/>
  <c r="J405" i="4"/>
  <c r="I405" i="4"/>
  <c r="H405" i="4"/>
  <c r="G405" i="4"/>
  <c r="F405" i="4"/>
  <c r="E405" i="4"/>
  <c r="Q405" i="4" s="1"/>
  <c r="D405" i="4"/>
  <c r="C405" i="4"/>
  <c r="B405" i="4"/>
  <c r="A405" i="4"/>
  <c r="N404" i="4"/>
  <c r="M404" i="4"/>
  <c r="L404" i="4"/>
  <c r="K404" i="4"/>
  <c r="J404" i="4"/>
  <c r="I404" i="4"/>
  <c r="H404" i="4"/>
  <c r="G404" i="4"/>
  <c r="F404" i="4"/>
  <c r="E404" i="4"/>
  <c r="Q404" i="4" s="1"/>
  <c r="D404" i="4"/>
  <c r="C404" i="4"/>
  <c r="B404" i="4"/>
  <c r="A404" i="4"/>
  <c r="N403" i="4"/>
  <c r="M403" i="4"/>
  <c r="L403" i="4"/>
  <c r="K403" i="4"/>
  <c r="J403" i="4"/>
  <c r="I403" i="4"/>
  <c r="H403" i="4"/>
  <c r="G403" i="4"/>
  <c r="F403" i="4"/>
  <c r="E403" i="4"/>
  <c r="Q403" i="4" s="1"/>
  <c r="D403" i="4"/>
  <c r="C403" i="4"/>
  <c r="B403" i="4"/>
  <c r="A403" i="4"/>
  <c r="Q402" i="4"/>
  <c r="N402" i="4"/>
  <c r="M402" i="4"/>
  <c r="L402" i="4"/>
  <c r="K402" i="4"/>
  <c r="J402" i="4"/>
  <c r="I402" i="4"/>
  <c r="H402" i="4"/>
  <c r="G402" i="4"/>
  <c r="F402" i="4"/>
  <c r="E402" i="4"/>
  <c r="D402" i="4"/>
  <c r="C402" i="4"/>
  <c r="B402" i="4"/>
  <c r="A402" i="4"/>
  <c r="Q401" i="4"/>
  <c r="N401" i="4"/>
  <c r="M401" i="4"/>
  <c r="L401" i="4"/>
  <c r="K401" i="4"/>
  <c r="J401" i="4"/>
  <c r="I401" i="4"/>
  <c r="H401" i="4"/>
  <c r="G401" i="4"/>
  <c r="F401" i="4"/>
  <c r="E401" i="4"/>
  <c r="D401" i="4"/>
  <c r="C401" i="4"/>
  <c r="B401" i="4"/>
  <c r="A401" i="4"/>
  <c r="Q400" i="4"/>
  <c r="N400" i="4"/>
  <c r="M400" i="4"/>
  <c r="L400" i="4"/>
  <c r="K400" i="4"/>
  <c r="J400" i="4"/>
  <c r="I400" i="4"/>
  <c r="H400" i="4"/>
  <c r="G400" i="4"/>
  <c r="F400" i="4"/>
  <c r="E400" i="4"/>
  <c r="D400" i="4"/>
  <c r="C400" i="4"/>
  <c r="B400" i="4"/>
  <c r="A400" i="4"/>
  <c r="Q399" i="4"/>
  <c r="N399" i="4"/>
  <c r="M399" i="4"/>
  <c r="L399" i="4"/>
  <c r="K399" i="4"/>
  <c r="J399" i="4"/>
  <c r="I399" i="4"/>
  <c r="H399" i="4"/>
  <c r="G399" i="4"/>
  <c r="F399" i="4"/>
  <c r="E399" i="4"/>
  <c r="D399" i="4"/>
  <c r="C399" i="4"/>
  <c r="B399" i="4"/>
  <c r="A399" i="4"/>
  <c r="N398" i="4"/>
  <c r="M398" i="4"/>
  <c r="L398" i="4"/>
  <c r="K398" i="4"/>
  <c r="J398" i="4"/>
  <c r="I398" i="4"/>
  <c r="H398" i="4"/>
  <c r="G398" i="4"/>
  <c r="F398" i="4"/>
  <c r="E398" i="4"/>
  <c r="Q398" i="4" s="1"/>
  <c r="D398" i="4"/>
  <c r="C398" i="4"/>
  <c r="B398" i="4"/>
  <c r="A398" i="4"/>
  <c r="N397" i="4"/>
  <c r="M397" i="4"/>
  <c r="L397" i="4"/>
  <c r="K397" i="4"/>
  <c r="J397" i="4"/>
  <c r="I397" i="4"/>
  <c r="H397" i="4"/>
  <c r="G397" i="4"/>
  <c r="F397" i="4"/>
  <c r="E397" i="4"/>
  <c r="Q397" i="4" s="1"/>
  <c r="D397" i="4"/>
  <c r="C397" i="4"/>
  <c r="B397" i="4"/>
  <c r="A397" i="4"/>
  <c r="N396" i="4"/>
  <c r="M396" i="4"/>
  <c r="L396" i="4"/>
  <c r="K396" i="4"/>
  <c r="J396" i="4"/>
  <c r="I396" i="4"/>
  <c r="H396" i="4"/>
  <c r="G396" i="4"/>
  <c r="F396" i="4"/>
  <c r="E396" i="4"/>
  <c r="Q396" i="4" s="1"/>
  <c r="D396" i="4"/>
  <c r="C396" i="4"/>
  <c r="B396" i="4"/>
  <c r="A396" i="4"/>
  <c r="N395" i="4"/>
  <c r="M395" i="4"/>
  <c r="L395" i="4"/>
  <c r="K395" i="4"/>
  <c r="J395" i="4"/>
  <c r="I395" i="4"/>
  <c r="H395" i="4"/>
  <c r="G395" i="4"/>
  <c r="F395" i="4"/>
  <c r="E395" i="4"/>
  <c r="Q395" i="4" s="1"/>
  <c r="D395" i="4"/>
  <c r="C395" i="4"/>
  <c r="B395" i="4"/>
  <c r="A395" i="4"/>
  <c r="Q394" i="4"/>
  <c r="N394" i="4"/>
  <c r="M394" i="4"/>
  <c r="L394" i="4"/>
  <c r="K394" i="4"/>
  <c r="J394" i="4"/>
  <c r="I394" i="4"/>
  <c r="H394" i="4"/>
  <c r="G394" i="4"/>
  <c r="F394" i="4"/>
  <c r="E394" i="4"/>
  <c r="D394" i="4"/>
  <c r="C394" i="4"/>
  <c r="B394" i="4"/>
  <c r="A394" i="4"/>
  <c r="Q393" i="4"/>
  <c r="N393" i="4"/>
  <c r="M393" i="4"/>
  <c r="L393" i="4"/>
  <c r="K393" i="4"/>
  <c r="J393" i="4"/>
  <c r="I393" i="4"/>
  <c r="H393" i="4"/>
  <c r="G393" i="4"/>
  <c r="F393" i="4"/>
  <c r="E393" i="4"/>
  <c r="D393" i="4"/>
  <c r="C393" i="4"/>
  <c r="B393" i="4"/>
  <c r="A393" i="4"/>
  <c r="N392" i="4"/>
  <c r="M392" i="4"/>
  <c r="L392" i="4"/>
  <c r="K392" i="4"/>
  <c r="J392" i="4"/>
  <c r="I392" i="4"/>
  <c r="H392" i="4"/>
  <c r="G392" i="4"/>
  <c r="F392" i="4"/>
  <c r="E392" i="4"/>
  <c r="Q392" i="4" s="1"/>
  <c r="D392" i="4"/>
  <c r="C392" i="4"/>
  <c r="B392" i="4"/>
  <c r="A392" i="4"/>
  <c r="Q391" i="4"/>
  <c r="N391" i="4"/>
  <c r="M391" i="4"/>
  <c r="L391" i="4"/>
  <c r="K391" i="4"/>
  <c r="J391" i="4"/>
  <c r="I391" i="4"/>
  <c r="H391" i="4"/>
  <c r="G391" i="4"/>
  <c r="F391" i="4"/>
  <c r="E391" i="4"/>
  <c r="D391" i="4"/>
  <c r="C391" i="4"/>
  <c r="B391" i="4"/>
  <c r="A391" i="4"/>
  <c r="N390" i="4"/>
  <c r="M390" i="4"/>
  <c r="L390" i="4"/>
  <c r="K390" i="4"/>
  <c r="J390" i="4"/>
  <c r="I390" i="4"/>
  <c r="H390" i="4"/>
  <c r="G390" i="4"/>
  <c r="F390" i="4"/>
  <c r="E390" i="4"/>
  <c r="Q390" i="4" s="1"/>
  <c r="D390" i="4"/>
  <c r="C390" i="4"/>
  <c r="B390" i="4"/>
  <c r="A390" i="4"/>
  <c r="N389" i="4"/>
  <c r="M389" i="4"/>
  <c r="L389" i="4"/>
  <c r="K389" i="4"/>
  <c r="J389" i="4"/>
  <c r="I389" i="4"/>
  <c r="H389" i="4"/>
  <c r="G389" i="4"/>
  <c r="F389" i="4"/>
  <c r="E389" i="4"/>
  <c r="Q389" i="4" s="1"/>
  <c r="D389" i="4"/>
  <c r="C389" i="4"/>
  <c r="B389" i="4"/>
  <c r="A389" i="4"/>
  <c r="N388" i="4"/>
  <c r="M388" i="4"/>
  <c r="L388" i="4"/>
  <c r="K388" i="4"/>
  <c r="J388" i="4"/>
  <c r="I388" i="4"/>
  <c r="H388" i="4"/>
  <c r="G388" i="4"/>
  <c r="F388" i="4"/>
  <c r="E388" i="4"/>
  <c r="Q388" i="4" s="1"/>
  <c r="D388" i="4"/>
  <c r="C388" i="4"/>
  <c r="B388" i="4"/>
  <c r="A388" i="4"/>
  <c r="Q387" i="4"/>
  <c r="N387" i="4"/>
  <c r="M387" i="4"/>
  <c r="L387" i="4"/>
  <c r="K387" i="4"/>
  <c r="J387" i="4"/>
  <c r="I387" i="4"/>
  <c r="H387" i="4"/>
  <c r="G387" i="4"/>
  <c r="F387" i="4"/>
  <c r="E387" i="4"/>
  <c r="D387" i="4"/>
  <c r="C387" i="4"/>
  <c r="B387" i="4"/>
  <c r="A387" i="4"/>
  <c r="Q386" i="4"/>
  <c r="N386" i="4"/>
  <c r="M386" i="4"/>
  <c r="L386" i="4"/>
  <c r="K386" i="4"/>
  <c r="J386" i="4"/>
  <c r="I386" i="4"/>
  <c r="H386" i="4"/>
  <c r="G386" i="4"/>
  <c r="F386" i="4"/>
  <c r="E386" i="4"/>
  <c r="D386" i="4"/>
  <c r="C386" i="4"/>
  <c r="B386" i="4"/>
  <c r="A386" i="4"/>
  <c r="Q385" i="4"/>
  <c r="N385" i="4"/>
  <c r="M385" i="4"/>
  <c r="L385" i="4"/>
  <c r="K385" i="4"/>
  <c r="J385" i="4"/>
  <c r="I385" i="4"/>
  <c r="H385" i="4"/>
  <c r="G385" i="4"/>
  <c r="F385" i="4"/>
  <c r="E385" i="4"/>
  <c r="D385" i="4"/>
  <c r="C385" i="4"/>
  <c r="B385" i="4"/>
  <c r="A385" i="4"/>
  <c r="N384" i="4"/>
  <c r="M384" i="4"/>
  <c r="L384" i="4"/>
  <c r="K384" i="4"/>
  <c r="J384" i="4"/>
  <c r="I384" i="4"/>
  <c r="H384" i="4"/>
  <c r="G384" i="4"/>
  <c r="F384" i="4"/>
  <c r="E384" i="4"/>
  <c r="Q384" i="4" s="1"/>
  <c r="D384" i="4"/>
  <c r="C384" i="4"/>
  <c r="B384" i="4"/>
  <c r="A384" i="4"/>
  <c r="Q383" i="4"/>
  <c r="N383" i="4"/>
  <c r="M383" i="4"/>
  <c r="L383" i="4"/>
  <c r="K383" i="4"/>
  <c r="J383" i="4"/>
  <c r="I383" i="4"/>
  <c r="H383" i="4"/>
  <c r="G383" i="4"/>
  <c r="F383" i="4"/>
  <c r="E383" i="4"/>
  <c r="D383" i="4"/>
  <c r="C383" i="4"/>
  <c r="B383" i="4"/>
  <c r="A383" i="4"/>
  <c r="N382" i="4"/>
  <c r="M382" i="4"/>
  <c r="L382" i="4"/>
  <c r="K382" i="4"/>
  <c r="J382" i="4"/>
  <c r="I382" i="4"/>
  <c r="H382" i="4"/>
  <c r="G382" i="4"/>
  <c r="F382" i="4"/>
  <c r="E382" i="4"/>
  <c r="D382" i="4"/>
  <c r="C382" i="4"/>
  <c r="B382" i="4"/>
  <c r="A382" i="4"/>
  <c r="N381" i="4"/>
  <c r="M381" i="4"/>
  <c r="L381" i="4"/>
  <c r="K381" i="4"/>
  <c r="J381" i="4"/>
  <c r="I381" i="4"/>
  <c r="H381" i="4"/>
  <c r="G381" i="4"/>
  <c r="F381" i="4"/>
  <c r="E381" i="4"/>
  <c r="D381" i="4"/>
  <c r="C381" i="4"/>
  <c r="B381" i="4"/>
  <c r="A381" i="4"/>
  <c r="N380" i="4"/>
  <c r="M380" i="4"/>
  <c r="L380" i="4"/>
  <c r="K380" i="4"/>
  <c r="J380" i="4"/>
  <c r="I380" i="4"/>
  <c r="H380" i="4"/>
  <c r="G380" i="4"/>
  <c r="F380" i="4"/>
  <c r="E380" i="4"/>
  <c r="Q380" i="4" s="1"/>
  <c r="D380" i="4"/>
  <c r="C380" i="4"/>
  <c r="B380" i="4"/>
  <c r="A380" i="4"/>
  <c r="Q379" i="4"/>
  <c r="N379" i="4"/>
  <c r="M379" i="4"/>
  <c r="L379" i="4"/>
  <c r="K379" i="4"/>
  <c r="J379" i="4"/>
  <c r="I379" i="4"/>
  <c r="H379" i="4"/>
  <c r="G379" i="4"/>
  <c r="F379" i="4"/>
  <c r="E379" i="4"/>
  <c r="D379" i="4"/>
  <c r="C379" i="4"/>
  <c r="B379" i="4"/>
  <c r="A379" i="4"/>
  <c r="N378" i="4"/>
  <c r="M378" i="4"/>
  <c r="L378" i="4"/>
  <c r="K378" i="4"/>
  <c r="J378" i="4"/>
  <c r="I378" i="4"/>
  <c r="H378" i="4"/>
  <c r="G378" i="4"/>
  <c r="F378" i="4"/>
  <c r="E378" i="4"/>
  <c r="Q378" i="4" s="1"/>
  <c r="D378" i="4"/>
  <c r="C378" i="4"/>
  <c r="B378" i="4"/>
  <c r="A378" i="4"/>
  <c r="Q377" i="4"/>
  <c r="N377" i="4"/>
  <c r="M377" i="4"/>
  <c r="L377" i="4"/>
  <c r="K377" i="4"/>
  <c r="J377" i="4"/>
  <c r="I377" i="4"/>
  <c r="H377" i="4"/>
  <c r="G377" i="4"/>
  <c r="F377" i="4"/>
  <c r="E377" i="4"/>
  <c r="D377" i="4"/>
  <c r="C377" i="4"/>
  <c r="B377" i="4"/>
  <c r="A377" i="4"/>
  <c r="N376" i="4"/>
  <c r="M376" i="4"/>
  <c r="L376" i="4"/>
  <c r="K376" i="4"/>
  <c r="J376" i="4"/>
  <c r="I376" i="4"/>
  <c r="H376" i="4"/>
  <c r="G376" i="4"/>
  <c r="F376" i="4"/>
  <c r="E376" i="4"/>
  <c r="D376" i="4"/>
  <c r="C376" i="4"/>
  <c r="B376" i="4"/>
  <c r="A376" i="4"/>
  <c r="N375" i="4"/>
  <c r="M375" i="4"/>
  <c r="L375" i="4"/>
  <c r="K375" i="4"/>
  <c r="J375" i="4"/>
  <c r="I375" i="4"/>
  <c r="H375" i="4"/>
  <c r="G375" i="4"/>
  <c r="F375" i="4"/>
  <c r="E375" i="4"/>
  <c r="D375" i="4"/>
  <c r="C375" i="4"/>
  <c r="B375" i="4"/>
  <c r="A375" i="4"/>
  <c r="N374" i="4"/>
  <c r="M374" i="4"/>
  <c r="L374" i="4"/>
  <c r="K374" i="4"/>
  <c r="J374" i="4"/>
  <c r="I374" i="4"/>
  <c r="H374" i="4"/>
  <c r="G374" i="4"/>
  <c r="F374" i="4"/>
  <c r="E374" i="4"/>
  <c r="D374" i="4"/>
  <c r="C374" i="4"/>
  <c r="B374" i="4"/>
  <c r="A374" i="4"/>
  <c r="N373" i="4"/>
  <c r="M373" i="4"/>
  <c r="L373" i="4"/>
  <c r="K373" i="4"/>
  <c r="J373" i="4"/>
  <c r="I373" i="4"/>
  <c r="H373" i="4"/>
  <c r="G373" i="4"/>
  <c r="F373" i="4"/>
  <c r="E373" i="4"/>
  <c r="D373" i="4"/>
  <c r="C373" i="4"/>
  <c r="B373" i="4"/>
  <c r="A373" i="4"/>
  <c r="N372" i="4"/>
  <c r="M372" i="4"/>
  <c r="L372" i="4"/>
  <c r="K372" i="4"/>
  <c r="J372" i="4"/>
  <c r="I372" i="4"/>
  <c r="H372" i="4"/>
  <c r="G372" i="4"/>
  <c r="F372" i="4"/>
  <c r="E372" i="4"/>
  <c r="D372" i="4"/>
  <c r="C372" i="4"/>
  <c r="B372" i="4"/>
  <c r="A372" i="4"/>
  <c r="N371" i="4"/>
  <c r="M371" i="4"/>
  <c r="L371" i="4"/>
  <c r="K371" i="4"/>
  <c r="J371" i="4"/>
  <c r="I371" i="4"/>
  <c r="H371" i="4"/>
  <c r="G371" i="4"/>
  <c r="F371" i="4"/>
  <c r="E371" i="4"/>
  <c r="D371" i="4"/>
  <c r="C371" i="4"/>
  <c r="B371" i="4"/>
  <c r="A371" i="4"/>
  <c r="N370" i="4"/>
  <c r="M370" i="4"/>
  <c r="L370" i="4"/>
  <c r="K370" i="4"/>
  <c r="J370" i="4"/>
  <c r="I370" i="4"/>
  <c r="H370" i="4"/>
  <c r="G370" i="4"/>
  <c r="F370" i="4"/>
  <c r="E370" i="4"/>
  <c r="D370" i="4"/>
  <c r="C370" i="4"/>
  <c r="B370" i="4"/>
  <c r="A370" i="4"/>
  <c r="Q369" i="4"/>
  <c r="N369" i="4"/>
  <c r="M369" i="4"/>
  <c r="L369" i="4"/>
  <c r="K369" i="4"/>
  <c r="J369" i="4"/>
  <c r="I369" i="4"/>
  <c r="H369" i="4"/>
  <c r="G369" i="4"/>
  <c r="F369" i="4"/>
  <c r="E369" i="4"/>
  <c r="D369" i="4"/>
  <c r="C369" i="4"/>
  <c r="B369" i="4"/>
  <c r="A369" i="4"/>
  <c r="Q368" i="4"/>
  <c r="O368" i="4"/>
  <c r="P368" i="4" s="1"/>
  <c r="N368" i="4"/>
  <c r="M368" i="4"/>
  <c r="L368" i="4"/>
  <c r="K368" i="4"/>
  <c r="J368" i="4"/>
  <c r="I368" i="4"/>
  <c r="H368" i="4"/>
  <c r="G368" i="4"/>
  <c r="F368" i="4"/>
  <c r="E368" i="4"/>
  <c r="D368" i="4"/>
  <c r="C368" i="4"/>
  <c r="B368" i="4"/>
  <c r="A368" i="4"/>
  <c r="Q367" i="4"/>
  <c r="P367" i="4"/>
  <c r="N367" i="4"/>
  <c r="M367" i="4"/>
  <c r="L367" i="4"/>
  <c r="K367" i="4"/>
  <c r="J367" i="4"/>
  <c r="I367" i="4"/>
  <c r="H367" i="4"/>
  <c r="G367" i="4"/>
  <c r="F367" i="4"/>
  <c r="O367" i="4" s="1"/>
  <c r="E367" i="4"/>
  <c r="D367" i="4"/>
  <c r="C367" i="4"/>
  <c r="B367" i="4"/>
  <c r="A367" i="4"/>
  <c r="Q366" i="4"/>
  <c r="N366" i="4"/>
  <c r="M366" i="4"/>
  <c r="L366" i="4"/>
  <c r="K366" i="4"/>
  <c r="J366" i="4"/>
  <c r="I366" i="4"/>
  <c r="H366" i="4"/>
  <c r="G366" i="4"/>
  <c r="F366" i="4"/>
  <c r="E366" i="4"/>
  <c r="D366" i="4"/>
  <c r="C366" i="4"/>
  <c r="B366" i="4"/>
  <c r="A366" i="4"/>
  <c r="N365" i="4"/>
  <c r="M365" i="4"/>
  <c r="L365" i="4"/>
  <c r="K365" i="4"/>
  <c r="J365" i="4"/>
  <c r="I365" i="4"/>
  <c r="H365" i="4"/>
  <c r="G365" i="4"/>
  <c r="F365" i="4"/>
  <c r="E365" i="4"/>
  <c r="Q365" i="4" s="1"/>
  <c r="D365" i="4"/>
  <c r="C365" i="4"/>
  <c r="B365" i="4"/>
  <c r="A365" i="4"/>
  <c r="N364" i="4"/>
  <c r="M364" i="4"/>
  <c r="L364" i="4"/>
  <c r="K364" i="4"/>
  <c r="J364" i="4"/>
  <c r="I364" i="4"/>
  <c r="H364" i="4"/>
  <c r="G364" i="4"/>
  <c r="F364" i="4"/>
  <c r="E364" i="4"/>
  <c r="Q364" i="4" s="1"/>
  <c r="D364" i="4"/>
  <c r="C364" i="4"/>
  <c r="B364" i="4"/>
  <c r="A364" i="4"/>
  <c r="N363" i="4"/>
  <c r="M363" i="4"/>
  <c r="L363" i="4"/>
  <c r="K363" i="4"/>
  <c r="J363" i="4"/>
  <c r="I363" i="4"/>
  <c r="H363" i="4"/>
  <c r="G363" i="4"/>
  <c r="F363" i="4"/>
  <c r="E363" i="4"/>
  <c r="Q363" i="4" s="1"/>
  <c r="D363" i="4"/>
  <c r="C363" i="4"/>
  <c r="B363" i="4"/>
  <c r="A363" i="4"/>
  <c r="Q362" i="4"/>
  <c r="N362" i="4"/>
  <c r="M362" i="4"/>
  <c r="L362" i="4"/>
  <c r="K362" i="4"/>
  <c r="J362" i="4"/>
  <c r="I362" i="4"/>
  <c r="H362" i="4"/>
  <c r="G362" i="4"/>
  <c r="F362" i="4"/>
  <c r="E362" i="4"/>
  <c r="D362" i="4"/>
  <c r="C362" i="4"/>
  <c r="B362" i="4"/>
  <c r="A362" i="4"/>
  <c r="Q361" i="4"/>
  <c r="N361" i="4"/>
  <c r="M361" i="4"/>
  <c r="L361" i="4"/>
  <c r="K361" i="4"/>
  <c r="J361" i="4"/>
  <c r="I361" i="4"/>
  <c r="H361" i="4"/>
  <c r="G361" i="4"/>
  <c r="F361" i="4"/>
  <c r="E361" i="4"/>
  <c r="D361" i="4"/>
  <c r="C361" i="4"/>
  <c r="B361" i="4"/>
  <c r="A361" i="4"/>
  <c r="Q360" i="4"/>
  <c r="N360" i="4"/>
  <c r="M360" i="4"/>
  <c r="L360" i="4"/>
  <c r="K360" i="4"/>
  <c r="J360" i="4"/>
  <c r="I360" i="4"/>
  <c r="H360" i="4"/>
  <c r="G360" i="4"/>
  <c r="F360" i="4"/>
  <c r="E360" i="4"/>
  <c r="D360" i="4"/>
  <c r="C360" i="4"/>
  <c r="B360" i="4"/>
  <c r="A360" i="4"/>
  <c r="Q359" i="4"/>
  <c r="N359" i="4"/>
  <c r="M359" i="4"/>
  <c r="L359" i="4"/>
  <c r="K359" i="4"/>
  <c r="J359" i="4"/>
  <c r="I359" i="4"/>
  <c r="H359" i="4"/>
  <c r="G359" i="4"/>
  <c r="F359" i="4"/>
  <c r="E359" i="4"/>
  <c r="D359" i="4"/>
  <c r="C359" i="4"/>
  <c r="B359" i="4"/>
  <c r="A359" i="4"/>
  <c r="Q358" i="4"/>
  <c r="N358" i="4"/>
  <c r="M358" i="4"/>
  <c r="L358" i="4"/>
  <c r="K358" i="4"/>
  <c r="J358" i="4"/>
  <c r="I358" i="4"/>
  <c r="H358" i="4"/>
  <c r="G358" i="4"/>
  <c r="F358" i="4"/>
  <c r="E358" i="4"/>
  <c r="D358" i="4"/>
  <c r="C358" i="4"/>
  <c r="B358" i="4"/>
  <c r="A358" i="4"/>
  <c r="N357" i="4"/>
  <c r="M357" i="4"/>
  <c r="L357" i="4"/>
  <c r="K357" i="4"/>
  <c r="J357" i="4"/>
  <c r="I357" i="4"/>
  <c r="H357" i="4"/>
  <c r="G357" i="4"/>
  <c r="F357" i="4"/>
  <c r="E357" i="4"/>
  <c r="D357" i="4"/>
  <c r="C357" i="4"/>
  <c r="B357" i="4"/>
  <c r="A357" i="4"/>
  <c r="N356" i="4"/>
  <c r="M356" i="4"/>
  <c r="L356" i="4"/>
  <c r="K356" i="4"/>
  <c r="J356" i="4"/>
  <c r="I356" i="4"/>
  <c r="H356" i="4"/>
  <c r="G356" i="4"/>
  <c r="F356" i="4"/>
  <c r="E356" i="4"/>
  <c r="D356" i="4"/>
  <c r="C356" i="4"/>
  <c r="B356" i="4"/>
  <c r="A356" i="4"/>
  <c r="N355" i="4"/>
  <c r="M355" i="4"/>
  <c r="L355" i="4"/>
  <c r="K355" i="4"/>
  <c r="J355" i="4"/>
  <c r="I355" i="4"/>
  <c r="H355" i="4"/>
  <c r="G355" i="4"/>
  <c r="F355" i="4"/>
  <c r="E355" i="4"/>
  <c r="D355" i="4"/>
  <c r="C355" i="4"/>
  <c r="B355" i="4"/>
  <c r="A355" i="4"/>
  <c r="N354" i="4"/>
  <c r="M354" i="4"/>
  <c r="L354" i="4"/>
  <c r="K354" i="4"/>
  <c r="J354" i="4"/>
  <c r="I354" i="4"/>
  <c r="H354" i="4"/>
  <c r="G354" i="4"/>
  <c r="F354" i="4"/>
  <c r="E354" i="4"/>
  <c r="D354" i="4"/>
  <c r="C354" i="4"/>
  <c r="B354" i="4"/>
  <c r="A354" i="4"/>
  <c r="N353" i="4"/>
  <c r="M353" i="4"/>
  <c r="L353" i="4"/>
  <c r="K353" i="4"/>
  <c r="J353" i="4"/>
  <c r="I353" i="4"/>
  <c r="H353" i="4"/>
  <c r="G353" i="4"/>
  <c r="F353" i="4"/>
  <c r="E353" i="4"/>
  <c r="D353" i="4"/>
  <c r="C353" i="4"/>
  <c r="B353" i="4"/>
  <c r="A353" i="4"/>
  <c r="N352" i="4"/>
  <c r="M352" i="4"/>
  <c r="L352" i="4"/>
  <c r="K352" i="4"/>
  <c r="J352" i="4"/>
  <c r="I352" i="4"/>
  <c r="H352" i="4"/>
  <c r="G352" i="4"/>
  <c r="F352" i="4"/>
  <c r="E352" i="4"/>
  <c r="D352" i="4"/>
  <c r="C352" i="4"/>
  <c r="B352" i="4"/>
  <c r="A352" i="4"/>
  <c r="N351" i="4"/>
  <c r="M351" i="4"/>
  <c r="L351" i="4"/>
  <c r="K351" i="4"/>
  <c r="J351" i="4"/>
  <c r="I351" i="4"/>
  <c r="H351" i="4"/>
  <c r="G351" i="4"/>
  <c r="F351" i="4"/>
  <c r="E351" i="4"/>
  <c r="Q351" i="4" s="1"/>
  <c r="D351" i="4"/>
  <c r="C351" i="4"/>
  <c r="B351" i="4"/>
  <c r="A351" i="4"/>
  <c r="N350" i="4"/>
  <c r="M350" i="4"/>
  <c r="L350" i="4"/>
  <c r="K350" i="4"/>
  <c r="J350" i="4"/>
  <c r="I350" i="4"/>
  <c r="H350" i="4"/>
  <c r="G350" i="4"/>
  <c r="F350" i="4"/>
  <c r="E350" i="4"/>
  <c r="Q350" i="4" s="1"/>
  <c r="D350" i="4"/>
  <c r="C350" i="4"/>
  <c r="B350" i="4"/>
  <c r="A350" i="4"/>
  <c r="N349" i="4"/>
  <c r="M349" i="4"/>
  <c r="L349" i="4"/>
  <c r="K349" i="4"/>
  <c r="J349" i="4"/>
  <c r="I349" i="4"/>
  <c r="H349" i="4"/>
  <c r="G349" i="4"/>
  <c r="F349" i="4"/>
  <c r="E349" i="4"/>
  <c r="Q349" i="4" s="1"/>
  <c r="D349" i="4"/>
  <c r="C349" i="4"/>
  <c r="B349" i="4"/>
  <c r="A349" i="4"/>
  <c r="N348" i="4"/>
  <c r="M348" i="4"/>
  <c r="L348" i="4"/>
  <c r="K348" i="4"/>
  <c r="J348" i="4"/>
  <c r="I348" i="4"/>
  <c r="H348" i="4"/>
  <c r="G348" i="4"/>
  <c r="F348" i="4"/>
  <c r="E348" i="4"/>
  <c r="Q348" i="4" s="1"/>
  <c r="D348" i="4"/>
  <c r="C348" i="4"/>
  <c r="B348" i="4"/>
  <c r="A348" i="4"/>
  <c r="Q347" i="4"/>
  <c r="N347" i="4"/>
  <c r="M347" i="4"/>
  <c r="L347" i="4"/>
  <c r="K347" i="4"/>
  <c r="J347" i="4"/>
  <c r="I347" i="4"/>
  <c r="H347" i="4"/>
  <c r="G347" i="4"/>
  <c r="F347" i="4"/>
  <c r="E347" i="4"/>
  <c r="D347" i="4"/>
  <c r="C347" i="4"/>
  <c r="B347" i="4"/>
  <c r="A347" i="4"/>
  <c r="N346" i="4"/>
  <c r="M346" i="4"/>
  <c r="L346" i="4"/>
  <c r="K346" i="4"/>
  <c r="J346" i="4"/>
  <c r="I346" i="4"/>
  <c r="H346" i="4"/>
  <c r="G346" i="4"/>
  <c r="F346" i="4"/>
  <c r="E346" i="4"/>
  <c r="D346" i="4"/>
  <c r="C346" i="4"/>
  <c r="B346" i="4"/>
  <c r="A346" i="4"/>
  <c r="N345" i="4"/>
  <c r="M345" i="4"/>
  <c r="L345" i="4"/>
  <c r="K345" i="4"/>
  <c r="J345" i="4"/>
  <c r="I345" i="4"/>
  <c r="H345" i="4"/>
  <c r="G345" i="4"/>
  <c r="F345" i="4"/>
  <c r="E345" i="4"/>
  <c r="D345" i="4"/>
  <c r="C345" i="4"/>
  <c r="B345" i="4"/>
  <c r="A345" i="4"/>
  <c r="N344" i="4"/>
  <c r="M344" i="4"/>
  <c r="L344" i="4"/>
  <c r="K344" i="4"/>
  <c r="J344" i="4"/>
  <c r="I344" i="4"/>
  <c r="H344" i="4"/>
  <c r="G344" i="4"/>
  <c r="F344" i="4"/>
  <c r="E344" i="4"/>
  <c r="D344" i="4"/>
  <c r="C344" i="4"/>
  <c r="B344" i="4"/>
  <c r="A344" i="4"/>
  <c r="N343" i="4"/>
  <c r="M343" i="4"/>
  <c r="L343" i="4"/>
  <c r="K343" i="4"/>
  <c r="J343" i="4"/>
  <c r="I343" i="4"/>
  <c r="H343" i="4"/>
  <c r="G343" i="4"/>
  <c r="F343" i="4"/>
  <c r="E343" i="4"/>
  <c r="D343" i="4"/>
  <c r="C343" i="4"/>
  <c r="B343" i="4"/>
  <c r="A343" i="4"/>
  <c r="Q342" i="4"/>
  <c r="N342" i="4"/>
  <c r="M342" i="4"/>
  <c r="L342" i="4"/>
  <c r="K342" i="4"/>
  <c r="J342" i="4"/>
  <c r="I342" i="4"/>
  <c r="H342" i="4"/>
  <c r="G342" i="4"/>
  <c r="F342" i="4"/>
  <c r="E342" i="4"/>
  <c r="D342" i="4"/>
  <c r="C342" i="4"/>
  <c r="B342" i="4"/>
  <c r="A342" i="4"/>
  <c r="N341" i="4"/>
  <c r="M341" i="4"/>
  <c r="L341" i="4"/>
  <c r="K341" i="4"/>
  <c r="J341" i="4"/>
  <c r="I341" i="4"/>
  <c r="H341" i="4"/>
  <c r="G341" i="4"/>
  <c r="F341" i="4"/>
  <c r="E341" i="4"/>
  <c r="Q341" i="4" s="1"/>
  <c r="D341" i="4"/>
  <c r="C341" i="4"/>
  <c r="B341" i="4"/>
  <c r="A341" i="4"/>
  <c r="Q340" i="4"/>
  <c r="N340" i="4"/>
  <c r="M340" i="4"/>
  <c r="L340" i="4"/>
  <c r="K340" i="4"/>
  <c r="J340" i="4"/>
  <c r="I340" i="4"/>
  <c r="H340" i="4"/>
  <c r="G340" i="4"/>
  <c r="F340" i="4"/>
  <c r="E340" i="4"/>
  <c r="D340" i="4"/>
  <c r="C340" i="4"/>
  <c r="B340" i="4"/>
  <c r="A340" i="4"/>
  <c r="Q339" i="4"/>
  <c r="N339" i="4"/>
  <c r="M339" i="4"/>
  <c r="L339" i="4"/>
  <c r="K339" i="4"/>
  <c r="J339" i="4"/>
  <c r="I339" i="4"/>
  <c r="H339" i="4"/>
  <c r="G339" i="4"/>
  <c r="F339" i="4"/>
  <c r="E339" i="4"/>
  <c r="D339" i="4"/>
  <c r="C339" i="4"/>
  <c r="B339" i="4"/>
  <c r="A339" i="4"/>
  <c r="N338" i="4"/>
  <c r="M338" i="4"/>
  <c r="L338" i="4"/>
  <c r="K338" i="4"/>
  <c r="J338" i="4"/>
  <c r="I338" i="4"/>
  <c r="H338" i="4"/>
  <c r="G338" i="4"/>
  <c r="F338" i="4"/>
  <c r="E338" i="4"/>
  <c r="Q338" i="4" s="1"/>
  <c r="D338" i="4"/>
  <c r="C338" i="4"/>
  <c r="B338" i="4"/>
  <c r="A338" i="4"/>
  <c r="Q337" i="4"/>
  <c r="N337" i="4"/>
  <c r="M337" i="4"/>
  <c r="L337" i="4"/>
  <c r="K337" i="4"/>
  <c r="J337" i="4"/>
  <c r="I337" i="4"/>
  <c r="H337" i="4"/>
  <c r="G337" i="4"/>
  <c r="F337" i="4"/>
  <c r="E337" i="4"/>
  <c r="D337" i="4"/>
  <c r="C337" i="4"/>
  <c r="B337" i="4"/>
  <c r="A337" i="4"/>
  <c r="N336" i="4"/>
  <c r="M336" i="4"/>
  <c r="L336" i="4"/>
  <c r="K336" i="4"/>
  <c r="J336" i="4"/>
  <c r="I336" i="4"/>
  <c r="H336" i="4"/>
  <c r="G336" i="4"/>
  <c r="F336" i="4"/>
  <c r="E336" i="4"/>
  <c r="Q336" i="4" s="1"/>
  <c r="D336" i="4"/>
  <c r="C336" i="4"/>
  <c r="B336" i="4"/>
  <c r="A336" i="4"/>
  <c r="N335" i="4"/>
  <c r="M335" i="4"/>
  <c r="L335" i="4"/>
  <c r="K335" i="4"/>
  <c r="J335" i="4"/>
  <c r="I335" i="4"/>
  <c r="H335" i="4"/>
  <c r="G335" i="4"/>
  <c r="F335" i="4"/>
  <c r="E335" i="4"/>
  <c r="Q335" i="4" s="1"/>
  <c r="D335" i="4"/>
  <c r="C335" i="4"/>
  <c r="B335" i="4"/>
  <c r="A335" i="4"/>
  <c r="Q334" i="4"/>
  <c r="N334" i="4"/>
  <c r="M334" i="4"/>
  <c r="L334" i="4"/>
  <c r="K334" i="4"/>
  <c r="J334" i="4"/>
  <c r="I334" i="4"/>
  <c r="H334" i="4"/>
  <c r="G334" i="4"/>
  <c r="F334" i="4"/>
  <c r="E334" i="4"/>
  <c r="D334" i="4"/>
  <c r="C334" i="4"/>
  <c r="B334" i="4"/>
  <c r="A334" i="4"/>
  <c r="N333" i="4"/>
  <c r="M333" i="4"/>
  <c r="L333" i="4"/>
  <c r="K333" i="4"/>
  <c r="J333" i="4"/>
  <c r="I333" i="4"/>
  <c r="H333" i="4"/>
  <c r="G333" i="4"/>
  <c r="F333" i="4"/>
  <c r="E333" i="4"/>
  <c r="Q333" i="4" s="1"/>
  <c r="D333" i="4"/>
  <c r="C333" i="4"/>
  <c r="B333" i="4"/>
  <c r="A333" i="4"/>
  <c r="Q332" i="4"/>
  <c r="N332" i="4"/>
  <c r="M332" i="4"/>
  <c r="L332" i="4"/>
  <c r="K332" i="4"/>
  <c r="J332" i="4"/>
  <c r="I332" i="4"/>
  <c r="H332" i="4"/>
  <c r="G332" i="4"/>
  <c r="F332" i="4"/>
  <c r="E332" i="4"/>
  <c r="D332" i="4"/>
  <c r="C332" i="4"/>
  <c r="B332" i="4"/>
  <c r="A332" i="4"/>
  <c r="Q331" i="4"/>
  <c r="N331" i="4"/>
  <c r="M331" i="4"/>
  <c r="L331" i="4"/>
  <c r="K331" i="4"/>
  <c r="J331" i="4"/>
  <c r="I331" i="4"/>
  <c r="H331" i="4"/>
  <c r="G331" i="4"/>
  <c r="F331" i="4"/>
  <c r="E331" i="4"/>
  <c r="D331" i="4"/>
  <c r="C331" i="4"/>
  <c r="B331" i="4"/>
  <c r="A331" i="4"/>
  <c r="N330" i="4"/>
  <c r="M330" i="4"/>
  <c r="L330" i="4"/>
  <c r="K330" i="4"/>
  <c r="J330" i="4"/>
  <c r="I330" i="4"/>
  <c r="H330" i="4"/>
  <c r="G330" i="4"/>
  <c r="F330" i="4"/>
  <c r="E330" i="4"/>
  <c r="Q330" i="4" s="1"/>
  <c r="D330" i="4"/>
  <c r="C330" i="4"/>
  <c r="B330" i="4"/>
  <c r="A330" i="4"/>
  <c r="Q329" i="4"/>
  <c r="N329" i="4"/>
  <c r="M329" i="4"/>
  <c r="L329" i="4"/>
  <c r="K329" i="4"/>
  <c r="J329" i="4"/>
  <c r="I329" i="4"/>
  <c r="H329" i="4"/>
  <c r="G329" i="4"/>
  <c r="F329" i="4"/>
  <c r="E329" i="4"/>
  <c r="D329" i="4"/>
  <c r="C329" i="4"/>
  <c r="B329" i="4"/>
  <c r="A329" i="4"/>
  <c r="N328" i="4"/>
  <c r="M328" i="4"/>
  <c r="L328" i="4"/>
  <c r="K328" i="4"/>
  <c r="J328" i="4"/>
  <c r="I328" i="4"/>
  <c r="H328" i="4"/>
  <c r="G328" i="4"/>
  <c r="F328" i="4"/>
  <c r="E328" i="4"/>
  <c r="Q328" i="4" s="1"/>
  <c r="D328" i="4"/>
  <c r="C328" i="4"/>
  <c r="B328" i="4"/>
  <c r="A328" i="4"/>
  <c r="N327" i="4"/>
  <c r="M327" i="4"/>
  <c r="L327" i="4"/>
  <c r="K327" i="4"/>
  <c r="J327" i="4"/>
  <c r="I327" i="4"/>
  <c r="H327" i="4"/>
  <c r="G327" i="4"/>
  <c r="F327" i="4"/>
  <c r="E327" i="4"/>
  <c r="Q327" i="4" s="1"/>
  <c r="D327" i="4"/>
  <c r="C327" i="4"/>
  <c r="B327" i="4"/>
  <c r="A327" i="4"/>
  <c r="Q326" i="4"/>
  <c r="N326" i="4"/>
  <c r="M326" i="4"/>
  <c r="L326" i="4"/>
  <c r="K326" i="4"/>
  <c r="J326" i="4"/>
  <c r="I326" i="4"/>
  <c r="H326" i="4"/>
  <c r="G326" i="4"/>
  <c r="F326" i="4"/>
  <c r="E326" i="4"/>
  <c r="D326" i="4"/>
  <c r="C326" i="4"/>
  <c r="B326" i="4"/>
  <c r="A326" i="4"/>
  <c r="N325" i="4"/>
  <c r="M325" i="4"/>
  <c r="L325" i="4"/>
  <c r="K325" i="4"/>
  <c r="J325" i="4"/>
  <c r="I325" i="4"/>
  <c r="H325" i="4"/>
  <c r="G325" i="4"/>
  <c r="F325" i="4"/>
  <c r="E325" i="4"/>
  <c r="Q325" i="4" s="1"/>
  <c r="D325" i="4"/>
  <c r="C325" i="4"/>
  <c r="B325" i="4"/>
  <c r="A325" i="4"/>
  <c r="Q324" i="4"/>
  <c r="N324" i="4"/>
  <c r="M324" i="4"/>
  <c r="L324" i="4"/>
  <c r="K324" i="4"/>
  <c r="J324" i="4"/>
  <c r="I324" i="4"/>
  <c r="H324" i="4"/>
  <c r="G324" i="4"/>
  <c r="F324" i="4"/>
  <c r="E324" i="4"/>
  <c r="D324" i="4"/>
  <c r="C324" i="4"/>
  <c r="B324" i="4"/>
  <c r="A324" i="4"/>
  <c r="Q323" i="4"/>
  <c r="N323" i="4"/>
  <c r="M323" i="4"/>
  <c r="L323" i="4"/>
  <c r="K323" i="4"/>
  <c r="J323" i="4"/>
  <c r="I323" i="4"/>
  <c r="H323" i="4"/>
  <c r="G323" i="4"/>
  <c r="F323" i="4"/>
  <c r="E323" i="4"/>
  <c r="D323" i="4"/>
  <c r="C323" i="4"/>
  <c r="B323" i="4"/>
  <c r="A323" i="4"/>
  <c r="N322" i="4"/>
  <c r="M322" i="4"/>
  <c r="L322" i="4"/>
  <c r="K322" i="4"/>
  <c r="J322" i="4"/>
  <c r="I322" i="4"/>
  <c r="H322" i="4"/>
  <c r="G322" i="4"/>
  <c r="F322" i="4"/>
  <c r="E322" i="4"/>
  <c r="Q322" i="4" s="1"/>
  <c r="D322" i="4"/>
  <c r="C322" i="4"/>
  <c r="B322" i="4"/>
  <c r="A322" i="4"/>
  <c r="Q321" i="4"/>
  <c r="N321" i="4"/>
  <c r="M321" i="4"/>
  <c r="L321" i="4"/>
  <c r="K321" i="4"/>
  <c r="J321" i="4"/>
  <c r="I321" i="4"/>
  <c r="H321" i="4"/>
  <c r="G321" i="4"/>
  <c r="F321" i="4"/>
  <c r="E321" i="4"/>
  <c r="D321" i="4"/>
  <c r="C321" i="4"/>
  <c r="B321" i="4"/>
  <c r="A321" i="4"/>
  <c r="N320" i="4"/>
  <c r="M320" i="4"/>
  <c r="L320" i="4"/>
  <c r="K320" i="4"/>
  <c r="J320" i="4"/>
  <c r="I320" i="4"/>
  <c r="H320" i="4"/>
  <c r="G320" i="4"/>
  <c r="F320" i="4"/>
  <c r="E320" i="4"/>
  <c r="Q320" i="4" s="1"/>
  <c r="D320" i="4"/>
  <c r="C320" i="4"/>
  <c r="B320" i="4"/>
  <c r="A320" i="4"/>
  <c r="N319" i="4"/>
  <c r="M319" i="4"/>
  <c r="L319" i="4"/>
  <c r="K319" i="4"/>
  <c r="J319" i="4"/>
  <c r="I319" i="4"/>
  <c r="H319" i="4"/>
  <c r="G319" i="4"/>
  <c r="F319" i="4"/>
  <c r="E319" i="4"/>
  <c r="Q319" i="4" s="1"/>
  <c r="D319" i="4"/>
  <c r="C319" i="4"/>
  <c r="B319" i="4"/>
  <c r="A319" i="4"/>
  <c r="Q318" i="4"/>
  <c r="N318" i="4"/>
  <c r="M318" i="4"/>
  <c r="L318" i="4"/>
  <c r="K318" i="4"/>
  <c r="J318" i="4"/>
  <c r="I318" i="4"/>
  <c r="H318" i="4"/>
  <c r="G318" i="4"/>
  <c r="F318" i="4"/>
  <c r="E318" i="4"/>
  <c r="D318" i="4"/>
  <c r="C318" i="4"/>
  <c r="B318" i="4"/>
  <c r="A318" i="4"/>
  <c r="N317" i="4"/>
  <c r="M317" i="4"/>
  <c r="L317" i="4"/>
  <c r="K317" i="4"/>
  <c r="J317" i="4"/>
  <c r="I317" i="4"/>
  <c r="H317" i="4"/>
  <c r="G317" i="4"/>
  <c r="F317" i="4"/>
  <c r="E317" i="4"/>
  <c r="Q317" i="4" s="1"/>
  <c r="D317" i="4"/>
  <c r="C317" i="4"/>
  <c r="B317" i="4"/>
  <c r="A317" i="4"/>
  <c r="Q316" i="4"/>
  <c r="N316" i="4"/>
  <c r="M316" i="4"/>
  <c r="L316" i="4"/>
  <c r="K316" i="4"/>
  <c r="J316" i="4"/>
  <c r="I316" i="4"/>
  <c r="H316" i="4"/>
  <c r="G316" i="4"/>
  <c r="F316" i="4"/>
  <c r="E316" i="4"/>
  <c r="D316" i="4"/>
  <c r="C316" i="4"/>
  <c r="B316" i="4"/>
  <c r="A316" i="4"/>
  <c r="Q315" i="4"/>
  <c r="N315" i="4"/>
  <c r="M315" i="4"/>
  <c r="L315" i="4"/>
  <c r="K315" i="4"/>
  <c r="J315" i="4"/>
  <c r="I315" i="4"/>
  <c r="H315" i="4"/>
  <c r="G315" i="4"/>
  <c r="F315" i="4"/>
  <c r="E315" i="4"/>
  <c r="D315" i="4"/>
  <c r="C315" i="4"/>
  <c r="B315" i="4"/>
  <c r="A315" i="4"/>
  <c r="N314" i="4"/>
  <c r="M314" i="4"/>
  <c r="L314" i="4"/>
  <c r="K314" i="4"/>
  <c r="J314" i="4"/>
  <c r="I314" i="4"/>
  <c r="H314" i="4"/>
  <c r="G314" i="4"/>
  <c r="F314" i="4"/>
  <c r="E314" i="4"/>
  <c r="Q314" i="4" s="1"/>
  <c r="D314" i="4"/>
  <c r="C314" i="4"/>
  <c r="B314" i="4"/>
  <c r="A314" i="4"/>
  <c r="Q313" i="4"/>
  <c r="N313" i="4"/>
  <c r="M313" i="4"/>
  <c r="L313" i="4"/>
  <c r="K313" i="4"/>
  <c r="J313" i="4"/>
  <c r="I313" i="4"/>
  <c r="H313" i="4"/>
  <c r="G313" i="4"/>
  <c r="F313" i="4"/>
  <c r="E313" i="4"/>
  <c r="D313" i="4"/>
  <c r="C313" i="4"/>
  <c r="B313" i="4"/>
  <c r="A313" i="4"/>
  <c r="N312" i="4"/>
  <c r="M312" i="4"/>
  <c r="L312" i="4"/>
  <c r="K312" i="4"/>
  <c r="J312" i="4"/>
  <c r="I312" i="4"/>
  <c r="H312" i="4"/>
  <c r="G312" i="4"/>
  <c r="F312" i="4"/>
  <c r="E312" i="4"/>
  <c r="Q312" i="4" s="1"/>
  <c r="D312" i="4"/>
  <c r="C312" i="4"/>
  <c r="B312" i="4"/>
  <c r="A312" i="4"/>
  <c r="N311" i="4"/>
  <c r="M311" i="4"/>
  <c r="L311" i="4"/>
  <c r="K311" i="4"/>
  <c r="J311" i="4"/>
  <c r="I311" i="4"/>
  <c r="H311" i="4"/>
  <c r="G311" i="4"/>
  <c r="F311" i="4"/>
  <c r="E311" i="4"/>
  <c r="Q311" i="4" s="1"/>
  <c r="D311" i="4"/>
  <c r="C311" i="4"/>
  <c r="B311" i="4"/>
  <c r="A311" i="4"/>
  <c r="N310" i="4"/>
  <c r="M310" i="4"/>
  <c r="L310" i="4"/>
  <c r="K310" i="4"/>
  <c r="J310" i="4"/>
  <c r="I310" i="4"/>
  <c r="H310" i="4"/>
  <c r="G310" i="4"/>
  <c r="F310" i="4"/>
  <c r="E310" i="4"/>
  <c r="Q310" i="4" s="1"/>
  <c r="D310" i="4"/>
  <c r="C310" i="4"/>
  <c r="B310" i="4"/>
  <c r="A310" i="4"/>
  <c r="N309" i="4"/>
  <c r="M309" i="4"/>
  <c r="L309" i="4"/>
  <c r="K309" i="4"/>
  <c r="J309" i="4"/>
  <c r="I309" i="4"/>
  <c r="H309" i="4"/>
  <c r="G309" i="4"/>
  <c r="F309" i="4"/>
  <c r="E309" i="4"/>
  <c r="Q309" i="4" s="1"/>
  <c r="D309" i="4"/>
  <c r="C309" i="4"/>
  <c r="B309" i="4"/>
  <c r="A309" i="4"/>
  <c r="Q308" i="4"/>
  <c r="N308" i="4"/>
  <c r="M308" i="4"/>
  <c r="L308" i="4"/>
  <c r="K308" i="4"/>
  <c r="J308" i="4"/>
  <c r="I308" i="4"/>
  <c r="H308" i="4"/>
  <c r="G308" i="4"/>
  <c r="F308" i="4"/>
  <c r="E308" i="4"/>
  <c r="D308" i="4"/>
  <c r="C308" i="4"/>
  <c r="B308" i="4"/>
  <c r="A308" i="4"/>
  <c r="Q307" i="4"/>
  <c r="N307" i="4"/>
  <c r="M307" i="4"/>
  <c r="L307" i="4"/>
  <c r="K307" i="4"/>
  <c r="J307" i="4"/>
  <c r="I307" i="4"/>
  <c r="H307" i="4"/>
  <c r="G307" i="4"/>
  <c r="F307" i="4"/>
  <c r="E307" i="4"/>
  <c r="D307" i="4"/>
  <c r="C307" i="4"/>
  <c r="B307" i="4"/>
  <c r="A307" i="4"/>
  <c r="Q306" i="4"/>
  <c r="N306" i="4"/>
  <c r="M306" i="4"/>
  <c r="L306" i="4"/>
  <c r="K306" i="4"/>
  <c r="J306" i="4"/>
  <c r="I306" i="4"/>
  <c r="H306" i="4"/>
  <c r="G306" i="4"/>
  <c r="F306" i="4"/>
  <c r="E306" i="4"/>
  <c r="D306" i="4"/>
  <c r="C306" i="4"/>
  <c r="B306" i="4"/>
  <c r="A306" i="4"/>
  <c r="Q305" i="4"/>
  <c r="N305" i="4"/>
  <c r="M305" i="4"/>
  <c r="L305" i="4"/>
  <c r="K305" i="4"/>
  <c r="J305" i="4"/>
  <c r="I305" i="4"/>
  <c r="H305" i="4"/>
  <c r="G305" i="4"/>
  <c r="F305" i="4"/>
  <c r="E305" i="4"/>
  <c r="D305" i="4"/>
  <c r="C305" i="4"/>
  <c r="B305" i="4"/>
  <c r="A305" i="4"/>
  <c r="N304" i="4"/>
  <c r="M304" i="4"/>
  <c r="L304" i="4"/>
  <c r="K304" i="4"/>
  <c r="J304" i="4"/>
  <c r="I304" i="4"/>
  <c r="H304" i="4"/>
  <c r="G304" i="4"/>
  <c r="F304" i="4"/>
  <c r="E304" i="4"/>
  <c r="Q304" i="4" s="1"/>
  <c r="D304" i="4"/>
  <c r="C304" i="4"/>
  <c r="B304" i="4"/>
  <c r="A304" i="4"/>
  <c r="N303" i="4"/>
  <c r="M303" i="4"/>
  <c r="L303" i="4"/>
  <c r="K303" i="4"/>
  <c r="J303" i="4"/>
  <c r="I303" i="4"/>
  <c r="H303" i="4"/>
  <c r="G303" i="4"/>
  <c r="F303" i="4"/>
  <c r="E303" i="4"/>
  <c r="Q303" i="4" s="1"/>
  <c r="D303" i="4"/>
  <c r="C303" i="4"/>
  <c r="B303" i="4"/>
  <c r="A303" i="4"/>
  <c r="N302" i="4"/>
  <c r="M302" i="4"/>
  <c r="L302" i="4"/>
  <c r="K302" i="4"/>
  <c r="J302" i="4"/>
  <c r="I302" i="4"/>
  <c r="H302" i="4"/>
  <c r="G302" i="4"/>
  <c r="F302" i="4"/>
  <c r="E302" i="4"/>
  <c r="Q302" i="4" s="1"/>
  <c r="D302" i="4"/>
  <c r="C302" i="4"/>
  <c r="B302" i="4"/>
  <c r="A302" i="4"/>
  <c r="N301" i="4"/>
  <c r="M301" i="4"/>
  <c r="L301" i="4"/>
  <c r="K301" i="4"/>
  <c r="J301" i="4"/>
  <c r="I301" i="4"/>
  <c r="H301" i="4"/>
  <c r="G301" i="4"/>
  <c r="F301" i="4"/>
  <c r="E301" i="4"/>
  <c r="Q301" i="4" s="1"/>
  <c r="D301" i="4"/>
  <c r="C301" i="4"/>
  <c r="B301" i="4"/>
  <c r="A301" i="4"/>
  <c r="Q300" i="4"/>
  <c r="N300" i="4"/>
  <c r="M300" i="4"/>
  <c r="L300" i="4"/>
  <c r="K300" i="4"/>
  <c r="J300" i="4"/>
  <c r="I300" i="4"/>
  <c r="H300" i="4"/>
  <c r="G300" i="4"/>
  <c r="F300" i="4"/>
  <c r="E300" i="4"/>
  <c r="D300" i="4"/>
  <c r="C300" i="4"/>
  <c r="B300" i="4"/>
  <c r="A300" i="4"/>
  <c r="Q299" i="4"/>
  <c r="N299" i="4"/>
  <c r="M299" i="4"/>
  <c r="L299" i="4"/>
  <c r="K299" i="4"/>
  <c r="J299" i="4"/>
  <c r="I299" i="4"/>
  <c r="H299" i="4"/>
  <c r="G299" i="4"/>
  <c r="F299" i="4"/>
  <c r="E299" i="4"/>
  <c r="D299" i="4"/>
  <c r="C299" i="4"/>
  <c r="B299" i="4"/>
  <c r="A299" i="4"/>
  <c r="Q298" i="4"/>
  <c r="N298" i="4"/>
  <c r="M298" i="4"/>
  <c r="L298" i="4"/>
  <c r="K298" i="4"/>
  <c r="J298" i="4"/>
  <c r="I298" i="4"/>
  <c r="H298" i="4"/>
  <c r="G298" i="4"/>
  <c r="F298" i="4"/>
  <c r="E298" i="4"/>
  <c r="D298" i="4"/>
  <c r="C298" i="4"/>
  <c r="B298" i="4"/>
  <c r="A298" i="4"/>
  <c r="Q297" i="4"/>
  <c r="N297" i="4"/>
  <c r="M297" i="4"/>
  <c r="L297" i="4"/>
  <c r="K297" i="4"/>
  <c r="J297" i="4"/>
  <c r="I297" i="4"/>
  <c r="H297" i="4"/>
  <c r="G297" i="4"/>
  <c r="F297" i="4"/>
  <c r="E297" i="4"/>
  <c r="D297" i="4"/>
  <c r="C297" i="4"/>
  <c r="B297" i="4"/>
  <c r="A297" i="4"/>
  <c r="N296" i="4"/>
  <c r="M296" i="4"/>
  <c r="L296" i="4"/>
  <c r="K296" i="4"/>
  <c r="J296" i="4"/>
  <c r="I296" i="4"/>
  <c r="H296" i="4"/>
  <c r="G296" i="4"/>
  <c r="F296" i="4"/>
  <c r="E296" i="4"/>
  <c r="Q296" i="4" s="1"/>
  <c r="D296" i="4"/>
  <c r="C296" i="4"/>
  <c r="B296" i="4"/>
  <c r="A296" i="4"/>
  <c r="N295" i="4"/>
  <c r="M295" i="4"/>
  <c r="L295" i="4"/>
  <c r="K295" i="4"/>
  <c r="J295" i="4"/>
  <c r="I295" i="4"/>
  <c r="H295" i="4"/>
  <c r="G295" i="4"/>
  <c r="F295" i="4"/>
  <c r="E295" i="4"/>
  <c r="Q295" i="4" s="1"/>
  <c r="D295" i="4"/>
  <c r="C295" i="4"/>
  <c r="B295" i="4"/>
  <c r="A295" i="4"/>
  <c r="Q294" i="4"/>
  <c r="N294" i="4"/>
  <c r="M294" i="4"/>
  <c r="L294" i="4"/>
  <c r="K294" i="4"/>
  <c r="J294" i="4"/>
  <c r="I294" i="4"/>
  <c r="H294" i="4"/>
  <c r="G294" i="4"/>
  <c r="F294" i="4"/>
  <c r="E294" i="4"/>
  <c r="D294" i="4"/>
  <c r="C294" i="4"/>
  <c r="B294" i="4"/>
  <c r="A294" i="4"/>
  <c r="N293" i="4"/>
  <c r="M293" i="4"/>
  <c r="L293" i="4"/>
  <c r="K293" i="4"/>
  <c r="J293" i="4"/>
  <c r="I293" i="4"/>
  <c r="H293" i="4"/>
  <c r="G293" i="4"/>
  <c r="F293" i="4"/>
  <c r="E293" i="4"/>
  <c r="Q293" i="4" s="1"/>
  <c r="D293" i="4"/>
  <c r="C293" i="4"/>
  <c r="B293" i="4"/>
  <c r="A293" i="4"/>
  <c r="Q292" i="4"/>
  <c r="N292" i="4"/>
  <c r="M292" i="4"/>
  <c r="L292" i="4"/>
  <c r="K292" i="4"/>
  <c r="J292" i="4"/>
  <c r="I292" i="4"/>
  <c r="H292" i="4"/>
  <c r="G292" i="4"/>
  <c r="F292" i="4"/>
  <c r="E292" i="4"/>
  <c r="D292" i="4"/>
  <c r="C292" i="4"/>
  <c r="B292" i="4"/>
  <c r="A292" i="4"/>
  <c r="Q291" i="4"/>
  <c r="N291" i="4"/>
  <c r="M291" i="4"/>
  <c r="L291" i="4"/>
  <c r="K291" i="4"/>
  <c r="J291" i="4"/>
  <c r="I291" i="4"/>
  <c r="H291" i="4"/>
  <c r="G291" i="4"/>
  <c r="F291" i="4"/>
  <c r="E291" i="4"/>
  <c r="D291" i="4"/>
  <c r="C291" i="4"/>
  <c r="B291" i="4"/>
  <c r="A291" i="4"/>
  <c r="N290" i="4"/>
  <c r="M290" i="4"/>
  <c r="L290" i="4"/>
  <c r="K290" i="4"/>
  <c r="J290" i="4"/>
  <c r="I290" i="4"/>
  <c r="H290" i="4"/>
  <c r="G290" i="4"/>
  <c r="F290" i="4"/>
  <c r="E290" i="4"/>
  <c r="Q290" i="4" s="1"/>
  <c r="D290" i="4"/>
  <c r="C290" i="4"/>
  <c r="B290" i="4"/>
  <c r="A290" i="4"/>
  <c r="Q289" i="4"/>
  <c r="N289" i="4"/>
  <c r="M289" i="4"/>
  <c r="L289" i="4"/>
  <c r="K289" i="4"/>
  <c r="J289" i="4"/>
  <c r="I289" i="4"/>
  <c r="H289" i="4"/>
  <c r="G289" i="4"/>
  <c r="F289" i="4"/>
  <c r="E289" i="4"/>
  <c r="D289" i="4"/>
  <c r="C289" i="4"/>
  <c r="B289" i="4"/>
  <c r="A289" i="4"/>
  <c r="N288" i="4"/>
  <c r="M288" i="4"/>
  <c r="L288" i="4"/>
  <c r="K288" i="4"/>
  <c r="J288" i="4"/>
  <c r="I288" i="4"/>
  <c r="H288" i="4"/>
  <c r="G288" i="4"/>
  <c r="F288" i="4"/>
  <c r="E288" i="4"/>
  <c r="Q288" i="4" s="1"/>
  <c r="D288" i="4"/>
  <c r="C288" i="4"/>
  <c r="B288" i="4"/>
  <c r="A288" i="4"/>
  <c r="N287" i="4"/>
  <c r="M287" i="4"/>
  <c r="L287" i="4"/>
  <c r="K287" i="4"/>
  <c r="J287" i="4"/>
  <c r="I287" i="4"/>
  <c r="H287" i="4"/>
  <c r="G287" i="4"/>
  <c r="F287" i="4"/>
  <c r="E287" i="4"/>
  <c r="Q287" i="4" s="1"/>
  <c r="D287" i="4"/>
  <c r="C287" i="4"/>
  <c r="B287" i="4"/>
  <c r="A287" i="4"/>
  <c r="N286" i="4"/>
  <c r="M286" i="4"/>
  <c r="L286" i="4"/>
  <c r="K286" i="4"/>
  <c r="J286" i="4"/>
  <c r="I286" i="4"/>
  <c r="H286" i="4"/>
  <c r="G286" i="4"/>
  <c r="F286" i="4"/>
  <c r="E286" i="4"/>
  <c r="Q286" i="4" s="1"/>
  <c r="D286" i="4"/>
  <c r="C286" i="4"/>
  <c r="B286" i="4"/>
  <c r="A286" i="4"/>
  <c r="N285" i="4"/>
  <c r="M285" i="4"/>
  <c r="L285" i="4"/>
  <c r="K285" i="4"/>
  <c r="J285" i="4"/>
  <c r="I285" i="4"/>
  <c r="H285" i="4"/>
  <c r="G285" i="4"/>
  <c r="F285" i="4"/>
  <c r="E285" i="4"/>
  <c r="Q285" i="4" s="1"/>
  <c r="D285" i="4"/>
  <c r="C285" i="4"/>
  <c r="B285" i="4"/>
  <c r="A285" i="4"/>
  <c r="Q284" i="4"/>
  <c r="N284" i="4"/>
  <c r="M284" i="4"/>
  <c r="L284" i="4"/>
  <c r="K284" i="4"/>
  <c r="J284" i="4"/>
  <c r="I284" i="4"/>
  <c r="H284" i="4"/>
  <c r="G284" i="4"/>
  <c r="F284" i="4"/>
  <c r="E284" i="4"/>
  <c r="D284" i="4"/>
  <c r="C284" i="4"/>
  <c r="B284" i="4"/>
  <c r="A284" i="4"/>
  <c r="Q283" i="4"/>
  <c r="N283" i="4"/>
  <c r="M283" i="4"/>
  <c r="L283" i="4"/>
  <c r="K283" i="4"/>
  <c r="J283" i="4"/>
  <c r="I283" i="4"/>
  <c r="H283" i="4"/>
  <c r="G283" i="4"/>
  <c r="F283" i="4"/>
  <c r="E283" i="4"/>
  <c r="D283" i="4"/>
  <c r="C283" i="4"/>
  <c r="B283" i="4"/>
  <c r="A283" i="4"/>
  <c r="N282" i="4"/>
  <c r="M282" i="4"/>
  <c r="L282" i="4"/>
  <c r="K282" i="4"/>
  <c r="J282" i="4"/>
  <c r="I282" i="4"/>
  <c r="H282" i="4"/>
  <c r="G282" i="4"/>
  <c r="F282" i="4"/>
  <c r="E282" i="4"/>
  <c r="Q282" i="4" s="1"/>
  <c r="D282" i="4"/>
  <c r="C282" i="4"/>
  <c r="B282" i="4"/>
  <c r="A282" i="4"/>
  <c r="Q281" i="4"/>
  <c r="N281" i="4"/>
  <c r="M281" i="4"/>
  <c r="L281" i="4"/>
  <c r="K281" i="4"/>
  <c r="J281" i="4"/>
  <c r="I281" i="4"/>
  <c r="H281" i="4"/>
  <c r="G281" i="4"/>
  <c r="F281" i="4"/>
  <c r="E281" i="4"/>
  <c r="D281" i="4"/>
  <c r="C281" i="4"/>
  <c r="B281" i="4"/>
  <c r="A281" i="4"/>
  <c r="N280" i="4"/>
  <c r="M280" i="4"/>
  <c r="L280" i="4"/>
  <c r="K280" i="4"/>
  <c r="J280" i="4"/>
  <c r="I280" i="4"/>
  <c r="H280" i="4"/>
  <c r="G280" i="4"/>
  <c r="F280" i="4"/>
  <c r="E280" i="4"/>
  <c r="Q280" i="4" s="1"/>
  <c r="D280" i="4"/>
  <c r="C280" i="4"/>
  <c r="B280" i="4"/>
  <c r="A280" i="4"/>
  <c r="N279" i="4"/>
  <c r="M279" i="4"/>
  <c r="L279" i="4"/>
  <c r="K279" i="4"/>
  <c r="J279" i="4"/>
  <c r="I279" i="4"/>
  <c r="H279" i="4"/>
  <c r="G279" i="4"/>
  <c r="F279" i="4"/>
  <c r="E279" i="4"/>
  <c r="Q279" i="4" s="1"/>
  <c r="D279" i="4"/>
  <c r="C279" i="4"/>
  <c r="B279" i="4"/>
  <c r="A279" i="4"/>
  <c r="N278" i="4"/>
  <c r="M278" i="4"/>
  <c r="L278" i="4"/>
  <c r="K278" i="4"/>
  <c r="J278" i="4"/>
  <c r="I278" i="4"/>
  <c r="H278" i="4"/>
  <c r="G278" i="4"/>
  <c r="F278" i="4"/>
  <c r="E278" i="4"/>
  <c r="Q278" i="4" s="1"/>
  <c r="D278" i="4"/>
  <c r="C278" i="4"/>
  <c r="B278" i="4"/>
  <c r="A278" i="4"/>
  <c r="N277" i="4"/>
  <c r="M277" i="4"/>
  <c r="L277" i="4"/>
  <c r="K277" i="4"/>
  <c r="J277" i="4"/>
  <c r="I277" i="4"/>
  <c r="H277" i="4"/>
  <c r="G277" i="4"/>
  <c r="F277" i="4"/>
  <c r="E277" i="4"/>
  <c r="Q277" i="4" s="1"/>
  <c r="D277" i="4"/>
  <c r="C277" i="4"/>
  <c r="B277" i="4"/>
  <c r="A277" i="4"/>
  <c r="Q276" i="4"/>
  <c r="N276" i="4"/>
  <c r="M276" i="4"/>
  <c r="L276" i="4"/>
  <c r="K276" i="4"/>
  <c r="J276" i="4"/>
  <c r="I276" i="4"/>
  <c r="H276" i="4"/>
  <c r="G276" i="4"/>
  <c r="F276" i="4"/>
  <c r="E276" i="4"/>
  <c r="D276" i="4"/>
  <c r="C276" i="4"/>
  <c r="B276" i="4"/>
  <c r="A276" i="4"/>
  <c r="Q275" i="4"/>
  <c r="N275" i="4"/>
  <c r="M275" i="4"/>
  <c r="L275" i="4"/>
  <c r="K275" i="4"/>
  <c r="J275" i="4"/>
  <c r="I275" i="4"/>
  <c r="H275" i="4"/>
  <c r="G275" i="4"/>
  <c r="F275" i="4"/>
  <c r="E275" i="4"/>
  <c r="D275" i="4"/>
  <c r="C275" i="4"/>
  <c r="B275" i="4"/>
  <c r="A275" i="4"/>
  <c r="N274" i="4"/>
  <c r="M274" i="4"/>
  <c r="L274" i="4"/>
  <c r="K274" i="4"/>
  <c r="J274" i="4"/>
  <c r="I274" i="4"/>
  <c r="H274" i="4"/>
  <c r="G274" i="4"/>
  <c r="F274" i="4"/>
  <c r="E274" i="4"/>
  <c r="Q274" i="4" s="1"/>
  <c r="D274" i="4"/>
  <c r="C274" i="4"/>
  <c r="B274" i="4"/>
  <c r="A274" i="4"/>
  <c r="Q273" i="4"/>
  <c r="N273" i="4"/>
  <c r="M273" i="4"/>
  <c r="L273" i="4"/>
  <c r="K273" i="4"/>
  <c r="J273" i="4"/>
  <c r="I273" i="4"/>
  <c r="H273" i="4"/>
  <c r="G273" i="4"/>
  <c r="F273" i="4"/>
  <c r="E273" i="4"/>
  <c r="D273" i="4"/>
  <c r="C273" i="4"/>
  <c r="B273" i="4"/>
  <c r="A273" i="4"/>
  <c r="N272" i="4"/>
  <c r="M272" i="4"/>
  <c r="L272" i="4"/>
  <c r="K272" i="4"/>
  <c r="J272" i="4"/>
  <c r="I272" i="4"/>
  <c r="H272" i="4"/>
  <c r="G272" i="4"/>
  <c r="F272" i="4"/>
  <c r="E272" i="4"/>
  <c r="Q272" i="4" s="1"/>
  <c r="D272" i="4"/>
  <c r="C272" i="4"/>
  <c r="B272" i="4"/>
  <c r="A272" i="4"/>
  <c r="N271" i="4"/>
  <c r="M271" i="4"/>
  <c r="L271" i="4"/>
  <c r="K271" i="4"/>
  <c r="J271" i="4"/>
  <c r="I271" i="4"/>
  <c r="H271" i="4"/>
  <c r="G271" i="4"/>
  <c r="F271" i="4"/>
  <c r="E271" i="4"/>
  <c r="Q271" i="4" s="1"/>
  <c r="D271" i="4"/>
  <c r="C271" i="4"/>
  <c r="B271" i="4"/>
  <c r="A271" i="4"/>
  <c r="N270" i="4"/>
  <c r="M270" i="4"/>
  <c r="L270" i="4"/>
  <c r="K270" i="4"/>
  <c r="J270" i="4"/>
  <c r="I270" i="4"/>
  <c r="H270" i="4"/>
  <c r="G270" i="4"/>
  <c r="F270" i="4"/>
  <c r="E270" i="4"/>
  <c r="Q270" i="4" s="1"/>
  <c r="D270" i="4"/>
  <c r="C270" i="4"/>
  <c r="B270" i="4"/>
  <c r="A270" i="4"/>
  <c r="N269" i="4"/>
  <c r="M269" i="4"/>
  <c r="L269" i="4"/>
  <c r="K269" i="4"/>
  <c r="J269" i="4"/>
  <c r="I269" i="4"/>
  <c r="H269" i="4"/>
  <c r="G269" i="4"/>
  <c r="F269" i="4"/>
  <c r="E269" i="4"/>
  <c r="Q269" i="4" s="1"/>
  <c r="D269" i="4"/>
  <c r="C269" i="4"/>
  <c r="B269" i="4"/>
  <c r="A269" i="4"/>
  <c r="Q268" i="4"/>
  <c r="N268" i="4"/>
  <c r="M268" i="4"/>
  <c r="L268" i="4"/>
  <c r="K268" i="4"/>
  <c r="J268" i="4"/>
  <c r="I268" i="4"/>
  <c r="H268" i="4"/>
  <c r="G268" i="4"/>
  <c r="F268" i="4"/>
  <c r="E268" i="4"/>
  <c r="D268" i="4"/>
  <c r="C268" i="4"/>
  <c r="B268" i="4"/>
  <c r="A268" i="4"/>
  <c r="Q267" i="4"/>
  <c r="N267" i="4"/>
  <c r="M267" i="4"/>
  <c r="L267" i="4"/>
  <c r="K267" i="4"/>
  <c r="J267" i="4"/>
  <c r="I267" i="4"/>
  <c r="H267" i="4"/>
  <c r="G267" i="4"/>
  <c r="F267" i="4"/>
  <c r="E267" i="4"/>
  <c r="D267" i="4"/>
  <c r="C267" i="4"/>
  <c r="B267" i="4"/>
  <c r="A267" i="4"/>
  <c r="Q266" i="4"/>
  <c r="N266" i="4"/>
  <c r="M266" i="4"/>
  <c r="L266" i="4"/>
  <c r="K266" i="4"/>
  <c r="J266" i="4"/>
  <c r="I266" i="4"/>
  <c r="H266" i="4"/>
  <c r="G266" i="4"/>
  <c r="F266" i="4"/>
  <c r="E266" i="4"/>
  <c r="D266" i="4"/>
  <c r="C266" i="4"/>
  <c r="B266" i="4"/>
  <c r="A266" i="4"/>
  <c r="Q265" i="4"/>
  <c r="N265" i="4"/>
  <c r="M265" i="4"/>
  <c r="L265" i="4"/>
  <c r="K265" i="4"/>
  <c r="J265" i="4"/>
  <c r="I265" i="4"/>
  <c r="H265" i="4"/>
  <c r="G265" i="4"/>
  <c r="F265" i="4"/>
  <c r="E265" i="4"/>
  <c r="D265" i="4"/>
  <c r="C265" i="4"/>
  <c r="B265" i="4"/>
  <c r="A265" i="4"/>
  <c r="N264" i="4"/>
  <c r="M264" i="4"/>
  <c r="L264" i="4"/>
  <c r="K264" i="4"/>
  <c r="J264" i="4"/>
  <c r="I264" i="4"/>
  <c r="H264" i="4"/>
  <c r="G264" i="4"/>
  <c r="F264" i="4"/>
  <c r="E264" i="4"/>
  <c r="Q264" i="4" s="1"/>
  <c r="D264" i="4"/>
  <c r="C264" i="4"/>
  <c r="B264" i="4"/>
  <c r="A264" i="4"/>
  <c r="N263" i="4"/>
  <c r="M263" i="4"/>
  <c r="L263" i="4"/>
  <c r="K263" i="4"/>
  <c r="J263" i="4"/>
  <c r="I263" i="4"/>
  <c r="H263" i="4"/>
  <c r="G263" i="4"/>
  <c r="F263" i="4"/>
  <c r="E263" i="4"/>
  <c r="Q263" i="4" s="1"/>
  <c r="D263" i="4"/>
  <c r="C263" i="4"/>
  <c r="B263" i="4"/>
  <c r="A263" i="4"/>
  <c r="Q262" i="4"/>
  <c r="N262" i="4"/>
  <c r="M262" i="4"/>
  <c r="L262" i="4"/>
  <c r="K262" i="4"/>
  <c r="J262" i="4"/>
  <c r="I262" i="4"/>
  <c r="H262" i="4"/>
  <c r="G262" i="4"/>
  <c r="F262" i="4"/>
  <c r="E262" i="4"/>
  <c r="D262" i="4"/>
  <c r="C262" i="4"/>
  <c r="B262" i="4"/>
  <c r="A262" i="4"/>
  <c r="N261" i="4"/>
  <c r="M261" i="4"/>
  <c r="L261" i="4"/>
  <c r="K261" i="4"/>
  <c r="J261" i="4"/>
  <c r="I261" i="4"/>
  <c r="H261" i="4"/>
  <c r="G261" i="4"/>
  <c r="F261" i="4"/>
  <c r="E261" i="4"/>
  <c r="Q261" i="4" s="1"/>
  <c r="D261" i="4"/>
  <c r="C261" i="4"/>
  <c r="B261" i="4"/>
  <c r="A261" i="4"/>
  <c r="Q260" i="4"/>
  <c r="N260" i="4"/>
  <c r="M260" i="4"/>
  <c r="L260" i="4"/>
  <c r="K260" i="4"/>
  <c r="J260" i="4"/>
  <c r="I260" i="4"/>
  <c r="H260" i="4"/>
  <c r="G260" i="4"/>
  <c r="F260" i="4"/>
  <c r="E260" i="4"/>
  <c r="D260" i="4"/>
  <c r="C260" i="4"/>
  <c r="B260" i="4"/>
  <c r="A260" i="4"/>
  <c r="Q259" i="4"/>
  <c r="N259" i="4"/>
  <c r="M259" i="4"/>
  <c r="L259" i="4"/>
  <c r="K259" i="4"/>
  <c r="J259" i="4"/>
  <c r="I259" i="4"/>
  <c r="H259" i="4"/>
  <c r="G259" i="4"/>
  <c r="F259" i="4"/>
  <c r="E259" i="4"/>
  <c r="D259" i="4"/>
  <c r="C259" i="4"/>
  <c r="B259" i="4"/>
  <c r="A259" i="4"/>
  <c r="N258" i="4"/>
  <c r="M258" i="4"/>
  <c r="L258" i="4"/>
  <c r="K258" i="4"/>
  <c r="J258" i="4"/>
  <c r="I258" i="4"/>
  <c r="H258" i="4"/>
  <c r="G258" i="4"/>
  <c r="F258" i="4"/>
  <c r="E258" i="4"/>
  <c r="Q258" i="4" s="1"/>
  <c r="D258" i="4"/>
  <c r="C258" i="4"/>
  <c r="B258" i="4"/>
  <c r="A258" i="4"/>
  <c r="Q257" i="4"/>
  <c r="N257" i="4"/>
  <c r="M257" i="4"/>
  <c r="L257" i="4"/>
  <c r="K257" i="4"/>
  <c r="J257" i="4"/>
  <c r="I257" i="4"/>
  <c r="H257" i="4"/>
  <c r="G257" i="4"/>
  <c r="F257" i="4"/>
  <c r="E257" i="4"/>
  <c r="D257" i="4"/>
  <c r="C257" i="4"/>
  <c r="B257" i="4"/>
  <c r="A257" i="4"/>
  <c r="N256" i="4"/>
  <c r="M256" i="4"/>
  <c r="L256" i="4"/>
  <c r="K256" i="4"/>
  <c r="J256" i="4"/>
  <c r="I256" i="4"/>
  <c r="H256" i="4"/>
  <c r="G256" i="4"/>
  <c r="F256" i="4"/>
  <c r="E256" i="4"/>
  <c r="Q256" i="4" s="1"/>
  <c r="D256" i="4"/>
  <c r="C256" i="4"/>
  <c r="B256" i="4"/>
  <c r="A256" i="4"/>
  <c r="N255" i="4"/>
  <c r="M255" i="4"/>
  <c r="L255" i="4"/>
  <c r="K255" i="4"/>
  <c r="J255" i="4"/>
  <c r="I255" i="4"/>
  <c r="H255" i="4"/>
  <c r="G255" i="4"/>
  <c r="F255" i="4"/>
  <c r="E255" i="4"/>
  <c r="Q255" i="4" s="1"/>
  <c r="D255" i="4"/>
  <c r="C255" i="4"/>
  <c r="B255" i="4"/>
  <c r="A255" i="4"/>
  <c r="Q254" i="4"/>
  <c r="N254" i="4"/>
  <c r="M254" i="4"/>
  <c r="L254" i="4"/>
  <c r="K254" i="4"/>
  <c r="J254" i="4"/>
  <c r="I254" i="4"/>
  <c r="H254" i="4"/>
  <c r="G254" i="4"/>
  <c r="F254" i="4"/>
  <c r="E254" i="4"/>
  <c r="D254" i="4"/>
  <c r="C254" i="4"/>
  <c r="B254" i="4"/>
  <c r="A254" i="4"/>
  <c r="N253" i="4"/>
  <c r="M253" i="4"/>
  <c r="L253" i="4"/>
  <c r="K253" i="4"/>
  <c r="J253" i="4"/>
  <c r="I253" i="4"/>
  <c r="H253" i="4"/>
  <c r="G253" i="4"/>
  <c r="F253" i="4"/>
  <c r="E253" i="4"/>
  <c r="Q253" i="4" s="1"/>
  <c r="D253" i="4"/>
  <c r="C253" i="4"/>
  <c r="B253" i="4"/>
  <c r="A253" i="4"/>
  <c r="Q252" i="4"/>
  <c r="N252" i="4"/>
  <c r="M252" i="4"/>
  <c r="L252" i="4"/>
  <c r="K252" i="4"/>
  <c r="J252" i="4"/>
  <c r="I252" i="4"/>
  <c r="H252" i="4"/>
  <c r="G252" i="4"/>
  <c r="F252" i="4"/>
  <c r="E252" i="4"/>
  <c r="D252" i="4"/>
  <c r="C252" i="4"/>
  <c r="B252" i="4"/>
  <c r="A252" i="4"/>
  <c r="Q251" i="4"/>
  <c r="N251" i="4"/>
  <c r="M251" i="4"/>
  <c r="L251" i="4"/>
  <c r="K251" i="4"/>
  <c r="J251" i="4"/>
  <c r="I251" i="4"/>
  <c r="H251" i="4"/>
  <c r="G251" i="4"/>
  <c r="F251" i="4"/>
  <c r="E251" i="4"/>
  <c r="D251" i="4"/>
  <c r="C251" i="4"/>
  <c r="B251" i="4"/>
  <c r="A251" i="4"/>
  <c r="N250" i="4"/>
  <c r="M250" i="4"/>
  <c r="L250" i="4"/>
  <c r="K250" i="4"/>
  <c r="J250" i="4"/>
  <c r="I250" i="4"/>
  <c r="H250" i="4"/>
  <c r="G250" i="4"/>
  <c r="F250" i="4"/>
  <c r="E250" i="4"/>
  <c r="Q250" i="4" s="1"/>
  <c r="D250" i="4"/>
  <c r="C250" i="4"/>
  <c r="B250" i="4"/>
  <c r="A250" i="4"/>
  <c r="Q249" i="4"/>
  <c r="N249" i="4"/>
  <c r="M249" i="4"/>
  <c r="L249" i="4"/>
  <c r="K249" i="4"/>
  <c r="J249" i="4"/>
  <c r="I249" i="4"/>
  <c r="H249" i="4"/>
  <c r="G249" i="4"/>
  <c r="F249" i="4"/>
  <c r="E249" i="4"/>
  <c r="D249" i="4"/>
  <c r="C249" i="4"/>
  <c r="B249" i="4"/>
  <c r="A249" i="4"/>
  <c r="N248" i="4"/>
  <c r="M248" i="4"/>
  <c r="L248" i="4"/>
  <c r="K248" i="4"/>
  <c r="J248" i="4"/>
  <c r="I248" i="4"/>
  <c r="H248" i="4"/>
  <c r="G248" i="4"/>
  <c r="F248" i="4"/>
  <c r="E248" i="4"/>
  <c r="Q248" i="4" s="1"/>
  <c r="D248" i="4"/>
  <c r="C248" i="4"/>
  <c r="B248" i="4"/>
  <c r="A248" i="4"/>
  <c r="N247" i="4"/>
  <c r="M247" i="4"/>
  <c r="L247" i="4"/>
  <c r="K247" i="4"/>
  <c r="J247" i="4"/>
  <c r="I247" i="4"/>
  <c r="H247" i="4"/>
  <c r="G247" i="4"/>
  <c r="F247" i="4"/>
  <c r="E247" i="4"/>
  <c r="Q247" i="4" s="1"/>
  <c r="D247" i="4"/>
  <c r="C247" i="4"/>
  <c r="B247" i="4"/>
  <c r="A247" i="4"/>
  <c r="N246" i="4"/>
  <c r="M246" i="4"/>
  <c r="L246" i="4"/>
  <c r="K246" i="4"/>
  <c r="J246" i="4"/>
  <c r="I246" i="4"/>
  <c r="H246" i="4"/>
  <c r="G246" i="4"/>
  <c r="F246" i="4"/>
  <c r="E246" i="4"/>
  <c r="Q246" i="4" s="1"/>
  <c r="D246" i="4"/>
  <c r="C246" i="4"/>
  <c r="B246" i="4"/>
  <c r="A246" i="4"/>
  <c r="N245" i="4"/>
  <c r="M245" i="4"/>
  <c r="L245" i="4"/>
  <c r="K245" i="4"/>
  <c r="J245" i="4"/>
  <c r="I245" i="4"/>
  <c r="H245" i="4"/>
  <c r="G245" i="4"/>
  <c r="F245" i="4"/>
  <c r="E245" i="4"/>
  <c r="Q245" i="4" s="1"/>
  <c r="D245" i="4"/>
  <c r="C245" i="4"/>
  <c r="B245" i="4"/>
  <c r="A245" i="4"/>
  <c r="N244" i="4"/>
  <c r="M244" i="4"/>
  <c r="L244" i="4"/>
  <c r="K244" i="4"/>
  <c r="J244" i="4"/>
  <c r="I244" i="4"/>
  <c r="H244" i="4"/>
  <c r="G244" i="4"/>
  <c r="F244" i="4"/>
  <c r="E244" i="4"/>
  <c r="Q244" i="4" s="1"/>
  <c r="D244" i="4"/>
  <c r="C244" i="4"/>
  <c r="B244" i="4"/>
  <c r="A244" i="4"/>
  <c r="Q243" i="4"/>
  <c r="N243" i="4"/>
  <c r="M243" i="4"/>
  <c r="L243" i="4"/>
  <c r="K243" i="4"/>
  <c r="J243" i="4"/>
  <c r="I243" i="4"/>
  <c r="H243" i="4"/>
  <c r="G243" i="4"/>
  <c r="F243" i="4"/>
  <c r="E243" i="4"/>
  <c r="D243" i="4"/>
  <c r="C243" i="4"/>
  <c r="B243" i="4"/>
  <c r="A243" i="4"/>
  <c r="N242" i="4"/>
  <c r="M242" i="4"/>
  <c r="L242" i="4"/>
  <c r="K242" i="4"/>
  <c r="J242" i="4"/>
  <c r="I242" i="4"/>
  <c r="H242" i="4"/>
  <c r="G242" i="4"/>
  <c r="F242" i="4"/>
  <c r="E242" i="4"/>
  <c r="Q242" i="4" s="1"/>
  <c r="D242" i="4"/>
  <c r="C242" i="4"/>
  <c r="B242" i="4"/>
  <c r="A242" i="4"/>
  <c r="Q241" i="4"/>
  <c r="N241" i="4"/>
  <c r="M241" i="4"/>
  <c r="L241" i="4"/>
  <c r="K241" i="4"/>
  <c r="J241" i="4"/>
  <c r="I241" i="4"/>
  <c r="H241" i="4"/>
  <c r="G241" i="4"/>
  <c r="F241" i="4"/>
  <c r="E241" i="4"/>
  <c r="D241" i="4"/>
  <c r="C241" i="4"/>
  <c r="B241" i="4"/>
  <c r="A241" i="4"/>
  <c r="N240" i="4"/>
  <c r="M240" i="4"/>
  <c r="L240" i="4"/>
  <c r="K240" i="4"/>
  <c r="J240" i="4"/>
  <c r="I240" i="4"/>
  <c r="H240" i="4"/>
  <c r="G240" i="4"/>
  <c r="F240" i="4"/>
  <c r="E240" i="4"/>
  <c r="Q240" i="4" s="1"/>
  <c r="D240" i="4"/>
  <c r="C240" i="4"/>
  <c r="B240" i="4"/>
  <c r="A240" i="4"/>
  <c r="N239" i="4"/>
  <c r="M239" i="4"/>
  <c r="L239" i="4"/>
  <c r="K239" i="4"/>
  <c r="J239" i="4"/>
  <c r="I239" i="4"/>
  <c r="H239" i="4"/>
  <c r="G239" i="4"/>
  <c r="F239" i="4"/>
  <c r="E239" i="4"/>
  <c r="Q239" i="4" s="1"/>
  <c r="D239" i="4"/>
  <c r="C239" i="4"/>
  <c r="B239" i="4"/>
  <c r="A239" i="4"/>
  <c r="N238" i="4"/>
  <c r="M238" i="4"/>
  <c r="L238" i="4"/>
  <c r="K238" i="4"/>
  <c r="J238" i="4"/>
  <c r="I238" i="4"/>
  <c r="H238" i="4"/>
  <c r="G238" i="4"/>
  <c r="F238" i="4"/>
  <c r="E238" i="4"/>
  <c r="Q238" i="4" s="1"/>
  <c r="D238" i="4"/>
  <c r="C238" i="4"/>
  <c r="B238" i="4"/>
  <c r="A238" i="4"/>
  <c r="N237" i="4"/>
  <c r="M237" i="4"/>
  <c r="L237" i="4"/>
  <c r="K237" i="4"/>
  <c r="J237" i="4"/>
  <c r="I237" i="4"/>
  <c r="H237" i="4"/>
  <c r="G237" i="4"/>
  <c r="F237" i="4"/>
  <c r="E237" i="4"/>
  <c r="Q237" i="4" s="1"/>
  <c r="D237" i="4"/>
  <c r="C237" i="4"/>
  <c r="B237" i="4"/>
  <c r="A237" i="4"/>
  <c r="N236" i="4"/>
  <c r="M236" i="4"/>
  <c r="L236" i="4"/>
  <c r="K236" i="4"/>
  <c r="J236" i="4"/>
  <c r="I236" i="4"/>
  <c r="H236" i="4"/>
  <c r="G236" i="4"/>
  <c r="F236" i="4"/>
  <c r="E236" i="4"/>
  <c r="Q236" i="4" s="1"/>
  <c r="D236" i="4"/>
  <c r="C236" i="4"/>
  <c r="B236" i="4"/>
  <c r="A236" i="4"/>
  <c r="Q235" i="4"/>
  <c r="N235" i="4"/>
  <c r="M235" i="4"/>
  <c r="L235" i="4"/>
  <c r="K235" i="4"/>
  <c r="J235" i="4"/>
  <c r="I235" i="4"/>
  <c r="H235" i="4"/>
  <c r="G235" i="4"/>
  <c r="F235" i="4"/>
  <c r="E235" i="4"/>
  <c r="D235" i="4"/>
  <c r="C235" i="4"/>
  <c r="B235" i="4"/>
  <c r="A235" i="4"/>
  <c r="N234" i="4"/>
  <c r="M234" i="4"/>
  <c r="L234" i="4"/>
  <c r="K234" i="4"/>
  <c r="J234" i="4"/>
  <c r="I234" i="4"/>
  <c r="H234" i="4"/>
  <c r="G234" i="4"/>
  <c r="F234" i="4"/>
  <c r="E234" i="4"/>
  <c r="Q234" i="4" s="1"/>
  <c r="D234" i="4"/>
  <c r="C234" i="4"/>
  <c r="B234" i="4"/>
  <c r="A234" i="4"/>
  <c r="N233" i="4"/>
  <c r="M233" i="4"/>
  <c r="L233" i="4"/>
  <c r="K233" i="4"/>
  <c r="J233" i="4"/>
  <c r="I233" i="4"/>
  <c r="H233" i="4"/>
  <c r="G233" i="4"/>
  <c r="F233" i="4"/>
  <c r="E233" i="4"/>
  <c r="Q233" i="4" s="1"/>
  <c r="D233" i="4"/>
  <c r="C233" i="4"/>
  <c r="B233" i="4"/>
  <c r="A233" i="4"/>
  <c r="N232" i="4"/>
  <c r="M232" i="4"/>
  <c r="L232" i="4"/>
  <c r="K232" i="4"/>
  <c r="J232" i="4"/>
  <c r="I232" i="4"/>
  <c r="H232" i="4"/>
  <c r="G232" i="4"/>
  <c r="F232" i="4"/>
  <c r="E232" i="4"/>
  <c r="Q232" i="4" s="1"/>
  <c r="D232" i="4"/>
  <c r="C232" i="4"/>
  <c r="B232" i="4"/>
  <c r="A232" i="4"/>
  <c r="N231" i="4"/>
  <c r="M231" i="4"/>
  <c r="L231" i="4"/>
  <c r="K231" i="4"/>
  <c r="J231" i="4"/>
  <c r="I231" i="4"/>
  <c r="H231" i="4"/>
  <c r="G231" i="4"/>
  <c r="F231" i="4"/>
  <c r="E231" i="4"/>
  <c r="Q231" i="4" s="1"/>
  <c r="D231" i="4"/>
  <c r="C231" i="4"/>
  <c r="B231" i="4"/>
  <c r="A231" i="4"/>
  <c r="Q230" i="4"/>
  <c r="N230" i="4"/>
  <c r="M230" i="4"/>
  <c r="L230" i="4"/>
  <c r="K230" i="4"/>
  <c r="J230" i="4"/>
  <c r="I230" i="4"/>
  <c r="H230" i="4"/>
  <c r="G230" i="4"/>
  <c r="F230" i="4"/>
  <c r="E230" i="4"/>
  <c r="D230" i="4"/>
  <c r="C230" i="4"/>
  <c r="B230" i="4"/>
  <c r="A230" i="4"/>
  <c r="N229" i="4"/>
  <c r="M229" i="4"/>
  <c r="L229" i="4"/>
  <c r="K229" i="4"/>
  <c r="J229" i="4"/>
  <c r="I229" i="4"/>
  <c r="H229" i="4"/>
  <c r="G229" i="4"/>
  <c r="F229" i="4"/>
  <c r="E229" i="4"/>
  <c r="Q229" i="4" s="1"/>
  <c r="D229" i="4"/>
  <c r="C229" i="4"/>
  <c r="B229" i="4"/>
  <c r="A229" i="4"/>
  <c r="Q228" i="4"/>
  <c r="N228" i="4"/>
  <c r="M228" i="4"/>
  <c r="L228" i="4"/>
  <c r="K228" i="4"/>
  <c r="J228" i="4"/>
  <c r="I228" i="4"/>
  <c r="H228" i="4"/>
  <c r="G228" i="4"/>
  <c r="F228" i="4"/>
  <c r="E228" i="4"/>
  <c r="D228" i="4"/>
  <c r="C228" i="4"/>
  <c r="B228" i="4"/>
  <c r="A228" i="4"/>
  <c r="N227" i="4"/>
  <c r="M227" i="4"/>
  <c r="L227" i="4"/>
  <c r="K227" i="4"/>
  <c r="J227" i="4"/>
  <c r="I227" i="4"/>
  <c r="H227" i="4"/>
  <c r="G227" i="4"/>
  <c r="F227" i="4"/>
  <c r="E227" i="4"/>
  <c r="Q227" i="4" s="1"/>
  <c r="D227" i="4"/>
  <c r="C227" i="4"/>
  <c r="B227" i="4"/>
  <c r="A227" i="4"/>
  <c r="N226" i="4"/>
  <c r="M226" i="4"/>
  <c r="L226" i="4"/>
  <c r="K226" i="4"/>
  <c r="J226" i="4"/>
  <c r="I226" i="4"/>
  <c r="H226" i="4"/>
  <c r="G226" i="4"/>
  <c r="F226" i="4"/>
  <c r="E226" i="4"/>
  <c r="Q226" i="4" s="1"/>
  <c r="D226" i="4"/>
  <c r="C226" i="4"/>
  <c r="B226" i="4"/>
  <c r="A226" i="4"/>
  <c r="N225" i="4"/>
  <c r="M225" i="4"/>
  <c r="L225" i="4"/>
  <c r="K225" i="4"/>
  <c r="J225" i="4"/>
  <c r="I225" i="4"/>
  <c r="H225" i="4"/>
  <c r="G225" i="4"/>
  <c r="F225" i="4"/>
  <c r="E225" i="4"/>
  <c r="Q225" i="4" s="1"/>
  <c r="D225" i="4"/>
  <c r="C225" i="4"/>
  <c r="B225" i="4"/>
  <c r="A225" i="4"/>
  <c r="N224" i="4"/>
  <c r="M224" i="4"/>
  <c r="L224" i="4"/>
  <c r="K224" i="4"/>
  <c r="J224" i="4"/>
  <c r="I224" i="4"/>
  <c r="H224" i="4"/>
  <c r="G224" i="4"/>
  <c r="F224" i="4"/>
  <c r="E224" i="4"/>
  <c r="Q224" i="4" s="1"/>
  <c r="D224" i="4"/>
  <c r="C224" i="4"/>
  <c r="B224" i="4"/>
  <c r="A224" i="4"/>
  <c r="Q223" i="4"/>
  <c r="N223" i="4"/>
  <c r="M223" i="4"/>
  <c r="L223" i="4"/>
  <c r="K223" i="4"/>
  <c r="J223" i="4"/>
  <c r="I223" i="4"/>
  <c r="H223" i="4"/>
  <c r="G223" i="4"/>
  <c r="F223" i="4"/>
  <c r="E223" i="4"/>
  <c r="D223" i="4"/>
  <c r="C223" i="4"/>
  <c r="B223" i="4"/>
  <c r="A223" i="4"/>
  <c r="N222" i="4"/>
  <c r="M222" i="4"/>
  <c r="L222" i="4"/>
  <c r="K222" i="4"/>
  <c r="J222" i="4"/>
  <c r="I222" i="4"/>
  <c r="H222" i="4"/>
  <c r="G222" i="4"/>
  <c r="F222" i="4"/>
  <c r="E222" i="4"/>
  <c r="Q222" i="4" s="1"/>
  <c r="D222" i="4"/>
  <c r="C222" i="4"/>
  <c r="B222" i="4"/>
  <c r="A222" i="4"/>
  <c r="N221" i="4"/>
  <c r="M221" i="4"/>
  <c r="L221" i="4"/>
  <c r="K221" i="4"/>
  <c r="J221" i="4"/>
  <c r="I221" i="4"/>
  <c r="H221" i="4"/>
  <c r="G221" i="4"/>
  <c r="F221" i="4"/>
  <c r="E221" i="4"/>
  <c r="Q221" i="4" s="1"/>
  <c r="D221" i="4"/>
  <c r="C221" i="4"/>
  <c r="B221" i="4"/>
  <c r="A221" i="4"/>
  <c r="N220" i="4"/>
  <c r="M220" i="4"/>
  <c r="L220" i="4"/>
  <c r="K220" i="4"/>
  <c r="J220" i="4"/>
  <c r="I220" i="4"/>
  <c r="H220" i="4"/>
  <c r="G220" i="4"/>
  <c r="F220" i="4"/>
  <c r="E220" i="4"/>
  <c r="Q220" i="4" s="1"/>
  <c r="D220" i="4"/>
  <c r="C220" i="4"/>
  <c r="B220" i="4"/>
  <c r="A220" i="4"/>
  <c r="N219" i="4"/>
  <c r="M219" i="4"/>
  <c r="L219" i="4"/>
  <c r="K219" i="4"/>
  <c r="J219" i="4"/>
  <c r="I219" i="4"/>
  <c r="H219" i="4"/>
  <c r="G219" i="4"/>
  <c r="F219" i="4"/>
  <c r="E219" i="4"/>
  <c r="Q219" i="4" s="1"/>
  <c r="D219" i="4"/>
  <c r="C219" i="4"/>
  <c r="B219" i="4"/>
  <c r="A219" i="4"/>
  <c r="N218" i="4"/>
  <c r="M218" i="4"/>
  <c r="L218" i="4"/>
  <c r="K218" i="4"/>
  <c r="J218" i="4"/>
  <c r="I218" i="4"/>
  <c r="H218" i="4"/>
  <c r="G218" i="4"/>
  <c r="F218" i="4"/>
  <c r="E218" i="4"/>
  <c r="Q218" i="4" s="1"/>
  <c r="D218" i="4"/>
  <c r="C218" i="4"/>
  <c r="B218" i="4"/>
  <c r="A218" i="4"/>
  <c r="N217" i="4"/>
  <c r="M217" i="4"/>
  <c r="L217" i="4"/>
  <c r="K217" i="4"/>
  <c r="J217" i="4"/>
  <c r="I217" i="4"/>
  <c r="H217" i="4"/>
  <c r="G217" i="4"/>
  <c r="F217" i="4"/>
  <c r="E217" i="4"/>
  <c r="Q217" i="4" s="1"/>
  <c r="D217" i="4"/>
  <c r="C217" i="4"/>
  <c r="B217" i="4"/>
  <c r="A217" i="4"/>
  <c r="N216" i="4"/>
  <c r="M216" i="4"/>
  <c r="L216" i="4"/>
  <c r="K216" i="4"/>
  <c r="J216" i="4"/>
  <c r="I216" i="4"/>
  <c r="H216" i="4"/>
  <c r="G216" i="4"/>
  <c r="F216" i="4"/>
  <c r="E216" i="4"/>
  <c r="Q216" i="4" s="1"/>
  <c r="D216" i="4"/>
  <c r="C216" i="4"/>
  <c r="B216" i="4"/>
  <c r="A216" i="4"/>
  <c r="Q215" i="4"/>
  <c r="N215" i="4"/>
  <c r="M215" i="4"/>
  <c r="L215" i="4"/>
  <c r="K215" i="4"/>
  <c r="J215" i="4"/>
  <c r="I215" i="4"/>
  <c r="H215" i="4"/>
  <c r="G215" i="4"/>
  <c r="F215" i="4"/>
  <c r="E215" i="4"/>
  <c r="D215" i="4"/>
  <c r="C215" i="4"/>
  <c r="B215" i="4"/>
  <c r="A215" i="4"/>
  <c r="N214" i="4"/>
  <c r="M214" i="4"/>
  <c r="L214" i="4"/>
  <c r="K214" i="4"/>
  <c r="J214" i="4"/>
  <c r="I214" i="4"/>
  <c r="H214" i="4"/>
  <c r="G214" i="4"/>
  <c r="F214" i="4"/>
  <c r="E214" i="4"/>
  <c r="Q214" i="4" s="1"/>
  <c r="D214" i="4"/>
  <c r="C214" i="4"/>
  <c r="B214" i="4"/>
  <c r="A214" i="4"/>
  <c r="N213" i="4"/>
  <c r="M213" i="4"/>
  <c r="L213" i="4"/>
  <c r="K213" i="4"/>
  <c r="J213" i="4"/>
  <c r="I213" i="4"/>
  <c r="H213" i="4"/>
  <c r="G213" i="4"/>
  <c r="F213" i="4"/>
  <c r="E213" i="4"/>
  <c r="Q213" i="4" s="1"/>
  <c r="D213" i="4"/>
  <c r="C213" i="4"/>
  <c r="B213" i="4"/>
  <c r="A213" i="4"/>
  <c r="N212" i="4"/>
  <c r="M212" i="4"/>
  <c r="L212" i="4"/>
  <c r="K212" i="4"/>
  <c r="J212" i="4"/>
  <c r="I212" i="4"/>
  <c r="H212" i="4"/>
  <c r="G212" i="4"/>
  <c r="F212" i="4"/>
  <c r="E212" i="4"/>
  <c r="Q212" i="4" s="1"/>
  <c r="D212" i="4"/>
  <c r="C212" i="4"/>
  <c r="B212" i="4"/>
  <c r="A212" i="4"/>
  <c r="N211" i="4"/>
  <c r="M211" i="4"/>
  <c r="L211" i="4"/>
  <c r="K211" i="4"/>
  <c r="J211" i="4"/>
  <c r="I211" i="4"/>
  <c r="H211" i="4"/>
  <c r="G211" i="4"/>
  <c r="F211" i="4"/>
  <c r="E211" i="4"/>
  <c r="Q211" i="4" s="1"/>
  <c r="D211" i="4"/>
  <c r="C211" i="4"/>
  <c r="B211" i="4"/>
  <c r="A211" i="4"/>
  <c r="Q210" i="4"/>
  <c r="N210" i="4"/>
  <c r="M210" i="4"/>
  <c r="L210" i="4"/>
  <c r="K210" i="4"/>
  <c r="J210" i="4"/>
  <c r="I210" i="4"/>
  <c r="H210" i="4"/>
  <c r="G210" i="4"/>
  <c r="F210" i="4"/>
  <c r="E210" i="4"/>
  <c r="D210" i="4"/>
  <c r="C210" i="4"/>
  <c r="B210" i="4"/>
  <c r="A210" i="4"/>
  <c r="N209" i="4"/>
  <c r="M209" i="4"/>
  <c r="L209" i="4"/>
  <c r="K209" i="4"/>
  <c r="J209" i="4"/>
  <c r="I209" i="4"/>
  <c r="H209" i="4"/>
  <c r="G209" i="4"/>
  <c r="F209" i="4"/>
  <c r="E209" i="4"/>
  <c r="Q209" i="4" s="1"/>
  <c r="D209" i="4"/>
  <c r="C209" i="4"/>
  <c r="B209" i="4"/>
  <c r="A209" i="4"/>
  <c r="Q208" i="4"/>
  <c r="N208" i="4"/>
  <c r="M208" i="4"/>
  <c r="L208" i="4"/>
  <c r="K208" i="4"/>
  <c r="J208" i="4"/>
  <c r="I208" i="4"/>
  <c r="H208" i="4"/>
  <c r="G208" i="4"/>
  <c r="F208" i="4"/>
  <c r="E208" i="4"/>
  <c r="D208" i="4"/>
  <c r="C208" i="4"/>
  <c r="B208" i="4"/>
  <c r="A208" i="4"/>
  <c r="Q207" i="4"/>
  <c r="N207" i="4"/>
  <c r="M207" i="4"/>
  <c r="L207" i="4"/>
  <c r="K207" i="4"/>
  <c r="J207" i="4"/>
  <c r="I207" i="4"/>
  <c r="H207" i="4"/>
  <c r="G207" i="4"/>
  <c r="F207" i="4"/>
  <c r="E207" i="4"/>
  <c r="D207" i="4"/>
  <c r="C207" i="4"/>
  <c r="B207" i="4"/>
  <c r="A207" i="4"/>
  <c r="N206" i="4"/>
  <c r="M206" i="4"/>
  <c r="L206" i="4"/>
  <c r="K206" i="4"/>
  <c r="J206" i="4"/>
  <c r="I206" i="4"/>
  <c r="H206" i="4"/>
  <c r="G206" i="4"/>
  <c r="F206" i="4"/>
  <c r="E206" i="4"/>
  <c r="Q206" i="4" s="1"/>
  <c r="D206" i="4"/>
  <c r="C206" i="4"/>
  <c r="B206" i="4"/>
  <c r="A206" i="4"/>
  <c r="N205" i="4"/>
  <c r="M205" i="4"/>
  <c r="L205" i="4"/>
  <c r="K205" i="4"/>
  <c r="J205" i="4"/>
  <c r="I205" i="4"/>
  <c r="H205" i="4"/>
  <c r="G205" i="4"/>
  <c r="F205" i="4"/>
  <c r="E205" i="4"/>
  <c r="Q205" i="4" s="1"/>
  <c r="D205" i="4"/>
  <c r="C205" i="4"/>
  <c r="B205" i="4"/>
  <c r="A205" i="4"/>
  <c r="Q204" i="4"/>
  <c r="N204" i="4"/>
  <c r="M204" i="4"/>
  <c r="L204" i="4"/>
  <c r="K204" i="4"/>
  <c r="J204" i="4"/>
  <c r="I204" i="4"/>
  <c r="H204" i="4"/>
  <c r="G204" i="4"/>
  <c r="F204" i="4"/>
  <c r="E204" i="4"/>
  <c r="D204" i="4"/>
  <c r="C204" i="4"/>
  <c r="B204" i="4"/>
  <c r="A204" i="4"/>
  <c r="N203" i="4"/>
  <c r="M203" i="4"/>
  <c r="L203" i="4"/>
  <c r="K203" i="4"/>
  <c r="J203" i="4"/>
  <c r="I203" i="4"/>
  <c r="H203" i="4"/>
  <c r="G203" i="4"/>
  <c r="F203" i="4"/>
  <c r="E203" i="4"/>
  <c r="Q203" i="4" s="1"/>
  <c r="D203" i="4"/>
  <c r="C203" i="4"/>
  <c r="B203" i="4"/>
  <c r="A203" i="4"/>
  <c r="Q202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B202" i="4"/>
  <c r="A202" i="4"/>
  <c r="N201" i="4"/>
  <c r="M201" i="4"/>
  <c r="L201" i="4"/>
  <c r="K201" i="4"/>
  <c r="J201" i="4"/>
  <c r="I201" i="4"/>
  <c r="H201" i="4"/>
  <c r="G201" i="4"/>
  <c r="F201" i="4"/>
  <c r="E201" i="4"/>
  <c r="Q201" i="4" s="1"/>
  <c r="D201" i="4"/>
  <c r="C201" i="4"/>
  <c r="B201" i="4"/>
  <c r="A201" i="4"/>
  <c r="Q200" i="4"/>
  <c r="N200" i="4"/>
  <c r="M200" i="4"/>
  <c r="L200" i="4"/>
  <c r="K200" i="4"/>
  <c r="J200" i="4"/>
  <c r="I200" i="4"/>
  <c r="H200" i="4"/>
  <c r="G200" i="4"/>
  <c r="F200" i="4"/>
  <c r="E200" i="4"/>
  <c r="D200" i="4"/>
  <c r="C200" i="4"/>
  <c r="B200" i="4"/>
  <c r="A200" i="4"/>
  <c r="Q199" i="4"/>
  <c r="N199" i="4"/>
  <c r="M199" i="4"/>
  <c r="L199" i="4"/>
  <c r="K199" i="4"/>
  <c r="J199" i="4"/>
  <c r="I199" i="4"/>
  <c r="H199" i="4"/>
  <c r="G199" i="4"/>
  <c r="F199" i="4"/>
  <c r="E199" i="4"/>
  <c r="D199" i="4"/>
  <c r="C199" i="4"/>
  <c r="B199" i="4"/>
  <c r="A199" i="4"/>
  <c r="Q198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B198" i="4"/>
  <c r="A198" i="4"/>
  <c r="N197" i="4"/>
  <c r="M197" i="4"/>
  <c r="L197" i="4"/>
  <c r="K197" i="4"/>
  <c r="J197" i="4"/>
  <c r="I197" i="4"/>
  <c r="H197" i="4"/>
  <c r="G197" i="4"/>
  <c r="F197" i="4"/>
  <c r="E197" i="4"/>
  <c r="Q197" i="4" s="1"/>
  <c r="D197" i="4"/>
  <c r="C197" i="4"/>
  <c r="B197" i="4"/>
  <c r="A197" i="4"/>
  <c r="Q196" i="4"/>
  <c r="N196" i="4"/>
  <c r="M196" i="4"/>
  <c r="L196" i="4"/>
  <c r="K196" i="4"/>
  <c r="J196" i="4"/>
  <c r="I196" i="4"/>
  <c r="H196" i="4"/>
  <c r="G196" i="4"/>
  <c r="F196" i="4"/>
  <c r="E196" i="4"/>
  <c r="D196" i="4"/>
  <c r="C196" i="4"/>
  <c r="B196" i="4"/>
  <c r="A196" i="4"/>
  <c r="Q195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B195" i="4"/>
  <c r="A195" i="4"/>
  <c r="Q194" i="4"/>
  <c r="N194" i="4"/>
  <c r="M194" i="4"/>
  <c r="L194" i="4"/>
  <c r="K194" i="4"/>
  <c r="J194" i="4"/>
  <c r="I194" i="4"/>
  <c r="H194" i="4"/>
  <c r="G194" i="4"/>
  <c r="F194" i="4"/>
  <c r="E194" i="4"/>
  <c r="D194" i="4"/>
  <c r="C194" i="4"/>
  <c r="B194" i="4"/>
  <c r="A194" i="4"/>
  <c r="N193" i="4"/>
  <c r="M193" i="4"/>
  <c r="L193" i="4"/>
  <c r="K193" i="4"/>
  <c r="J193" i="4"/>
  <c r="I193" i="4"/>
  <c r="H193" i="4"/>
  <c r="G193" i="4"/>
  <c r="F193" i="4"/>
  <c r="E193" i="4"/>
  <c r="Q193" i="4" s="1"/>
  <c r="D193" i="4"/>
  <c r="C193" i="4"/>
  <c r="B193" i="4"/>
  <c r="A193" i="4"/>
  <c r="Q192" i="4"/>
  <c r="N192" i="4"/>
  <c r="M192" i="4"/>
  <c r="L192" i="4"/>
  <c r="K192" i="4"/>
  <c r="J192" i="4"/>
  <c r="I192" i="4"/>
  <c r="H192" i="4"/>
  <c r="G192" i="4"/>
  <c r="F192" i="4"/>
  <c r="E192" i="4"/>
  <c r="D192" i="4"/>
  <c r="C192" i="4"/>
  <c r="B192" i="4"/>
  <c r="A192" i="4"/>
  <c r="Q191" i="4"/>
  <c r="N191" i="4"/>
  <c r="M191" i="4"/>
  <c r="L191" i="4"/>
  <c r="K191" i="4"/>
  <c r="J191" i="4"/>
  <c r="I191" i="4"/>
  <c r="H191" i="4"/>
  <c r="G191" i="4"/>
  <c r="F191" i="4"/>
  <c r="E191" i="4"/>
  <c r="D191" i="4"/>
  <c r="C191" i="4"/>
  <c r="B191" i="4"/>
  <c r="A191" i="4"/>
  <c r="Q190" i="4"/>
  <c r="N190" i="4"/>
  <c r="M190" i="4"/>
  <c r="L190" i="4"/>
  <c r="K190" i="4"/>
  <c r="J190" i="4"/>
  <c r="I190" i="4"/>
  <c r="H190" i="4"/>
  <c r="G190" i="4"/>
  <c r="F190" i="4"/>
  <c r="E190" i="4"/>
  <c r="D190" i="4"/>
  <c r="C190" i="4"/>
  <c r="B190" i="4"/>
  <c r="A190" i="4"/>
  <c r="Q189" i="4"/>
  <c r="N189" i="4"/>
  <c r="M189" i="4"/>
  <c r="L189" i="4"/>
  <c r="K189" i="4"/>
  <c r="J189" i="4"/>
  <c r="I189" i="4"/>
  <c r="H189" i="4"/>
  <c r="G189" i="4"/>
  <c r="F189" i="4"/>
  <c r="E189" i="4"/>
  <c r="D189" i="4"/>
  <c r="C189" i="4"/>
  <c r="B189" i="4"/>
  <c r="A189" i="4"/>
  <c r="N188" i="4"/>
  <c r="M188" i="4"/>
  <c r="L188" i="4"/>
  <c r="K188" i="4"/>
  <c r="J188" i="4"/>
  <c r="I188" i="4"/>
  <c r="H188" i="4"/>
  <c r="G188" i="4"/>
  <c r="F188" i="4"/>
  <c r="E188" i="4"/>
  <c r="Q188" i="4" s="1"/>
  <c r="D188" i="4"/>
  <c r="C188" i="4"/>
  <c r="B188" i="4"/>
  <c r="A188" i="4"/>
  <c r="Q187" i="4"/>
  <c r="N187" i="4"/>
  <c r="M187" i="4"/>
  <c r="L187" i="4"/>
  <c r="K187" i="4"/>
  <c r="J187" i="4"/>
  <c r="I187" i="4"/>
  <c r="H187" i="4"/>
  <c r="G187" i="4"/>
  <c r="F187" i="4"/>
  <c r="E187" i="4"/>
  <c r="D187" i="4"/>
  <c r="C187" i="4"/>
  <c r="B187" i="4"/>
  <c r="A187" i="4"/>
  <c r="Q186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B186" i="4"/>
  <c r="A186" i="4"/>
  <c r="N185" i="4"/>
  <c r="M185" i="4"/>
  <c r="L185" i="4"/>
  <c r="K185" i="4"/>
  <c r="J185" i="4"/>
  <c r="I185" i="4"/>
  <c r="H185" i="4"/>
  <c r="G185" i="4"/>
  <c r="F185" i="4"/>
  <c r="E185" i="4"/>
  <c r="Q185" i="4" s="1"/>
  <c r="D185" i="4"/>
  <c r="C185" i="4"/>
  <c r="B185" i="4"/>
  <c r="A185" i="4"/>
  <c r="N184" i="4"/>
  <c r="M184" i="4"/>
  <c r="L184" i="4"/>
  <c r="K184" i="4"/>
  <c r="J184" i="4"/>
  <c r="I184" i="4"/>
  <c r="H184" i="4"/>
  <c r="G184" i="4"/>
  <c r="F184" i="4"/>
  <c r="E184" i="4"/>
  <c r="Q184" i="4" s="1"/>
  <c r="D184" i="4"/>
  <c r="C184" i="4"/>
  <c r="B184" i="4"/>
  <c r="A184" i="4"/>
  <c r="N183" i="4"/>
  <c r="M183" i="4"/>
  <c r="L183" i="4"/>
  <c r="K183" i="4"/>
  <c r="J183" i="4"/>
  <c r="I183" i="4"/>
  <c r="H183" i="4"/>
  <c r="G183" i="4"/>
  <c r="F183" i="4"/>
  <c r="E183" i="4"/>
  <c r="Q183" i="4" s="1"/>
  <c r="D183" i="4"/>
  <c r="C183" i="4"/>
  <c r="B183" i="4"/>
  <c r="A183" i="4"/>
  <c r="N182" i="4"/>
  <c r="M182" i="4"/>
  <c r="L182" i="4"/>
  <c r="K182" i="4"/>
  <c r="J182" i="4"/>
  <c r="I182" i="4"/>
  <c r="H182" i="4"/>
  <c r="G182" i="4"/>
  <c r="F182" i="4"/>
  <c r="E182" i="4"/>
  <c r="Q182" i="4" s="1"/>
  <c r="D182" i="4"/>
  <c r="C182" i="4"/>
  <c r="B182" i="4"/>
  <c r="A182" i="4"/>
  <c r="Q181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B181" i="4"/>
  <c r="A181" i="4"/>
  <c r="N180" i="4"/>
  <c r="M180" i="4"/>
  <c r="L180" i="4"/>
  <c r="K180" i="4"/>
  <c r="J180" i="4"/>
  <c r="I180" i="4"/>
  <c r="H180" i="4"/>
  <c r="G180" i="4"/>
  <c r="F180" i="4"/>
  <c r="E180" i="4"/>
  <c r="Q180" i="4" s="1"/>
  <c r="D180" i="4"/>
  <c r="C180" i="4"/>
  <c r="B180" i="4"/>
  <c r="A180" i="4"/>
  <c r="Q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A179" i="4"/>
  <c r="Q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A178" i="4"/>
  <c r="Q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A177" i="4"/>
  <c r="Q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A176" i="4"/>
  <c r="Q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A175" i="4"/>
  <c r="Q174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B174" i="4"/>
  <c r="A174" i="4"/>
  <c r="N173" i="4"/>
  <c r="M173" i="4"/>
  <c r="L173" i="4"/>
  <c r="K173" i="4"/>
  <c r="J173" i="4"/>
  <c r="I173" i="4"/>
  <c r="H173" i="4"/>
  <c r="G173" i="4"/>
  <c r="F173" i="4"/>
  <c r="E173" i="4"/>
  <c r="Q173" i="4" s="1"/>
  <c r="D173" i="4"/>
  <c r="C173" i="4"/>
  <c r="B173" i="4"/>
  <c r="A173" i="4"/>
  <c r="N172" i="4"/>
  <c r="M172" i="4"/>
  <c r="L172" i="4"/>
  <c r="K172" i="4"/>
  <c r="J172" i="4"/>
  <c r="I172" i="4"/>
  <c r="H172" i="4"/>
  <c r="G172" i="4"/>
  <c r="F172" i="4"/>
  <c r="E172" i="4"/>
  <c r="Q172" i="4" s="1"/>
  <c r="D172" i="4"/>
  <c r="C172" i="4"/>
  <c r="B172" i="4"/>
  <c r="A172" i="4"/>
  <c r="N171" i="4"/>
  <c r="M171" i="4"/>
  <c r="L171" i="4"/>
  <c r="K171" i="4"/>
  <c r="J171" i="4"/>
  <c r="I171" i="4"/>
  <c r="H171" i="4"/>
  <c r="G171" i="4"/>
  <c r="F171" i="4"/>
  <c r="E171" i="4"/>
  <c r="Q171" i="4" s="1"/>
  <c r="D171" i="4"/>
  <c r="C171" i="4"/>
  <c r="B171" i="4"/>
  <c r="A171" i="4"/>
  <c r="N170" i="4"/>
  <c r="M170" i="4"/>
  <c r="L170" i="4"/>
  <c r="K170" i="4"/>
  <c r="J170" i="4"/>
  <c r="I170" i="4"/>
  <c r="H170" i="4"/>
  <c r="G170" i="4"/>
  <c r="F170" i="4"/>
  <c r="E170" i="4"/>
  <c r="Q170" i="4" s="1"/>
  <c r="D170" i="4"/>
  <c r="C170" i="4"/>
  <c r="B170" i="4"/>
  <c r="A170" i="4"/>
  <c r="Q169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B169" i="4"/>
  <c r="A169" i="4"/>
  <c r="Q168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B168" i="4"/>
  <c r="A168" i="4"/>
  <c r="Q167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B167" i="4"/>
  <c r="A167" i="4"/>
  <c r="Q166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B166" i="4"/>
  <c r="A166" i="4"/>
  <c r="N165" i="4"/>
  <c r="M165" i="4"/>
  <c r="L165" i="4"/>
  <c r="K165" i="4"/>
  <c r="J165" i="4"/>
  <c r="I165" i="4"/>
  <c r="H165" i="4"/>
  <c r="G165" i="4"/>
  <c r="F165" i="4"/>
  <c r="E165" i="4"/>
  <c r="Q165" i="4" s="1"/>
  <c r="D165" i="4"/>
  <c r="C165" i="4"/>
  <c r="B165" i="4"/>
  <c r="A165" i="4"/>
  <c r="N164" i="4"/>
  <c r="M164" i="4"/>
  <c r="L164" i="4"/>
  <c r="K164" i="4"/>
  <c r="J164" i="4"/>
  <c r="I164" i="4"/>
  <c r="H164" i="4"/>
  <c r="G164" i="4"/>
  <c r="F164" i="4"/>
  <c r="E164" i="4"/>
  <c r="Q164" i="4" s="1"/>
  <c r="D164" i="4"/>
  <c r="C164" i="4"/>
  <c r="B164" i="4"/>
  <c r="A164" i="4"/>
  <c r="N163" i="4"/>
  <c r="M163" i="4"/>
  <c r="L163" i="4"/>
  <c r="K163" i="4"/>
  <c r="J163" i="4"/>
  <c r="I163" i="4"/>
  <c r="H163" i="4"/>
  <c r="G163" i="4"/>
  <c r="F163" i="4"/>
  <c r="E163" i="4"/>
  <c r="Q163" i="4" s="1"/>
  <c r="D163" i="4"/>
  <c r="C163" i="4"/>
  <c r="B163" i="4"/>
  <c r="A163" i="4"/>
  <c r="N162" i="4"/>
  <c r="M162" i="4"/>
  <c r="L162" i="4"/>
  <c r="K162" i="4"/>
  <c r="J162" i="4"/>
  <c r="I162" i="4"/>
  <c r="H162" i="4"/>
  <c r="G162" i="4"/>
  <c r="F162" i="4"/>
  <c r="E162" i="4"/>
  <c r="Q162" i="4" s="1"/>
  <c r="D162" i="4"/>
  <c r="C162" i="4"/>
  <c r="B162" i="4"/>
  <c r="A162" i="4"/>
  <c r="Q161" i="4"/>
  <c r="N161" i="4"/>
  <c r="M161" i="4"/>
  <c r="L161" i="4"/>
  <c r="K161" i="4"/>
  <c r="J161" i="4"/>
  <c r="I161" i="4"/>
  <c r="H161" i="4"/>
  <c r="G161" i="4"/>
  <c r="F161" i="4"/>
  <c r="E161" i="4"/>
  <c r="D161" i="4"/>
  <c r="C161" i="4"/>
  <c r="B161" i="4"/>
  <c r="A161" i="4"/>
  <c r="Q160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B160" i="4"/>
  <c r="A160" i="4"/>
  <c r="Q159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B159" i="4"/>
  <c r="A159" i="4"/>
  <c r="Q158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B158" i="4"/>
  <c r="A158" i="4"/>
  <c r="N157" i="4"/>
  <c r="M157" i="4"/>
  <c r="L157" i="4"/>
  <c r="K157" i="4"/>
  <c r="J157" i="4"/>
  <c r="I157" i="4"/>
  <c r="H157" i="4"/>
  <c r="G157" i="4"/>
  <c r="F157" i="4"/>
  <c r="E157" i="4"/>
  <c r="Q157" i="4" s="1"/>
  <c r="D157" i="4"/>
  <c r="C157" i="4"/>
  <c r="B157" i="4"/>
  <c r="A157" i="4"/>
  <c r="N156" i="4"/>
  <c r="M156" i="4"/>
  <c r="L156" i="4"/>
  <c r="K156" i="4"/>
  <c r="J156" i="4"/>
  <c r="I156" i="4"/>
  <c r="H156" i="4"/>
  <c r="G156" i="4"/>
  <c r="F156" i="4"/>
  <c r="E156" i="4"/>
  <c r="Q156" i="4" s="1"/>
  <c r="D156" i="4"/>
  <c r="C156" i="4"/>
  <c r="B156" i="4"/>
  <c r="A156" i="4"/>
  <c r="N155" i="4"/>
  <c r="M155" i="4"/>
  <c r="L155" i="4"/>
  <c r="K155" i="4"/>
  <c r="J155" i="4"/>
  <c r="I155" i="4"/>
  <c r="H155" i="4"/>
  <c r="G155" i="4"/>
  <c r="F155" i="4"/>
  <c r="E155" i="4"/>
  <c r="Q155" i="4" s="1"/>
  <c r="D155" i="4"/>
  <c r="C155" i="4"/>
  <c r="B155" i="4"/>
  <c r="A155" i="4"/>
  <c r="N154" i="4"/>
  <c r="M154" i="4"/>
  <c r="L154" i="4"/>
  <c r="K154" i="4"/>
  <c r="J154" i="4"/>
  <c r="I154" i="4"/>
  <c r="H154" i="4"/>
  <c r="G154" i="4"/>
  <c r="F154" i="4"/>
  <c r="E154" i="4"/>
  <c r="Q154" i="4" s="1"/>
  <c r="D154" i="4"/>
  <c r="C154" i="4"/>
  <c r="B154" i="4"/>
  <c r="A154" i="4"/>
  <c r="Q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B153" i="4"/>
  <c r="A153" i="4"/>
  <c r="Q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B152" i="4"/>
  <c r="A152" i="4"/>
  <c r="Q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B151" i="4"/>
  <c r="A151" i="4"/>
  <c r="Q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B150" i="4"/>
  <c r="A150" i="4"/>
  <c r="N149" i="4"/>
  <c r="M149" i="4"/>
  <c r="L149" i="4"/>
  <c r="K149" i="4"/>
  <c r="J149" i="4"/>
  <c r="I149" i="4"/>
  <c r="H149" i="4"/>
  <c r="G149" i="4"/>
  <c r="F149" i="4"/>
  <c r="E149" i="4"/>
  <c r="Q149" i="4" s="1"/>
  <c r="D149" i="4"/>
  <c r="C149" i="4"/>
  <c r="B149" i="4"/>
  <c r="A149" i="4"/>
  <c r="N148" i="4"/>
  <c r="M148" i="4"/>
  <c r="L148" i="4"/>
  <c r="K148" i="4"/>
  <c r="J148" i="4"/>
  <c r="I148" i="4"/>
  <c r="H148" i="4"/>
  <c r="G148" i="4"/>
  <c r="F148" i="4"/>
  <c r="E148" i="4"/>
  <c r="Q148" i="4" s="1"/>
  <c r="D148" i="4"/>
  <c r="C148" i="4"/>
  <c r="B148" i="4"/>
  <c r="A148" i="4"/>
  <c r="N147" i="4"/>
  <c r="M147" i="4"/>
  <c r="L147" i="4"/>
  <c r="K147" i="4"/>
  <c r="J147" i="4"/>
  <c r="I147" i="4"/>
  <c r="H147" i="4"/>
  <c r="G147" i="4"/>
  <c r="F147" i="4"/>
  <c r="E147" i="4"/>
  <c r="Q147" i="4" s="1"/>
  <c r="D147" i="4"/>
  <c r="C147" i="4"/>
  <c r="B147" i="4"/>
  <c r="A147" i="4"/>
  <c r="N146" i="4"/>
  <c r="M146" i="4"/>
  <c r="L146" i="4"/>
  <c r="K146" i="4"/>
  <c r="J146" i="4"/>
  <c r="I146" i="4"/>
  <c r="H146" i="4"/>
  <c r="G146" i="4"/>
  <c r="F146" i="4"/>
  <c r="E146" i="4"/>
  <c r="Q146" i="4" s="1"/>
  <c r="D146" i="4"/>
  <c r="C146" i="4"/>
  <c r="B146" i="4"/>
  <c r="A146" i="4"/>
  <c r="Q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B145" i="4"/>
  <c r="A145" i="4"/>
  <c r="Q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B144" i="4"/>
  <c r="A144" i="4"/>
  <c r="Q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B143" i="4"/>
  <c r="A143" i="4"/>
  <c r="Q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B142" i="4"/>
  <c r="A142" i="4"/>
  <c r="N141" i="4"/>
  <c r="M141" i="4"/>
  <c r="L141" i="4"/>
  <c r="K141" i="4"/>
  <c r="J141" i="4"/>
  <c r="I141" i="4"/>
  <c r="H141" i="4"/>
  <c r="G141" i="4"/>
  <c r="F141" i="4"/>
  <c r="E141" i="4"/>
  <c r="Q141" i="4" s="1"/>
  <c r="D141" i="4"/>
  <c r="C141" i="4"/>
  <c r="B141" i="4"/>
  <c r="A141" i="4"/>
  <c r="N140" i="4"/>
  <c r="M140" i="4"/>
  <c r="L140" i="4"/>
  <c r="K140" i="4"/>
  <c r="J140" i="4"/>
  <c r="I140" i="4"/>
  <c r="H140" i="4"/>
  <c r="G140" i="4"/>
  <c r="F140" i="4"/>
  <c r="E140" i="4"/>
  <c r="Q140" i="4" s="1"/>
  <c r="D140" i="4"/>
  <c r="C140" i="4"/>
  <c r="B140" i="4"/>
  <c r="A140" i="4"/>
  <c r="N139" i="4"/>
  <c r="M139" i="4"/>
  <c r="L139" i="4"/>
  <c r="K139" i="4"/>
  <c r="J139" i="4"/>
  <c r="I139" i="4"/>
  <c r="H139" i="4"/>
  <c r="G139" i="4"/>
  <c r="F139" i="4"/>
  <c r="E139" i="4"/>
  <c r="Q139" i="4" s="1"/>
  <c r="D139" i="4"/>
  <c r="C139" i="4"/>
  <c r="B139" i="4"/>
  <c r="A139" i="4"/>
  <c r="N138" i="4"/>
  <c r="M138" i="4"/>
  <c r="L138" i="4"/>
  <c r="K138" i="4"/>
  <c r="J138" i="4"/>
  <c r="I138" i="4"/>
  <c r="H138" i="4"/>
  <c r="G138" i="4"/>
  <c r="F138" i="4"/>
  <c r="E138" i="4"/>
  <c r="Q138" i="4" s="1"/>
  <c r="D138" i="4"/>
  <c r="C138" i="4"/>
  <c r="B138" i="4"/>
  <c r="A138" i="4"/>
  <c r="Q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B137" i="4"/>
  <c r="A137" i="4"/>
  <c r="Q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B136" i="4"/>
  <c r="A136" i="4"/>
  <c r="Q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B135" i="4"/>
  <c r="A135" i="4"/>
  <c r="Q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A134" i="4"/>
  <c r="N133" i="4"/>
  <c r="M133" i="4"/>
  <c r="L133" i="4"/>
  <c r="K133" i="4"/>
  <c r="J133" i="4"/>
  <c r="I133" i="4"/>
  <c r="H133" i="4"/>
  <c r="G133" i="4"/>
  <c r="F133" i="4"/>
  <c r="E133" i="4"/>
  <c r="Q133" i="4" s="1"/>
  <c r="D133" i="4"/>
  <c r="C133" i="4"/>
  <c r="B133" i="4"/>
  <c r="A133" i="4"/>
  <c r="N132" i="4"/>
  <c r="M132" i="4"/>
  <c r="L132" i="4"/>
  <c r="K132" i="4"/>
  <c r="J132" i="4"/>
  <c r="I132" i="4"/>
  <c r="H132" i="4"/>
  <c r="G132" i="4"/>
  <c r="F132" i="4"/>
  <c r="E132" i="4"/>
  <c r="Q132" i="4" s="1"/>
  <c r="D132" i="4"/>
  <c r="C132" i="4"/>
  <c r="B132" i="4"/>
  <c r="A132" i="4"/>
  <c r="N131" i="4"/>
  <c r="M131" i="4"/>
  <c r="L131" i="4"/>
  <c r="K131" i="4"/>
  <c r="J131" i="4"/>
  <c r="I131" i="4"/>
  <c r="H131" i="4"/>
  <c r="G131" i="4"/>
  <c r="F131" i="4"/>
  <c r="E131" i="4"/>
  <c r="Q131" i="4" s="1"/>
  <c r="D131" i="4"/>
  <c r="C131" i="4"/>
  <c r="B131" i="4"/>
  <c r="A131" i="4"/>
  <c r="N130" i="4"/>
  <c r="M130" i="4"/>
  <c r="L130" i="4"/>
  <c r="K130" i="4"/>
  <c r="J130" i="4"/>
  <c r="I130" i="4"/>
  <c r="H130" i="4"/>
  <c r="G130" i="4"/>
  <c r="F130" i="4"/>
  <c r="E130" i="4"/>
  <c r="Q130" i="4" s="1"/>
  <c r="D130" i="4"/>
  <c r="C130" i="4"/>
  <c r="B130" i="4"/>
  <c r="A130" i="4"/>
  <c r="Q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B129" i="4"/>
  <c r="A129" i="4"/>
  <c r="Q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A128" i="4"/>
  <c r="Q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A127" i="4"/>
  <c r="Q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A126" i="4"/>
  <c r="N125" i="4"/>
  <c r="M125" i="4"/>
  <c r="L125" i="4"/>
  <c r="K125" i="4"/>
  <c r="J125" i="4"/>
  <c r="I125" i="4"/>
  <c r="H125" i="4"/>
  <c r="G125" i="4"/>
  <c r="F125" i="4"/>
  <c r="E125" i="4"/>
  <c r="Q125" i="4" s="1"/>
  <c r="D125" i="4"/>
  <c r="C125" i="4"/>
  <c r="B125" i="4"/>
  <c r="A125" i="4"/>
  <c r="N124" i="4"/>
  <c r="M124" i="4"/>
  <c r="L124" i="4"/>
  <c r="K124" i="4"/>
  <c r="J124" i="4"/>
  <c r="I124" i="4"/>
  <c r="H124" i="4"/>
  <c r="G124" i="4"/>
  <c r="F124" i="4"/>
  <c r="E124" i="4"/>
  <c r="Q124" i="4" s="1"/>
  <c r="D124" i="4"/>
  <c r="C124" i="4"/>
  <c r="B124" i="4"/>
  <c r="A124" i="4"/>
  <c r="N123" i="4"/>
  <c r="M123" i="4"/>
  <c r="L123" i="4"/>
  <c r="K123" i="4"/>
  <c r="J123" i="4"/>
  <c r="I123" i="4"/>
  <c r="H123" i="4"/>
  <c r="G123" i="4"/>
  <c r="F123" i="4"/>
  <c r="E123" i="4"/>
  <c r="Q123" i="4" s="1"/>
  <c r="D123" i="4"/>
  <c r="C123" i="4"/>
  <c r="B123" i="4"/>
  <c r="A123" i="4"/>
  <c r="N122" i="4"/>
  <c r="M122" i="4"/>
  <c r="L122" i="4"/>
  <c r="K122" i="4"/>
  <c r="J122" i="4"/>
  <c r="I122" i="4"/>
  <c r="H122" i="4"/>
  <c r="G122" i="4"/>
  <c r="F122" i="4"/>
  <c r="E122" i="4"/>
  <c r="Q122" i="4" s="1"/>
  <c r="D122" i="4"/>
  <c r="C122" i="4"/>
  <c r="B122" i="4"/>
  <c r="A122" i="4"/>
  <c r="Q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A121" i="4"/>
  <c r="Q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A120" i="4"/>
  <c r="Q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A119" i="4"/>
  <c r="Q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A118" i="4"/>
  <c r="N117" i="4"/>
  <c r="M117" i="4"/>
  <c r="L117" i="4"/>
  <c r="K117" i="4"/>
  <c r="J117" i="4"/>
  <c r="I117" i="4"/>
  <c r="H117" i="4"/>
  <c r="G117" i="4"/>
  <c r="F117" i="4"/>
  <c r="E117" i="4"/>
  <c r="Q117" i="4" s="1"/>
  <c r="D117" i="4"/>
  <c r="C117" i="4"/>
  <c r="B117" i="4"/>
  <c r="A117" i="4"/>
  <c r="N116" i="4"/>
  <c r="M116" i="4"/>
  <c r="L116" i="4"/>
  <c r="K116" i="4"/>
  <c r="J116" i="4"/>
  <c r="I116" i="4"/>
  <c r="H116" i="4"/>
  <c r="G116" i="4"/>
  <c r="F116" i="4"/>
  <c r="E116" i="4"/>
  <c r="Q116" i="4" s="1"/>
  <c r="D116" i="4"/>
  <c r="C116" i="4"/>
  <c r="B116" i="4"/>
  <c r="A116" i="4"/>
  <c r="N115" i="4"/>
  <c r="M115" i="4"/>
  <c r="L115" i="4"/>
  <c r="K115" i="4"/>
  <c r="J115" i="4"/>
  <c r="I115" i="4"/>
  <c r="H115" i="4"/>
  <c r="G115" i="4"/>
  <c r="F115" i="4"/>
  <c r="E115" i="4"/>
  <c r="Q115" i="4" s="1"/>
  <c r="D115" i="4"/>
  <c r="C115" i="4"/>
  <c r="B115" i="4"/>
  <c r="A115" i="4"/>
  <c r="N114" i="4"/>
  <c r="M114" i="4"/>
  <c r="L114" i="4"/>
  <c r="K114" i="4"/>
  <c r="J114" i="4"/>
  <c r="I114" i="4"/>
  <c r="H114" i="4"/>
  <c r="G114" i="4"/>
  <c r="F114" i="4"/>
  <c r="E114" i="4"/>
  <c r="Q114" i="4" s="1"/>
  <c r="D114" i="4"/>
  <c r="C114" i="4"/>
  <c r="B114" i="4"/>
  <c r="A114" i="4"/>
  <c r="Q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B113" i="4"/>
  <c r="A113" i="4"/>
  <c r="Q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A112" i="4"/>
  <c r="Q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A111" i="4"/>
  <c r="Q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A110" i="4"/>
  <c r="N109" i="4"/>
  <c r="M109" i="4"/>
  <c r="L109" i="4"/>
  <c r="K109" i="4"/>
  <c r="J109" i="4"/>
  <c r="I109" i="4"/>
  <c r="H109" i="4"/>
  <c r="G109" i="4"/>
  <c r="F109" i="4"/>
  <c r="E109" i="4"/>
  <c r="Q109" i="4" s="1"/>
  <c r="D109" i="4"/>
  <c r="C109" i="4"/>
  <c r="B109" i="4"/>
  <c r="A109" i="4"/>
  <c r="N108" i="4"/>
  <c r="M108" i="4"/>
  <c r="L108" i="4"/>
  <c r="K108" i="4"/>
  <c r="J108" i="4"/>
  <c r="I108" i="4"/>
  <c r="H108" i="4"/>
  <c r="G108" i="4"/>
  <c r="F108" i="4"/>
  <c r="E108" i="4"/>
  <c r="Q108" i="4" s="1"/>
  <c r="D108" i="4"/>
  <c r="C108" i="4"/>
  <c r="B108" i="4"/>
  <c r="A108" i="4"/>
  <c r="N107" i="4"/>
  <c r="M107" i="4"/>
  <c r="L107" i="4"/>
  <c r="K107" i="4"/>
  <c r="J107" i="4"/>
  <c r="I107" i="4"/>
  <c r="H107" i="4"/>
  <c r="G107" i="4"/>
  <c r="F107" i="4"/>
  <c r="E107" i="4"/>
  <c r="Q107" i="4" s="1"/>
  <c r="D107" i="4"/>
  <c r="C107" i="4"/>
  <c r="B107" i="4"/>
  <c r="A107" i="4"/>
  <c r="N106" i="4"/>
  <c r="M106" i="4"/>
  <c r="L106" i="4"/>
  <c r="K106" i="4"/>
  <c r="J106" i="4"/>
  <c r="I106" i="4"/>
  <c r="H106" i="4"/>
  <c r="G106" i="4"/>
  <c r="F106" i="4"/>
  <c r="E106" i="4"/>
  <c r="Q106" i="4" s="1"/>
  <c r="D106" i="4"/>
  <c r="C106" i="4"/>
  <c r="B106" i="4"/>
  <c r="A106" i="4"/>
  <c r="Q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B105" i="4"/>
  <c r="A105" i="4"/>
  <c r="Q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A104" i="4"/>
  <c r="Q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A103" i="4"/>
  <c r="Q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A102" i="4"/>
  <c r="N101" i="4"/>
  <c r="M101" i="4"/>
  <c r="L101" i="4"/>
  <c r="K101" i="4"/>
  <c r="J101" i="4"/>
  <c r="I101" i="4"/>
  <c r="H101" i="4"/>
  <c r="G101" i="4"/>
  <c r="F101" i="4"/>
  <c r="E101" i="4"/>
  <c r="Q101" i="4" s="1"/>
  <c r="D101" i="4"/>
  <c r="C101" i="4"/>
  <c r="B101" i="4"/>
  <c r="A101" i="4"/>
  <c r="N100" i="4"/>
  <c r="M100" i="4"/>
  <c r="L100" i="4"/>
  <c r="K100" i="4"/>
  <c r="J100" i="4"/>
  <c r="I100" i="4"/>
  <c r="H100" i="4"/>
  <c r="G100" i="4"/>
  <c r="F100" i="4"/>
  <c r="E100" i="4"/>
  <c r="Q100" i="4" s="1"/>
  <c r="D100" i="4"/>
  <c r="C100" i="4"/>
  <c r="B100" i="4"/>
  <c r="A100" i="4"/>
  <c r="N99" i="4"/>
  <c r="M99" i="4"/>
  <c r="L99" i="4"/>
  <c r="K99" i="4"/>
  <c r="J99" i="4"/>
  <c r="I99" i="4"/>
  <c r="H99" i="4"/>
  <c r="G99" i="4"/>
  <c r="F99" i="4"/>
  <c r="E99" i="4"/>
  <c r="Q99" i="4" s="1"/>
  <c r="D99" i="4"/>
  <c r="C99" i="4"/>
  <c r="B99" i="4"/>
  <c r="A99" i="4"/>
  <c r="N98" i="4"/>
  <c r="M98" i="4"/>
  <c r="L98" i="4"/>
  <c r="K98" i="4"/>
  <c r="J98" i="4"/>
  <c r="I98" i="4"/>
  <c r="H98" i="4"/>
  <c r="G98" i="4"/>
  <c r="F98" i="4"/>
  <c r="E98" i="4"/>
  <c r="Q98" i="4" s="1"/>
  <c r="D98" i="4"/>
  <c r="C98" i="4"/>
  <c r="B98" i="4"/>
  <c r="A98" i="4"/>
  <c r="Q97" i="4"/>
  <c r="N97" i="4"/>
  <c r="M97" i="4"/>
  <c r="L97" i="4"/>
  <c r="K97" i="4"/>
  <c r="J97" i="4"/>
  <c r="I97" i="4"/>
  <c r="H97" i="4"/>
  <c r="G97" i="4"/>
  <c r="F97" i="4"/>
  <c r="E97" i="4"/>
  <c r="D97" i="4"/>
  <c r="C97" i="4"/>
  <c r="B97" i="4"/>
  <c r="A97" i="4"/>
  <c r="Q96" i="4"/>
  <c r="N96" i="4"/>
  <c r="M96" i="4"/>
  <c r="L96" i="4"/>
  <c r="K96" i="4"/>
  <c r="J96" i="4"/>
  <c r="I96" i="4"/>
  <c r="H96" i="4"/>
  <c r="G96" i="4"/>
  <c r="F96" i="4"/>
  <c r="E96" i="4"/>
  <c r="D96" i="4"/>
  <c r="C96" i="4"/>
  <c r="B96" i="4"/>
  <c r="A96" i="4"/>
  <c r="Q95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A95" i="4"/>
  <c r="Q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A94" i="4"/>
  <c r="N93" i="4"/>
  <c r="M93" i="4"/>
  <c r="L93" i="4"/>
  <c r="K93" i="4"/>
  <c r="J93" i="4"/>
  <c r="I93" i="4"/>
  <c r="H93" i="4"/>
  <c r="G93" i="4"/>
  <c r="F93" i="4"/>
  <c r="E93" i="4"/>
  <c r="Q93" i="4" s="1"/>
  <c r="D93" i="4"/>
  <c r="C93" i="4"/>
  <c r="B93" i="4"/>
  <c r="A93" i="4"/>
  <c r="N92" i="4"/>
  <c r="M92" i="4"/>
  <c r="L92" i="4"/>
  <c r="K92" i="4"/>
  <c r="J92" i="4"/>
  <c r="I92" i="4"/>
  <c r="H92" i="4"/>
  <c r="G92" i="4"/>
  <c r="F92" i="4"/>
  <c r="E92" i="4"/>
  <c r="Q92" i="4" s="1"/>
  <c r="D92" i="4"/>
  <c r="C92" i="4"/>
  <c r="B92" i="4"/>
  <c r="A92" i="4"/>
  <c r="N91" i="4"/>
  <c r="M91" i="4"/>
  <c r="L91" i="4"/>
  <c r="K91" i="4"/>
  <c r="J91" i="4"/>
  <c r="I91" i="4"/>
  <c r="H91" i="4"/>
  <c r="G91" i="4"/>
  <c r="F91" i="4"/>
  <c r="E91" i="4"/>
  <c r="Q91" i="4" s="1"/>
  <c r="D91" i="4"/>
  <c r="C91" i="4"/>
  <c r="B91" i="4"/>
  <c r="A91" i="4"/>
  <c r="N90" i="4"/>
  <c r="M90" i="4"/>
  <c r="L90" i="4"/>
  <c r="K90" i="4"/>
  <c r="J90" i="4"/>
  <c r="I90" i="4"/>
  <c r="H90" i="4"/>
  <c r="G90" i="4"/>
  <c r="F90" i="4"/>
  <c r="E90" i="4"/>
  <c r="Q90" i="4" s="1"/>
  <c r="D90" i="4"/>
  <c r="C90" i="4"/>
  <c r="B90" i="4"/>
  <c r="A90" i="4"/>
  <c r="Q89" i="4"/>
  <c r="N89" i="4"/>
  <c r="M89" i="4"/>
  <c r="L89" i="4"/>
  <c r="K89" i="4"/>
  <c r="J89" i="4"/>
  <c r="I89" i="4"/>
  <c r="H89" i="4"/>
  <c r="G89" i="4"/>
  <c r="F89" i="4"/>
  <c r="E89" i="4"/>
  <c r="D89" i="4"/>
  <c r="C89" i="4"/>
  <c r="B89" i="4"/>
  <c r="A89" i="4"/>
  <c r="Q88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A88" i="4"/>
  <c r="Q87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A87" i="4"/>
  <c r="Q86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A86" i="4"/>
  <c r="N85" i="4"/>
  <c r="M85" i="4"/>
  <c r="L85" i="4"/>
  <c r="K85" i="4"/>
  <c r="J85" i="4"/>
  <c r="I85" i="4"/>
  <c r="H85" i="4"/>
  <c r="G85" i="4"/>
  <c r="F85" i="4"/>
  <c r="E85" i="4"/>
  <c r="Q85" i="4" s="1"/>
  <c r="D85" i="4"/>
  <c r="C85" i="4"/>
  <c r="B85" i="4"/>
  <c r="A85" i="4"/>
  <c r="N84" i="4"/>
  <c r="M84" i="4"/>
  <c r="L84" i="4"/>
  <c r="K84" i="4"/>
  <c r="J84" i="4"/>
  <c r="I84" i="4"/>
  <c r="H84" i="4"/>
  <c r="G84" i="4"/>
  <c r="F84" i="4"/>
  <c r="E84" i="4"/>
  <c r="Q84" i="4" s="1"/>
  <c r="D84" i="4"/>
  <c r="C84" i="4"/>
  <c r="B84" i="4"/>
  <c r="A84" i="4"/>
  <c r="N83" i="4"/>
  <c r="M83" i="4"/>
  <c r="L83" i="4"/>
  <c r="K83" i="4"/>
  <c r="J83" i="4"/>
  <c r="I83" i="4"/>
  <c r="H83" i="4"/>
  <c r="G83" i="4"/>
  <c r="F83" i="4"/>
  <c r="E83" i="4"/>
  <c r="Q83" i="4" s="1"/>
  <c r="D83" i="4"/>
  <c r="C83" i="4"/>
  <c r="B83" i="4"/>
  <c r="A83" i="4"/>
  <c r="N82" i="4"/>
  <c r="M82" i="4"/>
  <c r="L82" i="4"/>
  <c r="K82" i="4"/>
  <c r="J82" i="4"/>
  <c r="I82" i="4"/>
  <c r="H82" i="4"/>
  <c r="G82" i="4"/>
  <c r="F82" i="4"/>
  <c r="E82" i="4"/>
  <c r="Q82" i="4" s="1"/>
  <c r="D82" i="4"/>
  <c r="C82" i="4"/>
  <c r="B82" i="4"/>
  <c r="A82" i="4"/>
  <c r="Q81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A81" i="4"/>
  <c r="Q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A80" i="4"/>
  <c r="Q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A79" i="4"/>
  <c r="Q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A78" i="4"/>
  <c r="N77" i="4"/>
  <c r="M77" i="4"/>
  <c r="L77" i="4"/>
  <c r="K77" i="4"/>
  <c r="J77" i="4"/>
  <c r="I77" i="4"/>
  <c r="H77" i="4"/>
  <c r="G77" i="4"/>
  <c r="F77" i="4"/>
  <c r="E77" i="4"/>
  <c r="Q77" i="4" s="1"/>
  <c r="D77" i="4"/>
  <c r="C77" i="4"/>
  <c r="B77" i="4"/>
  <c r="A77" i="4"/>
  <c r="N76" i="4"/>
  <c r="M76" i="4"/>
  <c r="L76" i="4"/>
  <c r="K76" i="4"/>
  <c r="J76" i="4"/>
  <c r="I76" i="4"/>
  <c r="H76" i="4"/>
  <c r="G76" i="4"/>
  <c r="F76" i="4"/>
  <c r="E76" i="4"/>
  <c r="Q76" i="4" s="1"/>
  <c r="D76" i="4"/>
  <c r="C76" i="4"/>
  <c r="B76" i="4"/>
  <c r="A76" i="4"/>
  <c r="N75" i="4"/>
  <c r="M75" i="4"/>
  <c r="L75" i="4"/>
  <c r="K75" i="4"/>
  <c r="J75" i="4"/>
  <c r="I75" i="4"/>
  <c r="H75" i="4"/>
  <c r="G75" i="4"/>
  <c r="F75" i="4"/>
  <c r="E75" i="4"/>
  <c r="Q75" i="4" s="1"/>
  <c r="D75" i="4"/>
  <c r="C75" i="4"/>
  <c r="B75" i="4"/>
  <c r="A75" i="4"/>
  <c r="N74" i="4"/>
  <c r="M74" i="4"/>
  <c r="L74" i="4"/>
  <c r="K74" i="4"/>
  <c r="J74" i="4"/>
  <c r="O74" i="4" s="1"/>
  <c r="I74" i="4"/>
  <c r="H74" i="4"/>
  <c r="G74" i="4"/>
  <c r="F74" i="4"/>
  <c r="E74" i="4"/>
  <c r="Q74" i="4" s="1"/>
  <c r="D74" i="4"/>
  <c r="C74" i="4"/>
  <c r="B74" i="4"/>
  <c r="A74" i="4"/>
  <c r="Q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A73" i="4"/>
  <c r="Q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A72" i="4"/>
  <c r="N71" i="4"/>
  <c r="M71" i="4"/>
  <c r="L71" i="4"/>
  <c r="K71" i="4"/>
  <c r="J71" i="4"/>
  <c r="I71" i="4"/>
  <c r="H71" i="4"/>
  <c r="G71" i="4"/>
  <c r="F71" i="4"/>
  <c r="E71" i="4"/>
  <c r="Q71" i="4" s="1"/>
  <c r="D71" i="4"/>
  <c r="C71" i="4"/>
  <c r="B71" i="4"/>
  <c r="A71" i="4"/>
  <c r="Q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A70" i="4"/>
  <c r="N69" i="4"/>
  <c r="M69" i="4"/>
  <c r="L69" i="4"/>
  <c r="K69" i="4"/>
  <c r="J69" i="4"/>
  <c r="I69" i="4"/>
  <c r="H69" i="4"/>
  <c r="G69" i="4"/>
  <c r="F69" i="4"/>
  <c r="E69" i="4"/>
  <c r="Q69" i="4" s="1"/>
  <c r="D69" i="4"/>
  <c r="C69" i="4"/>
  <c r="B69" i="4"/>
  <c r="A69" i="4"/>
  <c r="N68" i="4"/>
  <c r="M68" i="4"/>
  <c r="L68" i="4"/>
  <c r="K68" i="4"/>
  <c r="J68" i="4"/>
  <c r="I68" i="4"/>
  <c r="H68" i="4"/>
  <c r="G68" i="4"/>
  <c r="F68" i="4"/>
  <c r="E68" i="4"/>
  <c r="Q68" i="4" s="1"/>
  <c r="D68" i="4"/>
  <c r="C68" i="4"/>
  <c r="B68" i="4"/>
  <c r="A68" i="4"/>
  <c r="Q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A67" i="4"/>
  <c r="N66" i="4"/>
  <c r="M66" i="4"/>
  <c r="L66" i="4"/>
  <c r="K66" i="4"/>
  <c r="J66" i="4"/>
  <c r="I66" i="4"/>
  <c r="H66" i="4"/>
  <c r="G66" i="4"/>
  <c r="F66" i="4"/>
  <c r="O66" i="4" s="1"/>
  <c r="E66" i="4"/>
  <c r="Q66" i="4" s="1"/>
  <c r="D66" i="4"/>
  <c r="C66" i="4"/>
  <c r="B66" i="4"/>
  <c r="A66" i="4"/>
  <c r="Q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A65" i="4"/>
  <c r="Q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A64" i="4"/>
  <c r="Q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A63" i="4"/>
  <c r="Q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A62" i="4"/>
  <c r="N61" i="4"/>
  <c r="M61" i="4"/>
  <c r="L61" i="4"/>
  <c r="K61" i="4"/>
  <c r="J61" i="4"/>
  <c r="I61" i="4"/>
  <c r="H61" i="4"/>
  <c r="G61" i="4"/>
  <c r="F61" i="4"/>
  <c r="E61" i="4"/>
  <c r="Q61" i="4" s="1"/>
  <c r="D61" i="4"/>
  <c r="C61" i="4"/>
  <c r="B61" i="4"/>
  <c r="A61" i="4"/>
  <c r="N60" i="4"/>
  <c r="M60" i="4"/>
  <c r="L60" i="4"/>
  <c r="K60" i="4"/>
  <c r="J60" i="4"/>
  <c r="I60" i="4"/>
  <c r="H60" i="4"/>
  <c r="G60" i="4"/>
  <c r="F60" i="4"/>
  <c r="E60" i="4"/>
  <c r="Q60" i="4" s="1"/>
  <c r="D60" i="4"/>
  <c r="C60" i="4"/>
  <c r="B60" i="4"/>
  <c r="A60" i="4"/>
  <c r="N59" i="4"/>
  <c r="M59" i="4"/>
  <c r="L59" i="4"/>
  <c r="K59" i="4"/>
  <c r="J59" i="4"/>
  <c r="I59" i="4"/>
  <c r="H59" i="4"/>
  <c r="G59" i="4"/>
  <c r="F59" i="4"/>
  <c r="E59" i="4"/>
  <c r="Q59" i="4" s="1"/>
  <c r="D59" i="4"/>
  <c r="C59" i="4"/>
  <c r="B59" i="4"/>
  <c r="A59" i="4"/>
  <c r="N58" i="4"/>
  <c r="M58" i="4"/>
  <c r="L58" i="4"/>
  <c r="K58" i="4"/>
  <c r="J58" i="4"/>
  <c r="O58" i="4" s="1"/>
  <c r="I58" i="4"/>
  <c r="H58" i="4"/>
  <c r="G58" i="4"/>
  <c r="F58" i="4"/>
  <c r="E58" i="4"/>
  <c r="Q58" i="4" s="1"/>
  <c r="D58" i="4"/>
  <c r="C58" i="4"/>
  <c r="B58" i="4"/>
  <c r="A58" i="4"/>
  <c r="Q57" i="4"/>
  <c r="N57" i="4"/>
  <c r="M57" i="4"/>
  <c r="L57" i="4"/>
  <c r="K57" i="4"/>
  <c r="J57" i="4"/>
  <c r="I57" i="4"/>
  <c r="H57" i="4"/>
  <c r="G57" i="4"/>
  <c r="F57" i="4"/>
  <c r="O57" i="4" s="1"/>
  <c r="E57" i="4"/>
  <c r="D57" i="4"/>
  <c r="C57" i="4"/>
  <c r="B57" i="4"/>
  <c r="A57" i="4"/>
  <c r="Q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A56" i="4"/>
  <c r="N55" i="4"/>
  <c r="M55" i="4"/>
  <c r="L55" i="4"/>
  <c r="K55" i="4"/>
  <c r="J55" i="4"/>
  <c r="I55" i="4"/>
  <c r="H55" i="4"/>
  <c r="G55" i="4"/>
  <c r="F55" i="4"/>
  <c r="E55" i="4"/>
  <c r="Q55" i="4" s="1"/>
  <c r="D55" i="4"/>
  <c r="C55" i="4"/>
  <c r="B55" i="4"/>
  <c r="A55" i="4"/>
  <c r="Q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A54" i="4"/>
  <c r="N53" i="4"/>
  <c r="M53" i="4"/>
  <c r="L53" i="4"/>
  <c r="K53" i="4"/>
  <c r="J53" i="4"/>
  <c r="O53" i="4" s="1"/>
  <c r="P53" i="4" s="1"/>
  <c r="I53" i="4"/>
  <c r="H53" i="4"/>
  <c r="G53" i="4"/>
  <c r="F53" i="4"/>
  <c r="E53" i="4"/>
  <c r="Q53" i="4" s="1"/>
  <c r="D53" i="4"/>
  <c r="C53" i="4"/>
  <c r="B53" i="4"/>
  <c r="A53" i="4"/>
  <c r="N52" i="4"/>
  <c r="M52" i="4"/>
  <c r="L52" i="4"/>
  <c r="K52" i="4"/>
  <c r="J52" i="4"/>
  <c r="I52" i="4"/>
  <c r="H52" i="4"/>
  <c r="G52" i="4"/>
  <c r="F52" i="4"/>
  <c r="E52" i="4"/>
  <c r="Q52" i="4" s="1"/>
  <c r="D52" i="4"/>
  <c r="C52" i="4"/>
  <c r="B52" i="4"/>
  <c r="A52" i="4"/>
  <c r="Q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A51" i="4"/>
  <c r="N50" i="4"/>
  <c r="M50" i="4"/>
  <c r="L50" i="4"/>
  <c r="K50" i="4"/>
  <c r="J50" i="4"/>
  <c r="I50" i="4"/>
  <c r="H50" i="4"/>
  <c r="G50" i="4"/>
  <c r="F50" i="4"/>
  <c r="E50" i="4"/>
  <c r="Q50" i="4" s="1"/>
  <c r="D50" i="4"/>
  <c r="C50" i="4"/>
  <c r="B50" i="4"/>
  <c r="A50" i="4"/>
  <c r="Q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A49" i="4"/>
  <c r="Q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A48" i="4"/>
  <c r="Q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A47" i="4"/>
  <c r="Q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A46" i="4"/>
  <c r="N45" i="4"/>
  <c r="M45" i="4"/>
  <c r="L45" i="4"/>
  <c r="K45" i="4"/>
  <c r="J45" i="4"/>
  <c r="I45" i="4"/>
  <c r="H45" i="4"/>
  <c r="G45" i="4"/>
  <c r="F45" i="4"/>
  <c r="E45" i="4"/>
  <c r="Q45" i="4" s="1"/>
  <c r="D45" i="4"/>
  <c r="C45" i="4"/>
  <c r="B45" i="4"/>
  <c r="A45" i="4"/>
  <c r="N44" i="4"/>
  <c r="M44" i="4"/>
  <c r="L44" i="4"/>
  <c r="K44" i="4"/>
  <c r="J44" i="4"/>
  <c r="I44" i="4"/>
  <c r="H44" i="4"/>
  <c r="G44" i="4"/>
  <c r="F44" i="4"/>
  <c r="E44" i="4"/>
  <c r="Q44" i="4" s="1"/>
  <c r="D44" i="4"/>
  <c r="C44" i="4"/>
  <c r="B44" i="4"/>
  <c r="A44" i="4"/>
  <c r="N43" i="4"/>
  <c r="M43" i="4"/>
  <c r="L43" i="4"/>
  <c r="K43" i="4"/>
  <c r="J43" i="4"/>
  <c r="I43" i="4"/>
  <c r="H43" i="4"/>
  <c r="G43" i="4"/>
  <c r="F43" i="4"/>
  <c r="E43" i="4"/>
  <c r="Q43" i="4" s="1"/>
  <c r="D43" i="4"/>
  <c r="C43" i="4"/>
  <c r="B43" i="4"/>
  <c r="A43" i="4"/>
  <c r="N42" i="4"/>
  <c r="M42" i="4"/>
  <c r="L42" i="4"/>
  <c r="K42" i="4"/>
  <c r="J42" i="4"/>
  <c r="I42" i="4"/>
  <c r="H42" i="4"/>
  <c r="G42" i="4"/>
  <c r="F42" i="4"/>
  <c r="E42" i="4"/>
  <c r="Q42" i="4" s="1"/>
  <c r="D42" i="4"/>
  <c r="C42" i="4"/>
  <c r="B42" i="4"/>
  <c r="A42" i="4"/>
  <c r="Q41" i="4"/>
  <c r="N41" i="4"/>
  <c r="M41" i="4"/>
  <c r="L41" i="4"/>
  <c r="K41" i="4"/>
  <c r="J41" i="4"/>
  <c r="I41" i="4"/>
  <c r="H41" i="4"/>
  <c r="G41" i="4"/>
  <c r="F41" i="4"/>
  <c r="O41" i="4" s="1"/>
  <c r="E41" i="4"/>
  <c r="D41" i="4"/>
  <c r="C41" i="4"/>
  <c r="B41" i="4"/>
  <c r="A41" i="4"/>
  <c r="Q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A40" i="4"/>
  <c r="N39" i="4"/>
  <c r="M39" i="4"/>
  <c r="L39" i="4"/>
  <c r="K39" i="4"/>
  <c r="J39" i="4"/>
  <c r="I39" i="4"/>
  <c r="H39" i="4"/>
  <c r="G39" i="4"/>
  <c r="F39" i="4"/>
  <c r="E39" i="4"/>
  <c r="Q39" i="4" s="1"/>
  <c r="D39" i="4"/>
  <c r="C39" i="4"/>
  <c r="B39" i="4"/>
  <c r="A39" i="4"/>
  <c r="Q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A38" i="4"/>
  <c r="N37" i="4"/>
  <c r="M37" i="4"/>
  <c r="L37" i="4"/>
  <c r="K37" i="4"/>
  <c r="J37" i="4"/>
  <c r="I37" i="4"/>
  <c r="H37" i="4"/>
  <c r="G37" i="4"/>
  <c r="F37" i="4"/>
  <c r="E37" i="4"/>
  <c r="Q37" i="4" s="1"/>
  <c r="D37" i="4"/>
  <c r="C37" i="4"/>
  <c r="B37" i="4"/>
  <c r="A37" i="4"/>
  <c r="N36" i="4"/>
  <c r="M36" i="4"/>
  <c r="L36" i="4"/>
  <c r="K36" i="4"/>
  <c r="J36" i="4"/>
  <c r="I36" i="4"/>
  <c r="H36" i="4"/>
  <c r="G36" i="4"/>
  <c r="F36" i="4"/>
  <c r="E36" i="4"/>
  <c r="Q36" i="4" s="1"/>
  <c r="D36" i="4"/>
  <c r="C36" i="4"/>
  <c r="B36" i="4"/>
  <c r="A36" i="4"/>
  <c r="N35" i="4"/>
  <c r="M35" i="4"/>
  <c r="L35" i="4"/>
  <c r="K35" i="4"/>
  <c r="J35" i="4"/>
  <c r="I35" i="4"/>
  <c r="H35" i="4"/>
  <c r="G35" i="4"/>
  <c r="F35" i="4"/>
  <c r="E35" i="4"/>
  <c r="Q35" i="4" s="1"/>
  <c r="D35" i="4"/>
  <c r="C35" i="4"/>
  <c r="B35" i="4"/>
  <c r="A35" i="4"/>
  <c r="N34" i="4"/>
  <c r="M34" i="4"/>
  <c r="L34" i="4"/>
  <c r="K34" i="4"/>
  <c r="J34" i="4"/>
  <c r="O34" i="4" s="1"/>
  <c r="I34" i="4"/>
  <c r="H34" i="4"/>
  <c r="G34" i="4"/>
  <c r="F34" i="4"/>
  <c r="E34" i="4"/>
  <c r="Q34" i="4" s="1"/>
  <c r="D34" i="4"/>
  <c r="C34" i="4"/>
  <c r="B34" i="4"/>
  <c r="A34" i="4"/>
  <c r="Q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A33" i="4"/>
  <c r="Q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A32" i="4"/>
  <c r="Q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A31" i="4"/>
  <c r="Q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A30" i="4"/>
  <c r="N29" i="4"/>
  <c r="M29" i="4"/>
  <c r="L29" i="4"/>
  <c r="K29" i="4"/>
  <c r="J29" i="4"/>
  <c r="O29" i="4" s="1"/>
  <c r="P29" i="4" s="1"/>
  <c r="I29" i="4"/>
  <c r="H29" i="4"/>
  <c r="G29" i="4"/>
  <c r="F29" i="4"/>
  <c r="E29" i="4"/>
  <c r="Q29" i="4" s="1"/>
  <c r="D29" i="4"/>
  <c r="C29" i="4"/>
  <c r="B29" i="4"/>
  <c r="A29" i="4"/>
  <c r="N28" i="4"/>
  <c r="M28" i="4"/>
  <c r="L28" i="4"/>
  <c r="K28" i="4"/>
  <c r="J28" i="4"/>
  <c r="I28" i="4"/>
  <c r="H28" i="4"/>
  <c r="G28" i="4"/>
  <c r="F28" i="4"/>
  <c r="E28" i="4"/>
  <c r="Q28" i="4" s="1"/>
  <c r="D28" i="4"/>
  <c r="C28" i="4"/>
  <c r="B28" i="4"/>
  <c r="A28" i="4"/>
  <c r="Q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27" i="4"/>
  <c r="N26" i="4"/>
  <c r="M26" i="4"/>
  <c r="L26" i="4"/>
  <c r="K26" i="4"/>
  <c r="J26" i="4"/>
  <c r="I26" i="4"/>
  <c r="H26" i="4"/>
  <c r="G26" i="4"/>
  <c r="F26" i="4"/>
  <c r="O26" i="4" s="1"/>
  <c r="E26" i="4"/>
  <c r="Q26" i="4" s="1"/>
  <c r="D26" i="4"/>
  <c r="C26" i="4"/>
  <c r="B26" i="4"/>
  <c r="A26" i="4"/>
  <c r="Q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A25" i="4"/>
  <c r="Q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A24" i="4"/>
  <c r="Q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A23" i="4"/>
  <c r="Q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A22" i="4"/>
  <c r="N21" i="4"/>
  <c r="M21" i="4"/>
  <c r="L21" i="4"/>
  <c r="K21" i="4"/>
  <c r="J21" i="4"/>
  <c r="I21" i="4"/>
  <c r="H21" i="4"/>
  <c r="G21" i="4"/>
  <c r="F21" i="4"/>
  <c r="E21" i="4"/>
  <c r="Q21" i="4" s="1"/>
  <c r="D21" i="4"/>
  <c r="C21" i="4"/>
  <c r="B21" i="4"/>
  <c r="A21" i="4"/>
  <c r="N20" i="4"/>
  <c r="M20" i="4"/>
  <c r="L20" i="4"/>
  <c r="K20" i="4"/>
  <c r="J20" i="4"/>
  <c r="I20" i="4"/>
  <c r="H20" i="4"/>
  <c r="G20" i="4"/>
  <c r="F20" i="4"/>
  <c r="E20" i="4"/>
  <c r="Q20" i="4" s="1"/>
  <c r="D20" i="4"/>
  <c r="C20" i="4"/>
  <c r="B20" i="4"/>
  <c r="A20" i="4"/>
  <c r="N19" i="4"/>
  <c r="M19" i="4"/>
  <c r="L19" i="4"/>
  <c r="K19" i="4"/>
  <c r="J19" i="4"/>
  <c r="I19" i="4"/>
  <c r="H19" i="4"/>
  <c r="G19" i="4"/>
  <c r="F19" i="4"/>
  <c r="E19" i="4"/>
  <c r="Q19" i="4" s="1"/>
  <c r="D19" i="4"/>
  <c r="C19" i="4"/>
  <c r="B19" i="4"/>
  <c r="A19" i="4"/>
  <c r="N18" i="4"/>
  <c r="M18" i="4"/>
  <c r="L18" i="4"/>
  <c r="K18" i="4"/>
  <c r="J18" i="4"/>
  <c r="I18" i="4"/>
  <c r="H18" i="4"/>
  <c r="G18" i="4"/>
  <c r="F18" i="4"/>
  <c r="O18" i="4" s="1"/>
  <c r="E18" i="4"/>
  <c r="Q18" i="4" s="1"/>
  <c r="D18" i="4"/>
  <c r="C18" i="4"/>
  <c r="B18" i="4"/>
  <c r="A18" i="4"/>
  <c r="Q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A17" i="4"/>
  <c r="Q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A16" i="4"/>
  <c r="N15" i="4"/>
  <c r="M15" i="4"/>
  <c r="L15" i="4"/>
  <c r="K15" i="4"/>
  <c r="J15" i="4"/>
  <c r="I15" i="4"/>
  <c r="H15" i="4"/>
  <c r="G15" i="4"/>
  <c r="F15" i="4"/>
  <c r="E15" i="4"/>
  <c r="Q15" i="4" s="1"/>
  <c r="D15" i="4"/>
  <c r="C15" i="4"/>
  <c r="B15" i="4"/>
  <c r="A15" i="4"/>
  <c r="Q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A14" i="4"/>
  <c r="N13" i="4"/>
  <c r="M13" i="4"/>
  <c r="L13" i="4"/>
  <c r="K13" i="4"/>
  <c r="J13" i="4"/>
  <c r="O13" i="4" s="1"/>
  <c r="P13" i="4" s="1"/>
  <c r="I13" i="4"/>
  <c r="H13" i="4"/>
  <c r="G13" i="4"/>
  <c r="F13" i="4"/>
  <c r="E13" i="4"/>
  <c r="Q13" i="4" s="1"/>
  <c r="D13" i="4"/>
  <c r="C13" i="4"/>
  <c r="B13" i="4"/>
  <c r="A13" i="4"/>
  <c r="N12" i="4"/>
  <c r="M12" i="4"/>
  <c r="L12" i="4"/>
  <c r="K12" i="4"/>
  <c r="J12" i="4"/>
  <c r="I12" i="4"/>
  <c r="H12" i="4"/>
  <c r="G12" i="4"/>
  <c r="F12" i="4"/>
  <c r="E12" i="4"/>
  <c r="Q12" i="4" s="1"/>
  <c r="D12" i="4"/>
  <c r="C12" i="4"/>
  <c r="B12" i="4"/>
  <c r="A12" i="4"/>
  <c r="Q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11" i="4"/>
  <c r="N10" i="4"/>
  <c r="M10" i="4"/>
  <c r="L10" i="4"/>
  <c r="K10" i="4"/>
  <c r="J10" i="4"/>
  <c r="I10" i="4"/>
  <c r="H10" i="4"/>
  <c r="G10" i="4"/>
  <c r="F10" i="4"/>
  <c r="E10" i="4"/>
  <c r="Q10" i="4" s="1"/>
  <c r="D10" i="4"/>
  <c r="C10" i="4"/>
  <c r="B10" i="4"/>
  <c r="A10" i="4"/>
  <c r="Q9" i="4"/>
  <c r="N9" i="4"/>
  <c r="M9" i="4"/>
  <c r="L9" i="4"/>
  <c r="K9" i="4"/>
  <c r="J9" i="4"/>
  <c r="I9" i="4"/>
  <c r="H9" i="4"/>
  <c r="G9" i="4"/>
  <c r="F9" i="4"/>
  <c r="E9" i="4"/>
  <c r="D9" i="4"/>
  <c r="C9" i="4"/>
  <c r="B9" i="4"/>
  <c r="A9" i="4"/>
  <c r="Q8" i="4"/>
  <c r="N8" i="4"/>
  <c r="M8" i="4"/>
  <c r="L8" i="4"/>
  <c r="K8" i="4"/>
  <c r="J8" i="4"/>
  <c r="I8" i="4"/>
  <c r="H8" i="4"/>
  <c r="G8" i="4"/>
  <c r="F8" i="4"/>
  <c r="E8" i="4"/>
  <c r="D8" i="4"/>
  <c r="C8" i="4"/>
  <c r="B8" i="4"/>
  <c r="A8" i="4"/>
  <c r="N7" i="4"/>
  <c r="M7" i="4"/>
  <c r="L7" i="4"/>
  <c r="K7" i="4"/>
  <c r="J7" i="4"/>
  <c r="I7" i="4"/>
  <c r="H7" i="4"/>
  <c r="G7" i="4"/>
  <c r="F7" i="4"/>
  <c r="E7" i="4"/>
  <c r="Q7" i="4" s="1"/>
  <c r="D7" i="4"/>
  <c r="C7" i="4"/>
  <c r="B7" i="4"/>
  <c r="A7" i="4"/>
  <c r="Q6" i="4"/>
  <c r="N6" i="4"/>
  <c r="M6" i="4"/>
  <c r="L6" i="4"/>
  <c r="K6" i="4"/>
  <c r="J6" i="4"/>
  <c r="I6" i="4"/>
  <c r="H6" i="4"/>
  <c r="G6" i="4"/>
  <c r="F6" i="4"/>
  <c r="E6" i="4"/>
  <c r="D6" i="4"/>
  <c r="C6" i="4"/>
  <c r="B6" i="4"/>
  <c r="A6" i="4"/>
  <c r="O5" i="4"/>
  <c r="P5" i="4" s="1"/>
  <c r="N5" i="4"/>
  <c r="M5" i="4"/>
  <c r="L5" i="4"/>
  <c r="K5" i="4"/>
  <c r="J5" i="4"/>
  <c r="I5" i="4"/>
  <c r="H5" i="4"/>
  <c r="G5" i="4"/>
  <c r="F5" i="4"/>
  <c r="E5" i="4"/>
  <c r="Q5" i="4" s="1"/>
  <c r="D5" i="4"/>
  <c r="C5" i="4"/>
  <c r="B5" i="4"/>
  <c r="A5" i="4"/>
  <c r="N4" i="4"/>
  <c r="M4" i="4"/>
  <c r="L4" i="4"/>
  <c r="K4" i="4"/>
  <c r="J4" i="4"/>
  <c r="I4" i="4"/>
  <c r="H4" i="4"/>
  <c r="G4" i="4"/>
  <c r="F4" i="4"/>
  <c r="O4" i="4" s="1"/>
  <c r="P4" i="4" s="1"/>
  <c r="E4" i="4"/>
  <c r="Q4" i="4" s="1"/>
  <c r="D4" i="4"/>
  <c r="C4" i="4"/>
  <c r="B4" i="4"/>
  <c r="A4" i="4"/>
  <c r="N3" i="4"/>
  <c r="M3" i="4"/>
  <c r="L3" i="4"/>
  <c r="K3" i="4"/>
  <c r="J3" i="4"/>
  <c r="I3" i="4"/>
  <c r="H3" i="4"/>
  <c r="G3" i="4"/>
  <c r="F3" i="4"/>
  <c r="O3" i="4" s="1"/>
  <c r="E3" i="4"/>
  <c r="Q3" i="4" s="1"/>
  <c r="D3" i="4"/>
  <c r="C3" i="4"/>
  <c r="B3" i="4"/>
  <c r="A3" i="4"/>
  <c r="N2" i="4"/>
  <c r="M2" i="4"/>
  <c r="L2" i="4"/>
  <c r="K2" i="4"/>
  <c r="J2" i="4"/>
  <c r="I2" i="4"/>
  <c r="H2" i="4"/>
  <c r="G2" i="4"/>
  <c r="F2" i="4"/>
  <c r="O2" i="4" s="1"/>
  <c r="E2" i="4"/>
  <c r="D2" i="4"/>
  <c r="C2" i="4"/>
  <c r="B2" i="4"/>
  <c r="A2" i="4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O25" i="4" s="1"/>
  <c r="P25" i="4" s="1"/>
  <c r="C96" i="2"/>
  <c r="C95" i="2"/>
  <c r="C94" i="2"/>
  <c r="O77" i="4" s="1"/>
  <c r="P77" i="4" s="1"/>
  <c r="C93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O40" i="4" s="1"/>
  <c r="P40" i="4" s="1"/>
  <c r="C8" i="2"/>
  <c r="C7" i="2"/>
  <c r="C6" i="2"/>
  <c r="O73" i="4" s="1"/>
  <c r="P73" i="4" s="1"/>
  <c r="C5" i="2"/>
  <c r="P57" i="4" l="1"/>
  <c r="P41" i="4"/>
  <c r="A3" i="5" a="1"/>
  <c r="A3" i="5" s="1"/>
  <c r="Q2" i="4"/>
  <c r="P3" i="4"/>
  <c r="P2" i="4"/>
  <c r="O17" i="4"/>
  <c r="P17" i="4" s="1"/>
  <c r="P18" i="4"/>
  <c r="O31" i="4"/>
  <c r="P31" i="4" s="1"/>
  <c r="O36" i="4"/>
  <c r="P36" i="4" s="1"/>
  <c r="O37" i="4"/>
  <c r="P37" i="4" s="1"/>
  <c r="O42" i="4"/>
  <c r="O54" i="4"/>
  <c r="P54" i="4"/>
  <c r="O56" i="4"/>
  <c r="P56" i="4" s="1"/>
  <c r="O59" i="4"/>
  <c r="P59" i="4"/>
  <c r="O76" i="4"/>
  <c r="P76" i="4" s="1"/>
  <c r="O118" i="4"/>
  <c r="P118" i="4" s="1"/>
  <c r="O124" i="4"/>
  <c r="P124" i="4" s="1"/>
  <c r="O134" i="4"/>
  <c r="P134" i="4"/>
  <c r="O140" i="4"/>
  <c r="P140" i="4" s="1"/>
  <c r="O150" i="4"/>
  <c r="P150" i="4" s="1"/>
  <c r="O156" i="4"/>
  <c r="P156" i="4" s="1"/>
  <c r="P162" i="4"/>
  <c r="O172" i="4"/>
  <c r="P172" i="4" s="1"/>
  <c r="O174" i="4"/>
  <c r="P174" i="4" s="1"/>
  <c r="O214" i="4"/>
  <c r="O15" i="4"/>
  <c r="P15" i="4" s="1"/>
  <c r="O304" i="4"/>
  <c r="P304" i="4" s="1"/>
  <c r="O316" i="4"/>
  <c r="P316" i="4" s="1"/>
  <c r="O252" i="4"/>
  <c r="P252" i="4" s="1"/>
  <c r="O7" i="4"/>
  <c r="P7" i="4" s="1"/>
  <c r="O12" i="4"/>
  <c r="P12" i="4" s="1"/>
  <c r="O30" i="4"/>
  <c r="P30" i="4"/>
  <c r="O32" i="4"/>
  <c r="P32" i="4" s="1"/>
  <c r="O35" i="4"/>
  <c r="P35" i="4"/>
  <c r="P58" i="4"/>
  <c r="O71" i="4"/>
  <c r="P71" i="4" s="1"/>
  <c r="O75" i="4"/>
  <c r="P75" i="4" s="1"/>
  <c r="O100" i="4"/>
  <c r="P100" i="4" s="1"/>
  <c r="O107" i="4"/>
  <c r="P107" i="4" s="1"/>
  <c r="P183" i="4"/>
  <c r="P247" i="4"/>
  <c r="O85" i="4"/>
  <c r="P85" i="4" s="1"/>
  <c r="O93" i="4"/>
  <c r="P93" i="4" s="1"/>
  <c r="O122" i="4"/>
  <c r="O6" i="4"/>
  <c r="P6" i="4"/>
  <c r="O8" i="4"/>
  <c r="P8" i="4" s="1"/>
  <c r="O11" i="4"/>
  <c r="P11" i="4"/>
  <c r="O33" i="4"/>
  <c r="P33" i="4" s="1"/>
  <c r="P34" i="4"/>
  <c r="O47" i="4"/>
  <c r="P47" i="4" s="1"/>
  <c r="O52" i="4"/>
  <c r="P52" i="4" s="1"/>
  <c r="O70" i="4"/>
  <c r="P70" i="4" s="1"/>
  <c r="P74" i="4"/>
  <c r="O84" i="4"/>
  <c r="P84" i="4" s="1"/>
  <c r="O92" i="4"/>
  <c r="P92" i="4" s="1"/>
  <c r="O111" i="4"/>
  <c r="P111" i="4" s="1"/>
  <c r="O123" i="4"/>
  <c r="P123" i="4"/>
  <c r="O139" i="4"/>
  <c r="P139" i="4"/>
  <c r="O155" i="4"/>
  <c r="P155" i="4" s="1"/>
  <c r="O171" i="4"/>
  <c r="P171" i="4" s="1"/>
  <c r="O176" i="4"/>
  <c r="P176" i="4" s="1"/>
  <c r="P215" i="4"/>
  <c r="O21" i="4"/>
  <c r="P21" i="4" s="1"/>
  <c r="O114" i="4"/>
  <c r="P114" i="4" s="1"/>
  <c r="O105" i="4"/>
  <c r="P105" i="4" s="1"/>
  <c r="O97" i="4"/>
  <c r="P97" i="4" s="1"/>
  <c r="O80" i="4"/>
  <c r="P80" i="4" s="1"/>
  <c r="O72" i="4"/>
  <c r="P72" i="4" s="1"/>
  <c r="O9" i="4"/>
  <c r="P9" i="4" s="1"/>
  <c r="O23" i="4"/>
  <c r="P23" i="4" s="1"/>
  <c r="O28" i="4"/>
  <c r="P28" i="4" s="1"/>
  <c r="O46" i="4"/>
  <c r="P46" i="4"/>
  <c r="O48" i="4"/>
  <c r="P48" i="4" s="1"/>
  <c r="O51" i="4"/>
  <c r="P51" i="4"/>
  <c r="O99" i="4"/>
  <c r="P99" i="4"/>
  <c r="O106" i="4"/>
  <c r="P106" i="4" s="1"/>
  <c r="O110" i="4"/>
  <c r="P110" i="4"/>
  <c r="O127" i="4"/>
  <c r="P127" i="4" s="1"/>
  <c r="O143" i="4"/>
  <c r="P143" i="4" s="1"/>
  <c r="O159" i="4"/>
  <c r="P159" i="4" s="1"/>
  <c r="O175" i="4"/>
  <c r="P175" i="4"/>
  <c r="O182" i="4"/>
  <c r="P182" i="4" s="1"/>
  <c r="O189" i="4"/>
  <c r="P189" i="4" s="1"/>
  <c r="P237" i="4"/>
  <c r="P303" i="4"/>
  <c r="O10" i="4"/>
  <c r="P10" i="4" s="1"/>
  <c r="O22" i="4"/>
  <c r="P22" i="4" s="1"/>
  <c r="O24" i="4"/>
  <c r="P24" i="4" s="1"/>
  <c r="O27" i="4"/>
  <c r="P27" i="4"/>
  <c r="O49" i="4"/>
  <c r="P49" i="4" s="1"/>
  <c r="O63" i="4"/>
  <c r="P63" i="4" s="1"/>
  <c r="O68" i="4"/>
  <c r="P68" i="4" s="1"/>
  <c r="O69" i="4"/>
  <c r="P69" i="4" s="1"/>
  <c r="O83" i="4"/>
  <c r="P83" i="4" s="1"/>
  <c r="O91" i="4"/>
  <c r="P91" i="4"/>
  <c r="O103" i="4"/>
  <c r="P103" i="4" s="1"/>
  <c r="O116" i="4"/>
  <c r="P116" i="4" s="1"/>
  <c r="P122" i="4"/>
  <c r="O126" i="4"/>
  <c r="P126" i="4" s="1"/>
  <c r="O132" i="4"/>
  <c r="P132" i="4" s="1"/>
  <c r="O142" i="4"/>
  <c r="P142" i="4"/>
  <c r="O148" i="4"/>
  <c r="P148" i="4" s="1"/>
  <c r="O158" i="4"/>
  <c r="P158" i="4" s="1"/>
  <c r="O164" i="4"/>
  <c r="P164" i="4" s="1"/>
  <c r="O166" i="4"/>
  <c r="P166" i="4" s="1"/>
  <c r="O181" i="4"/>
  <c r="P181" i="4" s="1"/>
  <c r="P26" i="4"/>
  <c r="O39" i="4"/>
  <c r="P39" i="4" s="1"/>
  <c r="O44" i="4"/>
  <c r="P44" i="4" s="1"/>
  <c r="O45" i="4"/>
  <c r="P45" i="4" s="1"/>
  <c r="O50" i="4"/>
  <c r="P50" i="4" s="1"/>
  <c r="O62" i="4"/>
  <c r="P62" i="4"/>
  <c r="O64" i="4"/>
  <c r="P64" i="4" s="1"/>
  <c r="O67" i="4"/>
  <c r="P67" i="4"/>
  <c r="O79" i="4"/>
  <c r="P79" i="4" s="1"/>
  <c r="O81" i="4"/>
  <c r="P81" i="4" s="1"/>
  <c r="P82" i="4"/>
  <c r="O87" i="4"/>
  <c r="P87" i="4" s="1"/>
  <c r="O89" i="4"/>
  <c r="P89" i="4" s="1"/>
  <c r="O95" i="4"/>
  <c r="P95" i="4" s="1"/>
  <c r="O98" i="4"/>
  <c r="P98" i="4" s="1"/>
  <c r="O102" i="4"/>
  <c r="P102" i="4"/>
  <c r="P191" i="4"/>
  <c r="O194" i="4"/>
  <c r="O206" i="4"/>
  <c r="P206" i="4" s="1"/>
  <c r="O38" i="4"/>
  <c r="P38" i="4" s="1"/>
  <c r="O43" i="4"/>
  <c r="P43" i="4"/>
  <c r="O65" i="4"/>
  <c r="P65" i="4" s="1"/>
  <c r="P66" i="4"/>
  <c r="O78" i="4"/>
  <c r="P78" i="4"/>
  <c r="O82" i="4"/>
  <c r="O86" i="4"/>
  <c r="P86" i="4"/>
  <c r="O90" i="4"/>
  <c r="P90" i="4" s="1"/>
  <c r="O94" i="4"/>
  <c r="P94" i="4"/>
  <c r="O115" i="4"/>
  <c r="P115" i="4"/>
  <c r="O131" i="4"/>
  <c r="P131" i="4" s="1"/>
  <c r="O147" i="4"/>
  <c r="P147" i="4"/>
  <c r="O160" i="4"/>
  <c r="P160" i="4" s="1"/>
  <c r="O163" i="4"/>
  <c r="P163" i="4" s="1"/>
  <c r="O168" i="4"/>
  <c r="P168" i="4" s="1"/>
  <c r="O190" i="4"/>
  <c r="P190" i="4" s="1"/>
  <c r="P235" i="4"/>
  <c r="P317" i="4"/>
  <c r="O20" i="4"/>
  <c r="P20" i="4" s="1"/>
  <c r="O14" i="4"/>
  <c r="P14" i="4" s="1"/>
  <c r="O16" i="4"/>
  <c r="P16" i="4" s="1"/>
  <c r="O19" i="4"/>
  <c r="P19" i="4" s="1"/>
  <c r="P42" i="4"/>
  <c r="O55" i="4"/>
  <c r="P55" i="4" s="1"/>
  <c r="O60" i="4"/>
  <c r="P60" i="4" s="1"/>
  <c r="O61" i="4"/>
  <c r="P61" i="4" s="1"/>
  <c r="O108" i="4"/>
  <c r="P108" i="4" s="1"/>
  <c r="O119" i="4"/>
  <c r="P119" i="4" s="1"/>
  <c r="O135" i="4"/>
  <c r="P135" i="4" s="1"/>
  <c r="O151" i="4"/>
  <c r="P151" i="4"/>
  <c r="O167" i="4"/>
  <c r="P167" i="4" s="1"/>
  <c r="O193" i="4"/>
  <c r="P193" i="4" s="1"/>
  <c r="P239" i="4"/>
  <c r="P311" i="4"/>
  <c r="O192" i="4"/>
  <c r="P192" i="4" s="1"/>
  <c r="P194" i="4"/>
  <c r="O195" i="4"/>
  <c r="P195" i="4" s="1"/>
  <c r="O207" i="4"/>
  <c r="P207" i="4" s="1"/>
  <c r="O213" i="4"/>
  <c r="P213" i="4" s="1"/>
  <c r="O216" i="4"/>
  <c r="P216" i="4" s="1"/>
  <c r="O233" i="4"/>
  <c r="P233" i="4" s="1"/>
  <c r="O234" i="4"/>
  <c r="P234" i="4" s="1"/>
  <c r="O236" i="4"/>
  <c r="P236" i="4" s="1"/>
  <c r="O257" i="4"/>
  <c r="P257" i="4" s="1"/>
  <c r="O271" i="4"/>
  <c r="P271" i="4" s="1"/>
  <c r="O272" i="4"/>
  <c r="P272" i="4" s="1"/>
  <c r="P282" i="4"/>
  <c r="O284" i="4"/>
  <c r="P284" i="4" s="1"/>
  <c r="O307" i="4"/>
  <c r="P307" i="4" s="1"/>
  <c r="O309" i="4"/>
  <c r="P309" i="4" s="1"/>
  <c r="O310" i="4"/>
  <c r="O314" i="4"/>
  <c r="O321" i="4"/>
  <c r="P321" i="4" s="1"/>
  <c r="O329" i="4"/>
  <c r="P329" i="4"/>
  <c r="O355" i="4"/>
  <c r="P355" i="4" s="1"/>
  <c r="O384" i="4"/>
  <c r="P384" i="4" s="1"/>
  <c r="O403" i="4"/>
  <c r="O88" i="4"/>
  <c r="P88" i="4" s="1"/>
  <c r="O96" i="4"/>
  <c r="P96" i="4" s="1"/>
  <c r="O104" i="4"/>
  <c r="P104" i="4" s="1"/>
  <c r="O112" i="4"/>
  <c r="P112" i="4" s="1"/>
  <c r="O120" i="4"/>
  <c r="P120" i="4" s="1"/>
  <c r="O128" i="4"/>
  <c r="P128" i="4" s="1"/>
  <c r="O136" i="4"/>
  <c r="P136" i="4" s="1"/>
  <c r="O144" i="4"/>
  <c r="P144" i="4" s="1"/>
  <c r="O152" i="4"/>
  <c r="P152" i="4" s="1"/>
  <c r="O196" i="4"/>
  <c r="P196" i="4" s="1"/>
  <c r="P198" i="4"/>
  <c r="O199" i="4"/>
  <c r="P199" i="4" s="1"/>
  <c r="O205" i="4"/>
  <c r="P205" i="4" s="1"/>
  <c r="O208" i="4"/>
  <c r="P208" i="4" s="1"/>
  <c r="O211" i="4"/>
  <c r="P211" i="4" s="1"/>
  <c r="O212" i="4"/>
  <c r="P212" i="4" s="1"/>
  <c r="O231" i="4"/>
  <c r="P231" i="4" s="1"/>
  <c r="O232" i="4"/>
  <c r="P232" i="4" s="1"/>
  <c r="O267" i="4"/>
  <c r="P267" i="4" s="1"/>
  <c r="O269" i="4"/>
  <c r="P269" i="4" s="1"/>
  <c r="O270" i="4"/>
  <c r="P270" i="4" s="1"/>
  <c r="O281" i="4"/>
  <c r="P281" i="4" s="1"/>
  <c r="O295" i="4"/>
  <c r="P295" i="4" s="1"/>
  <c r="O296" i="4"/>
  <c r="P296" i="4" s="1"/>
  <c r="P306" i="4"/>
  <c r="O308" i="4"/>
  <c r="P308" i="4" s="1"/>
  <c r="O341" i="4"/>
  <c r="P341" i="4" s="1"/>
  <c r="O346" i="4"/>
  <c r="P346" i="4" s="1"/>
  <c r="Q346" i="4" s="1"/>
  <c r="P372" i="4"/>
  <c r="Q372" i="4" s="1"/>
  <c r="O381" i="4"/>
  <c r="O419" i="4"/>
  <c r="P419" i="4" s="1"/>
  <c r="O113" i="4"/>
  <c r="P113" i="4" s="1"/>
  <c r="O121" i="4"/>
  <c r="P121" i="4" s="1"/>
  <c r="O129" i="4"/>
  <c r="P129" i="4" s="1"/>
  <c r="O137" i="4"/>
  <c r="P137" i="4" s="1"/>
  <c r="O145" i="4"/>
  <c r="P145" i="4" s="1"/>
  <c r="O153" i="4"/>
  <c r="P153" i="4" s="1"/>
  <c r="O161" i="4"/>
  <c r="P161" i="4" s="1"/>
  <c r="O169" i="4"/>
  <c r="P169" i="4" s="1"/>
  <c r="O177" i="4"/>
  <c r="P177" i="4" s="1"/>
  <c r="O179" i="4"/>
  <c r="P179" i="4" s="1"/>
  <c r="O197" i="4"/>
  <c r="P197" i="4" s="1"/>
  <c r="O198" i="4"/>
  <c r="O200" i="4"/>
  <c r="P200" i="4" s="1"/>
  <c r="O203" i="4"/>
  <c r="P203" i="4" s="1"/>
  <c r="O204" i="4"/>
  <c r="P204" i="4" s="1"/>
  <c r="O209" i="4"/>
  <c r="P209" i="4" s="1"/>
  <c r="O210" i="4"/>
  <c r="P210" i="4" s="1"/>
  <c r="O229" i="4"/>
  <c r="P229" i="4" s="1"/>
  <c r="O230" i="4"/>
  <c r="P230" i="4" s="1"/>
  <c r="O255" i="4"/>
  <c r="P255" i="4" s="1"/>
  <c r="O256" i="4"/>
  <c r="P256" i="4" s="1"/>
  <c r="O268" i="4"/>
  <c r="P268" i="4" s="1"/>
  <c r="O291" i="4"/>
  <c r="P291" i="4" s="1"/>
  <c r="O293" i="4"/>
  <c r="P293" i="4" s="1"/>
  <c r="O294" i="4"/>
  <c r="P294" i="4" s="1"/>
  <c r="O305" i="4"/>
  <c r="P305" i="4" s="1"/>
  <c r="O319" i="4"/>
  <c r="P319" i="4" s="1"/>
  <c r="O320" i="4"/>
  <c r="P320" i="4" s="1"/>
  <c r="P326" i="4"/>
  <c r="O327" i="4"/>
  <c r="P327" i="4" s="1"/>
  <c r="O328" i="4"/>
  <c r="P328" i="4" s="1"/>
  <c r="P334" i="4"/>
  <c r="O335" i="4"/>
  <c r="P335" i="4"/>
  <c r="O352" i="4"/>
  <c r="P352" i="4" s="1"/>
  <c r="Q352" i="4" s="1"/>
  <c r="Q375" i="4"/>
  <c r="O385" i="4"/>
  <c r="O130" i="4"/>
  <c r="P130" i="4" s="1"/>
  <c r="O138" i="4"/>
  <c r="P138" i="4" s="1"/>
  <c r="O146" i="4"/>
  <c r="P146" i="4" s="1"/>
  <c r="O154" i="4"/>
  <c r="P154" i="4" s="1"/>
  <c r="O162" i="4"/>
  <c r="O170" i="4"/>
  <c r="P170" i="4" s="1"/>
  <c r="O178" i="4"/>
  <c r="P178" i="4" s="1"/>
  <c r="O180" i="4"/>
  <c r="P180" i="4" s="1"/>
  <c r="O201" i="4"/>
  <c r="P201" i="4" s="1"/>
  <c r="O202" i="4"/>
  <c r="P202" i="4" s="1"/>
  <c r="O227" i="4"/>
  <c r="P227" i="4" s="1"/>
  <c r="O228" i="4"/>
  <c r="P228" i="4" s="1"/>
  <c r="O249" i="4"/>
  <c r="P249" i="4" s="1"/>
  <c r="O251" i="4"/>
  <c r="P251" i="4" s="1"/>
  <c r="O253" i="4"/>
  <c r="P253" i="4" s="1"/>
  <c r="O254" i="4"/>
  <c r="P254" i="4" s="1"/>
  <c r="O265" i="4"/>
  <c r="P265" i="4"/>
  <c r="O279" i="4"/>
  <c r="P279" i="4" s="1"/>
  <c r="O280" i="4"/>
  <c r="P280" i="4" s="1"/>
  <c r="O292" i="4"/>
  <c r="P292" i="4" s="1"/>
  <c r="O315" i="4"/>
  <c r="P315" i="4" s="1"/>
  <c r="O317" i="4"/>
  <c r="O318" i="4"/>
  <c r="P318" i="4" s="1"/>
  <c r="O325" i="4"/>
  <c r="P325" i="4" s="1"/>
  <c r="O326" i="4"/>
  <c r="O333" i="4"/>
  <c r="P333" i="4" s="1"/>
  <c r="O334" i="4"/>
  <c r="O339" i="4"/>
  <c r="P339" i="4" s="1"/>
  <c r="O345" i="4"/>
  <c r="P345" i="4" s="1"/>
  <c r="Q345" i="4" s="1"/>
  <c r="P364" i="4"/>
  <c r="O380" i="4"/>
  <c r="P380" i="4" s="1"/>
  <c r="O183" i="4"/>
  <c r="O223" i="4"/>
  <c r="P223" i="4" s="1"/>
  <c r="O225" i="4"/>
  <c r="P225" i="4" s="1"/>
  <c r="O226" i="4"/>
  <c r="P226" i="4" s="1"/>
  <c r="P246" i="4"/>
  <c r="O247" i="4"/>
  <c r="O248" i="4"/>
  <c r="P248" i="4" s="1"/>
  <c r="O250" i="4"/>
  <c r="P250" i="4" s="1"/>
  <c r="O275" i="4"/>
  <c r="P275" i="4" s="1"/>
  <c r="O277" i="4"/>
  <c r="P277" i="4" s="1"/>
  <c r="O278" i="4"/>
  <c r="P278" i="4" s="1"/>
  <c r="O289" i="4"/>
  <c r="P289" i="4"/>
  <c r="O303" i="4"/>
  <c r="P314" i="4"/>
  <c r="O353" i="4"/>
  <c r="P353" i="4" s="1"/>
  <c r="Q353" i="4" s="1"/>
  <c r="O428" i="4"/>
  <c r="O443" i="4"/>
  <c r="P443" i="4" s="1"/>
  <c r="O615" i="4"/>
  <c r="O614" i="4"/>
  <c r="P614" i="4" s="1"/>
  <c r="O589" i="4"/>
  <c r="P589" i="4" s="1"/>
  <c r="O560" i="4"/>
  <c r="P560" i="4" s="1"/>
  <c r="O543" i="4"/>
  <c r="P543" i="4" s="1"/>
  <c r="O534" i="4"/>
  <c r="P534" i="4" s="1"/>
  <c r="O519" i="4"/>
  <c r="P519" i="4" s="1"/>
  <c r="O588" i="4"/>
  <c r="P588" i="4" s="1"/>
  <c r="O551" i="4"/>
  <c r="O550" i="4"/>
  <c r="P550" i="4" s="1"/>
  <c r="O525" i="4"/>
  <c r="P525" i="4" s="1"/>
  <c r="O512" i="4"/>
  <c r="P512" i="4" s="1"/>
  <c r="O524" i="4"/>
  <c r="P524" i="4" s="1"/>
  <c r="O602" i="4"/>
  <c r="O466" i="4"/>
  <c r="P466" i="4" s="1"/>
  <c r="O612" i="4"/>
  <c r="P612" i="4" s="1"/>
  <c r="O574" i="4"/>
  <c r="P574" i="4" s="1"/>
  <c r="O462" i="4"/>
  <c r="P462" i="4" s="1"/>
  <c r="O576" i="4"/>
  <c r="O528" i="4"/>
  <c r="P528" i="4" s="1"/>
  <c r="O526" i="4"/>
  <c r="P526" i="4" s="1"/>
  <c r="O480" i="4"/>
  <c r="P480" i="4" s="1"/>
  <c r="O478" i="4"/>
  <c r="P478" i="4" s="1"/>
  <c r="O471" i="4"/>
  <c r="P471" i="4" s="1"/>
  <c r="O457" i="4"/>
  <c r="P457" i="4" s="1"/>
  <c r="O455" i="4"/>
  <c r="P455" i="4" s="1"/>
  <c r="O408" i="4"/>
  <c r="P408" i="4" s="1"/>
  <c r="O406" i="4"/>
  <c r="P406" i="4" s="1"/>
  <c r="O568" i="4"/>
  <c r="P568" i="4" s="1"/>
  <c r="O532" i="4"/>
  <c r="P532" i="4" s="1"/>
  <c r="O498" i="4"/>
  <c r="P498" i="4" s="1"/>
  <c r="O496" i="4"/>
  <c r="P496" i="4" s="1"/>
  <c r="O494" i="4"/>
  <c r="P494" i="4" s="1"/>
  <c r="O432" i="4"/>
  <c r="P432" i="4" s="1"/>
  <c r="O430" i="4"/>
  <c r="P430" i="4" s="1"/>
  <c r="O401" i="4"/>
  <c r="P401" i="4" s="1"/>
  <c r="O396" i="4"/>
  <c r="O395" i="4"/>
  <c r="P395" i="4" s="1"/>
  <c r="O599" i="4"/>
  <c r="P599" i="4" s="1"/>
  <c r="O536" i="4"/>
  <c r="P536" i="4" s="1"/>
  <c r="O622" i="4"/>
  <c r="P622" i="4" s="1"/>
  <c r="O601" i="4"/>
  <c r="O363" i="4"/>
  <c r="P363" i="4" s="1"/>
  <c r="O537" i="4"/>
  <c r="O446" i="4"/>
  <c r="P446" i="4" s="1"/>
  <c r="O409" i="4"/>
  <c r="P409" i="4" s="1"/>
  <c r="O379" i="4"/>
  <c r="P379" i="4" s="1"/>
  <c r="O377" i="4"/>
  <c r="P377" i="4" s="1"/>
  <c r="O360" i="4"/>
  <c r="P360" i="4" s="1"/>
  <c r="O349" i="4"/>
  <c r="O348" i="4"/>
  <c r="P348" i="4" s="1"/>
  <c r="O332" i="4"/>
  <c r="P332" i="4" s="1"/>
  <c r="O388" i="4"/>
  <c r="P388" i="4" s="1"/>
  <c r="O464" i="4"/>
  <c r="P464" i="4" s="1"/>
  <c r="O450" i="4"/>
  <c r="P450" i="4" s="1"/>
  <c r="O449" i="4"/>
  <c r="P449" i="4" s="1"/>
  <c r="O434" i="4"/>
  <c r="O306" i="4"/>
  <c r="O274" i="4"/>
  <c r="O266" i="4"/>
  <c r="P266" i="4" s="1"/>
  <c r="O258" i="4"/>
  <c r="P258" i="4" s="1"/>
  <c r="O514" i="4"/>
  <c r="P514" i="4" s="1"/>
  <c r="O513" i="4"/>
  <c r="P513" i="4" s="1"/>
  <c r="O510" i="4"/>
  <c r="P510" i="4" s="1"/>
  <c r="O458" i="4"/>
  <c r="O392" i="4"/>
  <c r="P392" i="4" s="1"/>
  <c r="O610" i="4"/>
  <c r="O441" i="4"/>
  <c r="P441" i="4" s="1"/>
  <c r="O420" i="4"/>
  <c r="O404" i="4"/>
  <c r="O402" i="4"/>
  <c r="P402" i="4" s="1"/>
  <c r="O344" i="4"/>
  <c r="P344" i="4" s="1"/>
  <c r="Q344" i="4" s="1"/>
  <c r="O365" i="4"/>
  <c r="O364" i="4"/>
  <c r="O342" i="4"/>
  <c r="P342" i="4" s="1"/>
  <c r="O592" i="4"/>
  <c r="P592" i="4" s="1"/>
  <c r="O556" i="4"/>
  <c r="P556" i="4" s="1"/>
  <c r="O554" i="4"/>
  <c r="P554" i="4" s="1"/>
  <c r="O553" i="4"/>
  <c r="P553" i="4" s="1"/>
  <c r="O583" i="4"/>
  <c r="P583" i="4" s="1"/>
  <c r="O482" i="4"/>
  <c r="P482" i="4" s="1"/>
  <c r="O418" i="4"/>
  <c r="P418" i="4" s="1"/>
  <c r="O416" i="4"/>
  <c r="P416" i="4" s="1"/>
  <c r="Q416" i="4" s="1"/>
  <c r="O557" i="4"/>
  <c r="P557" i="4" s="1"/>
  <c r="O505" i="4"/>
  <c r="P505" i="4" s="1"/>
  <c r="O387" i="4"/>
  <c r="P387" i="4" s="1"/>
  <c r="O608" i="4"/>
  <c r="P608" i="4" s="1"/>
  <c r="O371" i="4"/>
  <c r="P371" i="4" s="1"/>
  <c r="Q371" i="4" s="1"/>
  <c r="O376" i="4"/>
  <c r="P376" i="4" s="1"/>
  <c r="O354" i="4"/>
  <c r="P354" i="4" s="1"/>
  <c r="Q354" i="4" s="1"/>
  <c r="O340" i="4"/>
  <c r="P340" i="4" s="1"/>
  <c r="O324" i="4"/>
  <c r="P324" i="4" s="1"/>
  <c r="O422" i="4"/>
  <c r="P422" i="4" s="1"/>
  <c r="O336" i="4"/>
  <c r="P336" i="4" s="1"/>
  <c r="O444" i="4"/>
  <c r="P444" i="4" s="1"/>
  <c r="O414" i="4"/>
  <c r="P414" i="4" s="1"/>
  <c r="O373" i="4"/>
  <c r="O372" i="4"/>
  <c r="O357" i="4"/>
  <c r="P357" i="4" s="1"/>
  <c r="Q357" i="4" s="1"/>
  <c r="O356" i="4"/>
  <c r="O298" i="4"/>
  <c r="P298" i="4" s="1"/>
  <c r="O290" i="4"/>
  <c r="P290" i="4" s="1"/>
  <c r="O282" i="4"/>
  <c r="O184" i="4"/>
  <c r="P184" i="4" s="1"/>
  <c r="O187" i="4"/>
  <c r="P187" i="4" s="1"/>
  <c r="O221" i="4"/>
  <c r="P221" i="4" s="1"/>
  <c r="O222" i="4"/>
  <c r="P222" i="4" s="1"/>
  <c r="O224" i="4"/>
  <c r="P224" i="4" s="1"/>
  <c r="O241" i="4"/>
  <c r="P241" i="4" s="1"/>
  <c r="O243" i="4"/>
  <c r="P243" i="4" s="1"/>
  <c r="O245" i="4"/>
  <c r="P245" i="4" s="1"/>
  <c r="O246" i="4"/>
  <c r="P262" i="4"/>
  <c r="O263" i="4"/>
  <c r="P263" i="4" s="1"/>
  <c r="O264" i="4"/>
  <c r="P264" i="4" s="1"/>
  <c r="P274" i="4"/>
  <c r="O276" i="4"/>
  <c r="P276" i="4" s="1"/>
  <c r="O299" i="4"/>
  <c r="P299" i="4" s="1"/>
  <c r="O301" i="4"/>
  <c r="P301" i="4" s="1"/>
  <c r="O302" i="4"/>
  <c r="P302" i="4" s="1"/>
  <c r="O313" i="4"/>
  <c r="P313" i="4" s="1"/>
  <c r="O323" i="4"/>
  <c r="P323" i="4" s="1"/>
  <c r="O331" i="4"/>
  <c r="P331" i="4" s="1"/>
  <c r="O338" i="4"/>
  <c r="P338" i="4"/>
  <c r="O389" i="4"/>
  <c r="P389" i="4" s="1"/>
  <c r="O101" i="4"/>
  <c r="P101" i="4" s="1"/>
  <c r="O109" i="4"/>
  <c r="P109" i="4" s="1"/>
  <c r="O117" i="4"/>
  <c r="P117" i="4" s="1"/>
  <c r="O125" i="4"/>
  <c r="P125" i="4" s="1"/>
  <c r="O133" i="4"/>
  <c r="P133" i="4" s="1"/>
  <c r="O141" i="4"/>
  <c r="P141" i="4" s="1"/>
  <c r="O149" i="4"/>
  <c r="P149" i="4" s="1"/>
  <c r="O157" i="4"/>
  <c r="P157" i="4" s="1"/>
  <c r="O165" i="4"/>
  <c r="P165" i="4" s="1"/>
  <c r="O173" i="4"/>
  <c r="P173" i="4" s="1"/>
  <c r="O185" i="4"/>
  <c r="P185" i="4" s="1"/>
  <c r="O186" i="4"/>
  <c r="P186" i="4" s="1"/>
  <c r="O188" i="4"/>
  <c r="P188" i="4" s="1"/>
  <c r="O219" i="4"/>
  <c r="P219" i="4" s="1"/>
  <c r="O220" i="4"/>
  <c r="P220" i="4" s="1"/>
  <c r="P238" i="4"/>
  <c r="O239" i="4"/>
  <c r="O240" i="4"/>
  <c r="P240" i="4" s="1"/>
  <c r="O242" i="4"/>
  <c r="P242" i="4" s="1"/>
  <c r="O244" i="4"/>
  <c r="P244" i="4" s="1"/>
  <c r="O259" i="4"/>
  <c r="P259" i="4" s="1"/>
  <c r="O261" i="4"/>
  <c r="P261" i="4" s="1"/>
  <c r="O262" i="4"/>
  <c r="O273" i="4"/>
  <c r="P273" i="4" s="1"/>
  <c r="P286" i="4"/>
  <c r="O287" i="4"/>
  <c r="P287" i="4" s="1"/>
  <c r="O288" i="4"/>
  <c r="P288" i="4" s="1"/>
  <c r="O300" i="4"/>
  <c r="P300" i="4" s="1"/>
  <c r="O337" i="4"/>
  <c r="P337" i="4"/>
  <c r="P356" i="4"/>
  <c r="Q356" i="4" s="1"/>
  <c r="P362" i="4"/>
  <c r="O369" i="4"/>
  <c r="O393" i="4"/>
  <c r="P393" i="4" s="1"/>
  <c r="O191" i="4"/>
  <c r="P214" i="4"/>
  <c r="O215" i="4"/>
  <c r="O217" i="4"/>
  <c r="P217" i="4" s="1"/>
  <c r="O218" i="4"/>
  <c r="P218" i="4" s="1"/>
  <c r="O235" i="4"/>
  <c r="O237" i="4"/>
  <c r="O238" i="4"/>
  <c r="O260" i="4"/>
  <c r="P260" i="4" s="1"/>
  <c r="O283" i="4"/>
  <c r="P283" i="4" s="1"/>
  <c r="O285" i="4"/>
  <c r="P285" i="4" s="1"/>
  <c r="O286" i="4"/>
  <c r="O297" i="4"/>
  <c r="P297" i="4" s="1"/>
  <c r="P310" i="4"/>
  <c r="O311" i="4"/>
  <c r="O312" i="4"/>
  <c r="P312" i="4" s="1"/>
  <c r="O322" i="4"/>
  <c r="P322" i="4"/>
  <c r="O330" i="4"/>
  <c r="P330" i="4"/>
  <c r="O343" i="4"/>
  <c r="P343" i="4"/>
  <c r="Q343" i="4" s="1"/>
  <c r="O347" i="4"/>
  <c r="P347" i="4" s="1"/>
  <c r="Q355" i="4"/>
  <c r="O361" i="4"/>
  <c r="P361" i="4" s="1"/>
  <c r="O405" i="4"/>
  <c r="P405" i="4" s="1"/>
  <c r="O424" i="4"/>
  <c r="P424" i="4" s="1"/>
  <c r="O427" i="4"/>
  <c r="P427" i="4" s="1"/>
  <c r="O436" i="4"/>
  <c r="P436" i="4"/>
  <c r="O453" i="4"/>
  <c r="P453" i="4" s="1"/>
  <c r="O460" i="4"/>
  <c r="P460" i="4"/>
  <c r="O475" i="4"/>
  <c r="O483" i="4"/>
  <c r="P483" i="4" s="1"/>
  <c r="O600" i="4"/>
  <c r="P600" i="4"/>
  <c r="O618" i="4"/>
  <c r="O398" i="4"/>
  <c r="P398" i="4" s="1"/>
  <c r="P404" i="4"/>
  <c r="O413" i="4"/>
  <c r="P413" i="4"/>
  <c r="O423" i="4"/>
  <c r="P423" i="4"/>
  <c r="O474" i="4"/>
  <c r="P474" i="4" s="1"/>
  <c r="P479" i="4"/>
  <c r="O508" i="4"/>
  <c r="P508" i="4" s="1"/>
  <c r="O623" i="4"/>
  <c r="P623" i="4" s="1"/>
  <c r="O391" i="4"/>
  <c r="P391" i="4" s="1"/>
  <c r="O394" i="4"/>
  <c r="P394" i="4" s="1"/>
  <c r="P403" i="4"/>
  <c r="Q418" i="4"/>
  <c r="O435" i="4"/>
  <c r="P435" i="4"/>
  <c r="O438" i="4"/>
  <c r="P438" i="4" s="1"/>
  <c r="O454" i="4"/>
  <c r="P454" i="4" s="1"/>
  <c r="P458" i="4"/>
  <c r="O459" i="4"/>
  <c r="P459" i="4"/>
  <c r="O473" i="4"/>
  <c r="P473" i="4" s="1"/>
  <c r="O500" i="4"/>
  <c r="O502" i="4"/>
  <c r="P502" i="4" s="1"/>
  <c r="O596" i="4"/>
  <c r="P596" i="4" s="1"/>
  <c r="O351" i="4"/>
  <c r="P351" i="4" s="1"/>
  <c r="O390" i="4"/>
  <c r="P390" i="4"/>
  <c r="O399" i="4"/>
  <c r="P399" i="4"/>
  <c r="O412" i="4"/>
  <c r="O433" i="4"/>
  <c r="P433" i="4" s="1"/>
  <c r="P434" i="4"/>
  <c r="O440" i="4"/>
  <c r="P440" i="4"/>
  <c r="O448" i="4"/>
  <c r="P448" i="4" s="1"/>
  <c r="P504" i="4"/>
  <c r="O546" i="4"/>
  <c r="O570" i="4"/>
  <c r="P570" i="4"/>
  <c r="O609" i="4"/>
  <c r="P609" i="4"/>
  <c r="O350" i="4"/>
  <c r="P350" i="4" s="1"/>
  <c r="Q376" i="4"/>
  <c r="O383" i="4"/>
  <c r="P383" i="4" s="1"/>
  <c r="P385" i="4"/>
  <c r="O386" i="4"/>
  <c r="P386" i="4" s="1"/>
  <c r="O411" i="4"/>
  <c r="P411" i="4" s="1"/>
  <c r="P417" i="4"/>
  <c r="Q417" i="4" s="1"/>
  <c r="O439" i="4"/>
  <c r="P439" i="4"/>
  <c r="O447" i="4"/>
  <c r="P447" i="4"/>
  <c r="O486" i="4"/>
  <c r="P486" i="4" s="1"/>
  <c r="O492" i="4"/>
  <c r="P492" i="4" s="1"/>
  <c r="O499" i="4"/>
  <c r="P499" i="4" s="1"/>
  <c r="Q499" i="4" s="1"/>
  <c r="O503" i="4"/>
  <c r="O521" i="4"/>
  <c r="P521" i="4" s="1"/>
  <c r="O558" i="4"/>
  <c r="P558" i="4" s="1"/>
  <c r="O594" i="4"/>
  <c r="O598" i="4"/>
  <c r="P598" i="4" s="1"/>
  <c r="O628" i="4"/>
  <c r="P628" i="4" s="1"/>
  <c r="P349" i="4"/>
  <c r="O359" i="4"/>
  <c r="P359" i="4" s="1"/>
  <c r="O375" i="4"/>
  <c r="P375" i="4" s="1"/>
  <c r="O378" i="4"/>
  <c r="P378" i="4" s="1"/>
  <c r="O382" i="4"/>
  <c r="P382" i="4"/>
  <c r="Q382" i="4" s="1"/>
  <c r="O410" i="4"/>
  <c r="P410" i="4" s="1"/>
  <c r="O489" i="4"/>
  <c r="Q498" i="4"/>
  <c r="O530" i="4"/>
  <c r="O545" i="4"/>
  <c r="P545" i="4" s="1"/>
  <c r="O575" i="4"/>
  <c r="O626" i="4"/>
  <c r="P626" i="4" s="1"/>
  <c r="O358" i="4"/>
  <c r="P358" i="4"/>
  <c r="O362" i="4"/>
  <c r="O366" i="4"/>
  <c r="P366" i="4" s="1"/>
  <c r="P369" i="4"/>
  <c r="O370" i="4"/>
  <c r="P370" i="4" s="1"/>
  <c r="Q370" i="4" s="1"/>
  <c r="O374" i="4"/>
  <c r="P374" i="4"/>
  <c r="Q374" i="4" s="1"/>
  <c r="P381" i="4"/>
  <c r="Q381" i="4" s="1"/>
  <c r="O400" i="4"/>
  <c r="P400" i="4" s="1"/>
  <c r="Q414" i="4"/>
  <c r="O461" i="4"/>
  <c r="P461" i="4"/>
  <c r="O476" i="4"/>
  <c r="O484" i="4"/>
  <c r="P484" i="4" s="1"/>
  <c r="O488" i="4"/>
  <c r="P488" i="4" s="1"/>
  <c r="O491" i="4"/>
  <c r="O541" i="4"/>
  <c r="P541" i="4" s="1"/>
  <c r="O593" i="4"/>
  <c r="P593" i="4" s="1"/>
  <c r="O607" i="4"/>
  <c r="P607" i="4" s="1"/>
  <c r="P365" i="4"/>
  <c r="P373" i="4"/>
  <c r="Q373" i="4" s="1"/>
  <c r="O425" i="4"/>
  <c r="P425" i="4" s="1"/>
  <c r="O437" i="4"/>
  <c r="P437" i="4" s="1"/>
  <c r="O463" i="4"/>
  <c r="P463" i="4" s="1"/>
  <c r="O472" i="4"/>
  <c r="P472" i="4" s="1"/>
  <c r="O487" i="4"/>
  <c r="P487" i="4"/>
  <c r="P497" i="4"/>
  <c r="O529" i="4"/>
  <c r="P529" i="4" s="1"/>
  <c r="O535" i="4"/>
  <c r="P535" i="4" s="1"/>
  <c r="O548" i="4"/>
  <c r="P548" i="4" s="1"/>
  <c r="O561" i="4"/>
  <c r="P561" i="4" s="1"/>
  <c r="O584" i="4"/>
  <c r="O625" i="4"/>
  <c r="P625" i="4" s="1"/>
  <c r="O549" i="4"/>
  <c r="P549" i="4" s="1"/>
  <c r="O564" i="4"/>
  <c r="P564" i="4" s="1"/>
  <c r="O587" i="4"/>
  <c r="P587" i="4"/>
  <c r="O597" i="4"/>
  <c r="P597" i="4" s="1"/>
  <c r="P396" i="4"/>
  <c r="O397" i="4"/>
  <c r="P397" i="4" s="1"/>
  <c r="O431" i="4"/>
  <c r="P431" i="4" s="1"/>
  <c r="O495" i="4"/>
  <c r="P495" i="4" s="1"/>
  <c r="O497" i="4"/>
  <c r="Q502" i="4"/>
  <c r="P530" i="4"/>
  <c r="O531" i="4"/>
  <c r="P531" i="4" s="1"/>
  <c r="O533" i="4"/>
  <c r="P533" i="4"/>
  <c r="O569" i="4"/>
  <c r="P569" i="4"/>
  <c r="O572" i="4"/>
  <c r="P572" i="4" s="1"/>
  <c r="O581" i="4"/>
  <c r="P581" i="4" s="1"/>
  <c r="O605" i="4"/>
  <c r="P605" i="4" s="1"/>
  <c r="O617" i="4"/>
  <c r="P617" i="4" s="1"/>
  <c r="O407" i="4"/>
  <c r="P407" i="4" s="1"/>
  <c r="O417" i="4"/>
  <c r="O456" i="4"/>
  <c r="P456" i="4" s="1"/>
  <c r="O479" i="4"/>
  <c r="O481" i="4"/>
  <c r="P481" i="4" s="1"/>
  <c r="P500" i="4"/>
  <c r="Q500" i="4" s="1"/>
  <c r="O501" i="4"/>
  <c r="P501" i="4" s="1"/>
  <c r="Q501" i="4" s="1"/>
  <c r="P503" i="4"/>
  <c r="O504" i="4"/>
  <c r="O517" i="4"/>
  <c r="P517" i="4" s="1"/>
  <c r="O542" i="4"/>
  <c r="P542" i="4" s="1"/>
  <c r="O559" i="4"/>
  <c r="P559" i="4"/>
  <c r="O577" i="4"/>
  <c r="P577" i="4" s="1"/>
  <c r="O580" i="4"/>
  <c r="P580" i="4" s="1"/>
  <c r="O586" i="4"/>
  <c r="P586" i="4"/>
  <c r="O415" i="4"/>
  <c r="P415" i="4" s="1"/>
  <c r="Q415" i="4" s="1"/>
  <c r="P420" i="4"/>
  <c r="O421" i="4"/>
  <c r="P421" i="4" s="1"/>
  <c r="O442" i="4"/>
  <c r="P442" i="4" s="1"/>
  <c r="O469" i="4"/>
  <c r="P469" i="4"/>
  <c r="O477" i="4"/>
  <c r="P477" i="4" s="1"/>
  <c r="O485" i="4"/>
  <c r="P485" i="4" s="1"/>
  <c r="O544" i="4"/>
  <c r="P544" i="4" s="1"/>
  <c r="O565" i="4"/>
  <c r="P565" i="4" s="1"/>
  <c r="P576" i="4"/>
  <c r="O590" i="4"/>
  <c r="O620" i="4"/>
  <c r="P620" i="4" s="1"/>
  <c r="O468" i="4"/>
  <c r="P468" i="4"/>
  <c r="P476" i="4"/>
  <c r="P491" i="4"/>
  <c r="O516" i="4"/>
  <c r="P516" i="4" s="1"/>
  <c r="O518" i="4"/>
  <c r="P518" i="4" s="1"/>
  <c r="O523" i="4"/>
  <c r="P523" i="4" s="1"/>
  <c r="O573" i="4"/>
  <c r="P573" i="4" s="1"/>
  <c r="P575" i="4"/>
  <c r="O582" i="4"/>
  <c r="P582" i="4" s="1"/>
  <c r="P584" i="4"/>
  <c r="O585" i="4"/>
  <c r="P585" i="4"/>
  <c r="P603" i="4"/>
  <c r="O606" i="4"/>
  <c r="P606" i="4" s="1"/>
  <c r="O613" i="4"/>
  <c r="P613" i="4"/>
  <c r="P412" i="4"/>
  <c r="O426" i="4"/>
  <c r="P426" i="4" s="1"/>
  <c r="O452" i="4"/>
  <c r="P452" i="4" s="1"/>
  <c r="O467" i="4"/>
  <c r="P467" i="4" s="1"/>
  <c r="P475" i="4"/>
  <c r="P489" i="4"/>
  <c r="O490" i="4"/>
  <c r="P490" i="4" s="1"/>
  <c r="O520" i="4"/>
  <c r="P520" i="4" s="1"/>
  <c r="O522" i="4"/>
  <c r="P522" i="4"/>
  <c r="O538" i="4"/>
  <c r="O540" i="4"/>
  <c r="P540" i="4" s="1"/>
  <c r="P563" i="4"/>
  <c r="O567" i="4"/>
  <c r="P567" i="4" s="1"/>
  <c r="O611" i="4"/>
  <c r="P611" i="4" s="1"/>
  <c r="O451" i="4"/>
  <c r="P451" i="4" s="1"/>
  <c r="O465" i="4"/>
  <c r="P465" i="4" s="1"/>
  <c r="O470" i="4"/>
  <c r="P470" i="4" s="1"/>
  <c r="O511" i="4"/>
  <c r="P511" i="4" s="1"/>
  <c r="O515" i="4"/>
  <c r="P515" i="4" s="1"/>
  <c r="O562" i="4"/>
  <c r="O571" i="4"/>
  <c r="P571" i="4"/>
  <c r="P601" i="4"/>
  <c r="O604" i="4"/>
  <c r="P604" i="4" s="1"/>
  <c r="P610" i="4"/>
  <c r="O621" i="4"/>
  <c r="P621" i="4" s="1"/>
  <c r="P551" i="4"/>
  <c r="O552" i="4"/>
  <c r="P552" i="4" s="1"/>
  <c r="O579" i="4"/>
  <c r="P579" i="4"/>
  <c r="O603" i="4"/>
  <c r="O527" i="4"/>
  <c r="P527" i="4" s="1"/>
  <c r="O578" i="4"/>
  <c r="P578" i="4"/>
  <c r="P602" i="4"/>
  <c r="P428" i="4"/>
  <c r="O429" i="4"/>
  <c r="P429" i="4" s="1"/>
  <c r="O493" i="4"/>
  <c r="P493" i="4" s="1"/>
  <c r="O539" i="4"/>
  <c r="P539" i="4" s="1"/>
  <c r="P615" i="4"/>
  <c r="O616" i="4"/>
  <c r="P616" i="4" s="1"/>
  <c r="P538" i="4"/>
  <c r="P562" i="4"/>
  <c r="O563" i="4"/>
  <c r="O566" i="4"/>
  <c r="P566" i="4" s="1"/>
  <c r="P590" i="4"/>
  <c r="O591" i="4"/>
  <c r="P591" i="4" s="1"/>
  <c r="Q419" i="4"/>
  <c r="O445" i="4"/>
  <c r="P445" i="4" s="1"/>
  <c r="O509" i="4"/>
  <c r="P509" i="4" s="1"/>
  <c r="P537" i="4"/>
  <c r="P546" i="4"/>
  <c r="O547" i="4"/>
  <c r="P547" i="4" s="1"/>
  <c r="P594" i="4"/>
  <c r="O595" i="4"/>
  <c r="P595" i="4" s="1"/>
  <c r="O624" i="4"/>
  <c r="P624" i="4" s="1"/>
  <c r="O555" i="4"/>
  <c r="P555" i="4" s="1"/>
  <c r="P618" i="4"/>
  <c r="O619" i="4"/>
  <c r="P619" i="4" s="1"/>
  <c r="R27" i="1" l="1"/>
  <c r="S27" i="1" s="1"/>
  <c r="R29" i="1"/>
  <c r="S29" i="1" s="1"/>
  <c r="M17" i="1"/>
  <c r="N17" i="1" s="1"/>
  <c r="E17" i="1" s="1"/>
  <c r="M9" i="1"/>
  <c r="N9" i="1" s="1"/>
  <c r="R26" i="1"/>
  <c r="S26" i="1" s="1"/>
  <c r="R30" i="1"/>
  <c r="S30" i="1" s="1"/>
  <c r="R22" i="1"/>
  <c r="S22" i="1" s="1"/>
  <c r="M10" i="1"/>
  <c r="N10" i="1" s="1"/>
  <c r="M15" i="1"/>
  <c r="N15" i="1" s="1"/>
  <c r="R28" i="1"/>
  <c r="S28" i="1" s="1"/>
  <c r="M14" i="1"/>
  <c r="N14" i="1" s="1"/>
  <c r="M13" i="1"/>
  <c r="N13" i="1" s="1"/>
  <c r="M8" i="1"/>
  <c r="N8" i="1" s="1"/>
  <c r="M16" i="1"/>
  <c r="N16" i="1" s="1"/>
  <c r="M11" i="1"/>
  <c r="N11" i="1" s="1"/>
  <c r="R24" i="1"/>
  <c r="S24" i="1" s="1"/>
  <c r="R31" i="1"/>
  <c r="S31" i="1" s="1"/>
  <c r="R23" i="1"/>
  <c r="S23" i="1" s="1"/>
  <c r="M12" i="1"/>
  <c r="N12" i="1" s="1"/>
  <c r="R25" i="1"/>
  <c r="S25" i="1" s="1"/>
  <c r="A4" i="5" a="1"/>
  <c r="A4" i="5" s="1"/>
  <c r="A5" i="5" l="1" a="1"/>
  <c r="A5" i="5" s="1"/>
  <c r="E11" i="1"/>
  <c r="H11" i="1"/>
  <c r="G11" i="1"/>
  <c r="F11" i="1"/>
  <c r="I11" i="1"/>
  <c r="D11" i="1"/>
  <c r="B11" i="1"/>
  <c r="J11" i="1"/>
  <c r="C11" i="1"/>
  <c r="H22" i="1"/>
  <c r="C22" i="1"/>
  <c r="J22" i="1"/>
  <c r="B22" i="1"/>
  <c r="F22" i="1"/>
  <c r="E22" i="1"/>
  <c r="D22" i="1"/>
  <c r="G22" i="1"/>
  <c r="I22" i="1"/>
  <c r="F16" i="1"/>
  <c r="I16" i="1"/>
  <c r="H16" i="1"/>
  <c r="C16" i="1"/>
  <c r="J16" i="1"/>
  <c r="G16" i="1"/>
  <c r="D16" i="1"/>
  <c r="B16" i="1"/>
  <c r="E16" i="1"/>
  <c r="J30" i="1"/>
  <c r="H30" i="1"/>
  <c r="G30" i="1"/>
  <c r="C30" i="1"/>
  <c r="B30" i="1"/>
  <c r="E30" i="1"/>
  <c r="F30" i="1"/>
  <c r="D30" i="1"/>
  <c r="I30" i="1"/>
  <c r="F8" i="1"/>
  <c r="I8" i="1"/>
  <c r="H8" i="1"/>
  <c r="B8" i="1"/>
  <c r="G8" i="1"/>
  <c r="E8" i="1"/>
  <c r="C8" i="1"/>
  <c r="D8" i="1"/>
  <c r="J8" i="1"/>
  <c r="D26" i="1"/>
  <c r="C26" i="1"/>
  <c r="G26" i="1"/>
  <c r="F26" i="1"/>
  <c r="I26" i="1"/>
  <c r="H26" i="1"/>
  <c r="B26" i="1"/>
  <c r="E26" i="1"/>
  <c r="J26" i="1"/>
  <c r="G25" i="1"/>
  <c r="J25" i="1"/>
  <c r="B25" i="1"/>
  <c r="I25" i="1"/>
  <c r="H25" i="1"/>
  <c r="E25" i="1"/>
  <c r="D25" i="1"/>
  <c r="C25" i="1"/>
  <c r="F25" i="1"/>
  <c r="G13" i="1"/>
  <c r="J13" i="1"/>
  <c r="B13" i="1"/>
  <c r="I13" i="1"/>
  <c r="E13" i="1"/>
  <c r="D13" i="1"/>
  <c r="C13" i="1"/>
  <c r="H13" i="1"/>
  <c r="F13" i="1"/>
  <c r="C9" i="1"/>
  <c r="F9" i="1"/>
  <c r="E9" i="1"/>
  <c r="B9" i="1"/>
  <c r="J9" i="1"/>
  <c r="I9" i="1"/>
  <c r="H9" i="1"/>
  <c r="D9" i="1"/>
  <c r="G9" i="1"/>
  <c r="J12" i="1"/>
  <c r="B12" i="1"/>
  <c r="E12" i="1"/>
  <c r="D12" i="1"/>
  <c r="H12" i="1"/>
  <c r="G12" i="1"/>
  <c r="F12" i="1"/>
  <c r="I12" i="1"/>
  <c r="C12" i="1"/>
  <c r="D14" i="1"/>
  <c r="G14" i="1"/>
  <c r="F14" i="1"/>
  <c r="J14" i="1"/>
  <c r="E14" i="1"/>
  <c r="C14" i="1"/>
  <c r="B14" i="1"/>
  <c r="I14" i="1"/>
  <c r="H14" i="1"/>
  <c r="C17" i="1"/>
  <c r="F17" i="1"/>
  <c r="D17" i="1"/>
  <c r="J17" i="1"/>
  <c r="I17" i="1"/>
  <c r="G17" i="1"/>
  <c r="B17" i="1"/>
  <c r="H17" i="1"/>
  <c r="E23" i="1"/>
  <c r="H23" i="1"/>
  <c r="G23" i="1"/>
  <c r="I23" i="1"/>
  <c r="B23" i="1"/>
  <c r="J23" i="1"/>
  <c r="F23" i="1"/>
  <c r="C23" i="1"/>
  <c r="D23" i="1"/>
  <c r="F28" i="1"/>
  <c r="E28" i="1"/>
  <c r="I28" i="1"/>
  <c r="H28" i="1"/>
  <c r="D28" i="1"/>
  <c r="C28" i="1"/>
  <c r="B28" i="1"/>
  <c r="J28" i="1"/>
  <c r="G28" i="1"/>
  <c r="C29" i="1"/>
  <c r="B29" i="1"/>
  <c r="J29" i="1"/>
  <c r="F29" i="1"/>
  <c r="E29" i="1"/>
  <c r="I29" i="1"/>
  <c r="H29" i="1"/>
  <c r="G29" i="1"/>
  <c r="D29" i="1"/>
  <c r="E31" i="1"/>
  <c r="D31" i="1"/>
  <c r="H31" i="1"/>
  <c r="G31" i="1"/>
  <c r="J31" i="1"/>
  <c r="I31" i="1"/>
  <c r="F31" i="1"/>
  <c r="B31" i="1"/>
  <c r="C31" i="1"/>
  <c r="I15" i="1"/>
  <c r="D15" i="1"/>
  <c r="C15" i="1"/>
  <c r="H15" i="1"/>
  <c r="G15" i="1"/>
  <c r="F15" i="1"/>
  <c r="B15" i="1"/>
  <c r="J15" i="1"/>
  <c r="E15" i="1"/>
  <c r="I27" i="1"/>
  <c r="H27" i="1"/>
  <c r="D27" i="1"/>
  <c r="C27" i="1"/>
  <c r="F27" i="1"/>
  <c r="G27" i="1"/>
  <c r="E27" i="1"/>
  <c r="J27" i="1"/>
  <c r="B27" i="1"/>
  <c r="J24" i="1"/>
  <c r="B24" i="1"/>
  <c r="E24" i="1"/>
  <c r="D24" i="1"/>
  <c r="I24" i="1"/>
  <c r="F24" i="1"/>
  <c r="H24" i="1"/>
  <c r="C24" i="1"/>
  <c r="G24" i="1"/>
  <c r="H10" i="1"/>
  <c r="C10" i="1"/>
  <c r="J10" i="1"/>
  <c r="B10" i="1"/>
  <c r="E10" i="1"/>
  <c r="D10" i="1"/>
  <c r="I10" i="1"/>
  <c r="F10" i="1"/>
  <c r="G10" i="1"/>
  <c r="A6" i="5" l="1" a="1"/>
  <c r="A6" i="5" s="1"/>
  <c r="A7" i="5" l="1" a="1"/>
  <c r="A7" i="5" s="1"/>
  <c r="A8" i="5" l="1" a="1"/>
  <c r="A8" i="5" s="1"/>
  <c r="A9" i="5" l="1" a="1"/>
  <c r="A9" i="5" s="1"/>
  <c r="A10" i="5" l="1" a="1"/>
  <c r="A10" i="5" s="1"/>
  <c r="A11" i="5" l="1" a="1"/>
  <c r="A11" i="5" s="1"/>
  <c r="A12" i="5" l="1" a="1"/>
  <c r="A12" i="5" s="1"/>
  <c r="A13" i="5" l="1" a="1"/>
  <c r="A13" i="5" s="1"/>
  <c r="A14" i="5" l="1" a="1"/>
  <c r="A14" i="5" s="1"/>
  <c r="A15" i="5" l="1" a="1"/>
  <c r="A15" i="5" s="1"/>
  <c r="A16" i="5" l="1" a="1"/>
  <c r="A16" i="5" s="1"/>
  <c r="A17" i="5" l="1" a="1"/>
  <c r="A17" i="5" s="1"/>
  <c r="A18" i="5" l="1" a="1"/>
  <c r="A18" i="5" s="1"/>
  <c r="A19" i="5" l="1" a="1"/>
  <c r="A19" i="5" s="1"/>
  <c r="A20" i="5" l="1" a="1"/>
  <c r="A20" i="5" s="1"/>
  <c r="A21" i="5" l="1" a="1"/>
  <c r="A21" i="5" s="1"/>
  <c r="A22" i="5" l="1" a="1"/>
  <c r="A22" i="5" s="1"/>
  <c r="A23" i="5" l="1" a="1"/>
  <c r="A23" i="5" s="1"/>
  <c r="A24" i="5" l="1" a="1"/>
  <c r="A24" i="5" s="1"/>
  <c r="A25" i="5" l="1" a="1"/>
  <c r="A25" i="5" s="1"/>
  <c r="A26" i="5" l="1" a="1"/>
  <c r="A26" i="5" s="1"/>
  <c r="A27" i="5" l="1" a="1"/>
  <c r="A27" i="5" s="1"/>
  <c r="A28" i="5" l="1" a="1"/>
  <c r="A28" i="5" s="1"/>
  <c r="A29" i="5" l="1" a="1"/>
  <c r="A29" i="5" s="1"/>
  <c r="A30" i="5" l="1" a="1"/>
  <c r="A30" i="5" s="1"/>
  <c r="A31" i="5" l="1" a="1"/>
  <c r="A31" i="5" s="1"/>
  <c r="A32" i="5" l="1" a="1"/>
  <c r="A32" i="5" s="1"/>
  <c r="A33" i="5" l="1" a="1"/>
  <c r="A33" i="5" s="1"/>
  <c r="A34" i="5" l="1" a="1"/>
  <c r="A34" i="5" s="1"/>
  <c r="A35" i="5" l="1" a="1"/>
  <c r="A35" i="5" s="1"/>
  <c r="A36" i="5" l="1" a="1"/>
  <c r="A36" i="5" s="1"/>
  <c r="A37" i="5" l="1" a="1"/>
  <c r="A37" i="5" s="1"/>
  <c r="A38" i="5" l="1" a="1"/>
  <c r="A38" i="5" s="1"/>
  <c r="A39" i="5" l="1" a="1"/>
  <c r="A39" i="5" s="1"/>
  <c r="A40" i="5" l="1" a="1"/>
  <c r="A40" i="5" s="1"/>
  <c r="A41" i="5" l="1" a="1"/>
  <c r="A41" i="5" s="1"/>
  <c r="A42" i="5" l="1" a="1"/>
  <c r="A42" i="5" s="1"/>
  <c r="A43" i="5" l="1" a="1"/>
  <c r="A43" i="5" s="1"/>
  <c r="A44" i="5" l="1" a="1"/>
  <c r="A44" i="5" s="1"/>
  <c r="A45" i="5" l="1" a="1"/>
  <c r="A45" i="5" s="1"/>
  <c r="A46" i="5" l="1" a="1"/>
  <c r="A46" i="5" s="1"/>
  <c r="A47" i="5" l="1" a="1"/>
  <c r="A47" i="5" s="1"/>
  <c r="A48" i="5" l="1" a="1"/>
  <c r="A48" i="5" s="1"/>
  <c r="A49" i="5" l="1" a="1"/>
  <c r="A49" i="5" s="1"/>
  <c r="A50" i="5" l="1" a="1"/>
  <c r="A50" i="5" s="1"/>
  <c r="A51" i="5" l="1" a="1"/>
  <c r="A51" i="5" s="1"/>
  <c r="A52" i="5" l="1" a="1"/>
  <c r="A52" i="5" s="1"/>
  <c r="A53" i="5" l="1" a="1"/>
  <c r="A53" i="5" s="1"/>
  <c r="A54" i="5" l="1" a="1"/>
  <c r="A54" i="5" s="1"/>
  <c r="A55" i="5" l="1" a="1"/>
  <c r="A55" i="5" s="1"/>
  <c r="A56" i="5" l="1" a="1"/>
  <c r="A56" i="5" s="1"/>
  <c r="A57" i="5" l="1" a="1"/>
  <c r="A57" i="5" s="1"/>
  <c r="A58" i="5" l="1" a="1"/>
  <c r="A58" i="5" s="1"/>
  <c r="A59" i="5" l="1" a="1"/>
  <c r="A59" i="5" s="1"/>
  <c r="A60" i="5" l="1" a="1"/>
  <c r="A60" i="5" s="1"/>
  <c r="A61" i="5" l="1" a="1"/>
  <c r="A61" i="5" s="1"/>
  <c r="A62" i="5" l="1" a="1"/>
  <c r="A62" i="5" s="1"/>
  <c r="A63" i="5" l="1" a="1"/>
  <c r="A63" i="5" s="1"/>
  <c r="A64" i="5" l="1" a="1"/>
  <c r="A64" i="5" s="1"/>
  <c r="A65" i="5" l="1" a="1"/>
  <c r="A65" i="5" s="1"/>
  <c r="A66" i="5" l="1" a="1"/>
  <c r="A66" i="5" s="1"/>
  <c r="A67" i="5" l="1" a="1"/>
  <c r="A67" i="5" s="1"/>
  <c r="A68" i="5" l="1" a="1"/>
  <c r="A68" i="5" s="1"/>
  <c r="A69" i="5" l="1" a="1"/>
  <c r="A69" i="5" s="1"/>
  <c r="A70" i="5" l="1" a="1"/>
  <c r="A70" i="5" s="1"/>
  <c r="A71" i="5" l="1" a="1"/>
  <c r="A71" i="5" s="1"/>
  <c r="A72" i="5" l="1" a="1"/>
  <c r="A72" i="5" s="1"/>
  <c r="A73" i="5" l="1" a="1"/>
  <c r="A73" i="5" s="1"/>
  <c r="A74" i="5" l="1" a="1"/>
  <c r="A74" i="5" s="1"/>
  <c r="A75" i="5" l="1" a="1"/>
  <c r="A75" i="5" s="1"/>
  <c r="A76" i="5" l="1" a="1"/>
  <c r="A76" i="5" s="1"/>
  <c r="A77" i="5" l="1" a="1"/>
  <c r="A77" i="5" s="1"/>
  <c r="A78" i="5" l="1" a="1"/>
  <c r="A78" i="5" s="1"/>
  <c r="A79" i="5" l="1" a="1"/>
  <c r="A79" i="5" s="1"/>
  <c r="A80" i="5" l="1" a="1"/>
  <c r="A80" i="5" s="1"/>
  <c r="A81" i="5" l="1" a="1"/>
  <c r="A81" i="5" s="1"/>
  <c r="A82" i="5" l="1" a="1"/>
  <c r="A82" i="5" s="1"/>
  <c r="A83" i="5" l="1" a="1"/>
  <c r="A83" i="5" s="1"/>
  <c r="A84" i="5" l="1" a="1"/>
  <c r="A84" i="5" s="1"/>
  <c r="A85" i="5" l="1" a="1"/>
  <c r="A85" i="5" s="1"/>
  <c r="A86" i="5" l="1" a="1"/>
  <c r="A86" i="5" s="1"/>
  <c r="A87" i="5" l="1" a="1"/>
  <c r="A87" i="5" s="1"/>
  <c r="A88" i="5" l="1" a="1"/>
  <c r="A88" i="5" s="1"/>
  <c r="A89" i="5" l="1" a="1"/>
  <c r="A89" i="5" s="1"/>
  <c r="A90" i="5" l="1" a="1"/>
  <c r="A90" i="5" s="1"/>
  <c r="A91" i="5" l="1" a="1"/>
  <c r="A91" i="5" s="1"/>
  <c r="A92" i="5" l="1" a="1"/>
  <c r="A92" i="5" s="1"/>
  <c r="A93" i="5" l="1" a="1"/>
  <c r="A93" i="5" s="1"/>
  <c r="A94" i="5" l="1" a="1"/>
  <c r="A94" i="5" s="1"/>
  <c r="A95" i="5" l="1" a="1"/>
  <c r="A95" i="5" s="1"/>
  <c r="A96" i="5" l="1" a="1"/>
  <c r="A96" i="5" s="1"/>
  <c r="A97" i="5" l="1" a="1"/>
  <c r="A97" i="5" s="1"/>
  <c r="A98" i="5" l="1" a="1"/>
  <c r="A98" i="5" s="1"/>
  <c r="A99" i="5" l="1" a="1"/>
  <c r="A99" i="5" s="1"/>
  <c r="A100" i="5" l="1" a="1"/>
  <c r="A100" i="5" s="1"/>
  <c r="A101" i="5" l="1" a="1"/>
  <c r="A101" i="5" s="1"/>
  <c r="A102" i="5" l="1" a="1"/>
  <c r="A102" i="5" s="1"/>
  <c r="A103" i="5" l="1" a="1"/>
  <c r="A103" i="5" s="1"/>
  <c r="A104" i="5" l="1" a="1"/>
  <c r="A104" i="5" s="1"/>
  <c r="A105" i="5" l="1" a="1"/>
  <c r="A105" i="5" s="1"/>
  <c r="A106" i="5" l="1" a="1"/>
  <c r="A106" i="5" s="1"/>
  <c r="A107" i="5" l="1" a="1"/>
  <c r="A107" i="5" s="1"/>
  <c r="A108" i="5" l="1" a="1"/>
  <c r="A108" i="5" s="1"/>
  <c r="A109" i="5" l="1" a="1"/>
  <c r="A109" i="5" s="1"/>
  <c r="A110" i="5" l="1" a="1"/>
  <c r="A110" i="5" s="1"/>
  <c r="A111" i="5" l="1" a="1"/>
  <c r="A111" i="5" s="1"/>
  <c r="A112" i="5" l="1" a="1"/>
  <c r="A112" i="5" s="1"/>
  <c r="A113" i="5" l="1" a="1"/>
  <c r="A113" i="5" s="1"/>
  <c r="A114" i="5" l="1" a="1"/>
  <c r="A114" i="5" s="1"/>
  <c r="A115" i="5" l="1" a="1"/>
  <c r="A115" i="5" s="1"/>
  <c r="A116" i="5" l="1" a="1"/>
  <c r="A116" i="5" s="1"/>
  <c r="A117" i="5" l="1" a="1"/>
  <c r="A117" i="5" s="1"/>
  <c r="A118" i="5" l="1" a="1"/>
  <c r="A118" i="5" s="1"/>
  <c r="A119" i="5" l="1" a="1"/>
  <c r="A119" i="5" s="1"/>
  <c r="A120" i="5" l="1" a="1"/>
  <c r="A120" i="5" s="1"/>
  <c r="A121" i="5" l="1" a="1"/>
  <c r="A121" i="5" s="1"/>
  <c r="A122" i="5" l="1" a="1"/>
  <c r="A122" i="5" s="1"/>
  <c r="A123" i="5" l="1" a="1"/>
  <c r="A123" i="5" s="1"/>
  <c r="A124" i="5" l="1" a="1"/>
  <c r="A124" i="5" s="1"/>
  <c r="A125" i="5" l="1" a="1"/>
  <c r="A125" i="5" s="1"/>
  <c r="A126" i="5" l="1" a="1"/>
  <c r="A126" i="5" s="1"/>
  <c r="A127" i="5" l="1" a="1"/>
  <c r="A127" i="5" s="1"/>
  <c r="A128" i="5" l="1" a="1"/>
  <c r="A128" i="5" s="1"/>
  <c r="A129" i="5" l="1" a="1"/>
  <c r="A129" i="5" s="1"/>
  <c r="A130" i="5" l="1" a="1"/>
  <c r="A130" i="5" s="1"/>
  <c r="A131" i="5" l="1" a="1"/>
  <c r="A131" i="5" s="1"/>
  <c r="A132" i="5" l="1" a="1"/>
  <c r="A132" i="5" s="1"/>
  <c r="A133" i="5" l="1" a="1"/>
  <c r="A133" i="5" s="1"/>
  <c r="A134" i="5" l="1" a="1"/>
  <c r="A134" i="5" s="1"/>
  <c r="A135" i="5" l="1" a="1"/>
  <c r="A135" i="5" s="1"/>
  <c r="A136" i="5" l="1" a="1"/>
  <c r="A136" i="5" s="1"/>
  <c r="A137" i="5" l="1" a="1"/>
  <c r="A137" i="5" s="1"/>
  <c r="A138" i="5" l="1" a="1"/>
  <c r="A138" i="5" s="1"/>
  <c r="A139" i="5" l="1" a="1"/>
  <c r="A139" i="5" s="1"/>
  <c r="A140" i="5" l="1" a="1"/>
  <c r="A140" i="5" s="1"/>
  <c r="A141" i="5" l="1" a="1"/>
  <c r="A141" i="5" s="1"/>
  <c r="A142" i="5" l="1" a="1"/>
  <c r="A142" i="5" s="1"/>
  <c r="A143" i="5" l="1" a="1"/>
  <c r="A143" i="5" s="1"/>
  <c r="A144" i="5" l="1" a="1"/>
  <c r="A144" i="5" s="1"/>
  <c r="A145" i="5" l="1" a="1"/>
  <c r="A145" i="5" s="1"/>
  <c r="A146" i="5" l="1" a="1"/>
  <c r="A146" i="5" s="1"/>
  <c r="A147" i="5" l="1" a="1"/>
  <c r="A147" i="5" s="1"/>
  <c r="A148" i="5" l="1" a="1"/>
  <c r="A148" i="5" s="1"/>
  <c r="A149" i="5" l="1" a="1"/>
  <c r="A149" i="5" s="1"/>
  <c r="A150" i="5" l="1" a="1"/>
  <c r="A150" i="5" s="1"/>
  <c r="A151" i="5" l="1" a="1"/>
  <c r="A151" i="5" s="1"/>
  <c r="A152" i="5" l="1" a="1"/>
  <c r="A152" i="5" s="1"/>
  <c r="A153" i="5" l="1" a="1"/>
  <c r="A153" i="5" s="1"/>
  <c r="A154" i="5" l="1" a="1"/>
  <c r="A154" i="5" s="1"/>
  <c r="A155" i="5" l="1" a="1"/>
  <c r="A155" i="5" s="1"/>
  <c r="A156" i="5" l="1" a="1"/>
  <c r="A156" i="5" s="1"/>
  <c r="A157" i="5" l="1" a="1"/>
  <c r="A157" i="5" s="1"/>
  <c r="A158" i="5" l="1" a="1"/>
  <c r="A158" i="5" s="1"/>
  <c r="A159" i="5" l="1" a="1"/>
  <c r="A159" i="5" s="1"/>
  <c r="A160" i="5" l="1" a="1"/>
  <c r="A160" i="5" s="1"/>
  <c r="A161" i="5" l="1" a="1"/>
  <c r="A161" i="5" s="1"/>
  <c r="A162" i="5" l="1" a="1"/>
  <c r="A162" i="5" s="1"/>
  <c r="A163" i="5" l="1" a="1"/>
  <c r="A163" i="5" s="1"/>
  <c r="A164" i="5" l="1" a="1"/>
  <c r="A164" i="5" s="1"/>
  <c r="A165" i="5" l="1" a="1"/>
  <c r="A165" i="5" s="1"/>
  <c r="A166" i="5" l="1" a="1"/>
  <c r="A166" i="5" s="1"/>
  <c r="A167" i="5" l="1" a="1"/>
  <c r="A167" i="5" s="1"/>
  <c r="A168" i="5" l="1" a="1"/>
  <c r="A168" i="5" s="1"/>
  <c r="A169" i="5" l="1" a="1"/>
  <c r="A169" i="5" s="1"/>
  <c r="A170" i="5" l="1" a="1"/>
  <c r="A170" i="5" s="1"/>
  <c r="A171" i="5" l="1" a="1"/>
  <c r="A171" i="5" s="1"/>
  <c r="A172" i="5" l="1" a="1"/>
  <c r="A172" i="5" s="1"/>
  <c r="A173" i="5" l="1" a="1"/>
  <c r="A173" i="5" s="1"/>
  <c r="A174" i="5" l="1" a="1"/>
  <c r="A174" i="5" s="1"/>
  <c r="A175" i="5" l="1" a="1"/>
  <c r="A175" i="5" s="1"/>
  <c r="A176" i="5" l="1" a="1"/>
  <c r="A176" i="5" s="1"/>
  <c r="A177" i="5" l="1" a="1"/>
  <c r="A177" i="5" s="1"/>
  <c r="A178" i="5" l="1" a="1"/>
  <c r="A178" i="5" s="1"/>
  <c r="A179" i="5" l="1" a="1"/>
  <c r="A179" i="5" s="1"/>
  <c r="A180" i="5" l="1" a="1"/>
  <c r="A180" i="5" s="1"/>
  <c r="A181" i="5" l="1" a="1"/>
  <c r="A181" i="5" s="1"/>
  <c r="A182" i="5" l="1" a="1"/>
  <c r="A182" i="5" s="1"/>
  <c r="A183" i="5" l="1" a="1"/>
  <c r="A183" i="5" s="1"/>
  <c r="A184" i="5" l="1" a="1"/>
  <c r="A184" i="5" s="1"/>
  <c r="A185" i="5" l="1" a="1"/>
  <c r="A185" i="5" s="1"/>
  <c r="A186" i="5" l="1" a="1"/>
  <c r="A186" i="5" s="1"/>
  <c r="A187" i="5" l="1" a="1"/>
  <c r="A187" i="5" s="1"/>
  <c r="A188" i="5" l="1" a="1"/>
  <c r="A188" i="5" s="1"/>
  <c r="A189" i="5" l="1" a="1"/>
  <c r="A189" i="5" s="1"/>
  <c r="A190" i="5" l="1" a="1"/>
  <c r="A190" i="5" s="1"/>
  <c r="A191" i="5" l="1" a="1"/>
  <c r="A191" i="5" s="1"/>
  <c r="A192" i="5" l="1" a="1"/>
  <c r="A192" i="5" s="1"/>
  <c r="A193" i="5" l="1" a="1"/>
  <c r="A193" i="5" s="1"/>
  <c r="A194" i="5" l="1" a="1"/>
  <c r="A194" i="5" s="1"/>
  <c r="A195" i="5" l="1" a="1"/>
  <c r="A195" i="5" s="1"/>
  <c r="A196" i="5" l="1" a="1"/>
  <c r="A196" i="5" s="1"/>
  <c r="A197" i="5" l="1" a="1"/>
  <c r="A197" i="5" s="1"/>
  <c r="A198" i="5" l="1" a="1"/>
  <c r="A198" i="5" s="1"/>
  <c r="A199" i="5" l="1" a="1"/>
  <c r="A199" i="5" s="1"/>
  <c r="A200" i="5" l="1" a="1"/>
  <c r="A200" i="5" s="1"/>
  <c r="A201" i="5" l="1" a="1"/>
  <c r="A201" i="5" s="1"/>
  <c r="A202" i="5" l="1" a="1"/>
  <c r="A202" i="5" s="1"/>
  <c r="B87" i="5" s="1" a="1"/>
  <c r="B87" i="5" s="1"/>
  <c r="C87" i="5" s="1"/>
  <c r="B144" i="5" l="1" a="1"/>
  <c r="B144" i="5" s="1"/>
  <c r="C144" i="5" s="1"/>
  <c r="B114" i="5" a="1"/>
  <c r="B114" i="5" s="1"/>
  <c r="C114" i="5" s="1"/>
  <c r="B177" i="5" a="1"/>
  <c r="B177" i="5" s="1"/>
  <c r="C177" i="5" s="1"/>
  <c r="B141" i="5" a="1"/>
  <c r="B141" i="5" s="1"/>
  <c r="C141" i="5" s="1"/>
  <c r="B193" i="5" a="1"/>
  <c r="B193" i="5" s="1"/>
  <c r="C193" i="5" s="1"/>
  <c r="B85" i="5" a="1"/>
  <c r="B85" i="5" s="1"/>
  <c r="C85" i="5" s="1"/>
  <c r="B190" i="5" a="1"/>
  <c r="B190" i="5" s="1"/>
  <c r="C190" i="5" s="1"/>
  <c r="B51" i="5" a="1"/>
  <c r="B51" i="5" s="1"/>
  <c r="C51" i="5" s="1"/>
  <c r="B202" i="5" a="1"/>
  <c r="B202" i="5" s="1"/>
  <c r="B107" i="5" a="1"/>
  <c r="B107" i="5" s="1"/>
  <c r="C107" i="5" s="1"/>
  <c r="B180" i="5" a="1"/>
  <c r="B180" i="5" s="1"/>
  <c r="C180" i="5" s="1"/>
  <c r="B36" i="5" a="1"/>
  <c r="B36" i="5" s="1"/>
  <c r="C36" i="5" s="1"/>
  <c r="B96" i="5" a="1"/>
  <c r="B96" i="5" s="1"/>
  <c r="C96" i="5" s="1"/>
  <c r="B19" i="5" a="1"/>
  <c r="B19" i="5" s="1"/>
  <c r="C19" i="5" s="1"/>
  <c r="B3" i="5" a="1"/>
  <c r="B3" i="5" s="1"/>
  <c r="C3" i="5" s="1"/>
  <c r="B152" i="5" a="1"/>
  <c r="B152" i="5" s="1"/>
  <c r="C152" i="5" s="1"/>
  <c r="B40" i="5" a="1"/>
  <c r="B40" i="5" s="1"/>
  <c r="C40" i="5" s="1"/>
  <c r="B139" i="5" a="1"/>
  <c r="B139" i="5" s="1"/>
  <c r="C139" i="5" s="1"/>
  <c r="B133" i="5" a="1"/>
  <c r="B133" i="5" s="1"/>
  <c r="C133" i="5" s="1"/>
  <c r="B121" i="5" a="1"/>
  <c r="B121" i="5" s="1"/>
  <c r="C121" i="5" s="1"/>
  <c r="B167" i="5" a="1"/>
  <c r="B167" i="5" s="1"/>
  <c r="C167" i="5" s="1"/>
  <c r="B127" i="5" a="1"/>
  <c r="B127" i="5" s="1"/>
  <c r="C127" i="5" s="1"/>
  <c r="B55" i="5" a="1"/>
  <c r="B55" i="5" s="1"/>
  <c r="C55" i="5" s="1"/>
  <c r="B48" i="5" a="1"/>
  <c r="B48" i="5" s="1"/>
  <c r="C48" i="5" s="1"/>
  <c r="B146" i="5" a="1"/>
  <c r="B146" i="5" s="1"/>
  <c r="C146" i="5" s="1"/>
  <c r="B73" i="5" a="1"/>
  <c r="B73" i="5" s="1"/>
  <c r="C73" i="5" s="1"/>
  <c r="B179" i="5" a="1"/>
  <c r="B179" i="5" s="1"/>
  <c r="C179" i="5" s="1"/>
  <c r="B15" i="5" a="1"/>
  <c r="B15" i="5" s="1"/>
  <c r="C15" i="5" s="1"/>
  <c r="B50" i="5" a="1"/>
  <c r="B50" i="5" s="1"/>
  <c r="C50" i="5" s="1"/>
  <c r="B84" i="5" a="1"/>
  <c r="B84" i="5" s="1"/>
  <c r="C84" i="5" s="1"/>
  <c r="B11" i="5" a="1"/>
  <c r="B11" i="5" s="1"/>
  <c r="C11" i="5" s="1"/>
  <c r="B156" i="5" a="1"/>
  <c r="B156" i="5" s="1"/>
  <c r="C156" i="5" s="1"/>
  <c r="B142" i="5" a="1"/>
  <c r="B142" i="5" s="1"/>
  <c r="C142" i="5" s="1"/>
  <c r="B5" i="5" a="1"/>
  <c r="B5" i="5" s="1"/>
  <c r="C5" i="5" s="1"/>
  <c r="B74" i="5" a="1"/>
  <c r="B74" i="5" s="1"/>
  <c r="C74" i="5" s="1"/>
  <c r="B188" i="5" a="1"/>
  <c r="B188" i="5" s="1"/>
  <c r="C188" i="5" s="1"/>
  <c r="B10" i="5" a="1"/>
  <c r="B10" i="5" s="1"/>
  <c r="C10" i="5" s="1"/>
  <c r="B137" i="5" a="1"/>
  <c r="B137" i="5" s="1"/>
  <c r="C137" i="5" s="1"/>
  <c r="B164" i="5" a="1"/>
  <c r="B164" i="5" s="1"/>
  <c r="C164" i="5" s="1"/>
  <c r="B8" i="5" a="1"/>
  <c r="B8" i="5" s="1"/>
  <c r="C8" i="5" s="1"/>
  <c r="B178" i="5" a="1"/>
  <c r="B178" i="5" s="1"/>
  <c r="C178" i="5" s="1"/>
  <c r="B128" i="5" a="1"/>
  <c r="B128" i="5" s="1"/>
  <c r="C128" i="5" s="1"/>
  <c r="B37" i="5" a="1"/>
  <c r="B37" i="5" s="1"/>
  <c r="C37" i="5" s="1"/>
  <c r="B79" i="5" a="1"/>
  <c r="B79" i="5" s="1"/>
  <c r="C79" i="5" s="1"/>
  <c r="B150" i="5" a="1"/>
  <c r="B150" i="5" s="1"/>
  <c r="C150" i="5" s="1"/>
  <c r="B109" i="5" a="1"/>
  <c r="B109" i="5" s="1"/>
  <c r="C109" i="5" s="1"/>
  <c r="B122" i="5" a="1"/>
  <c r="B122" i="5" s="1"/>
  <c r="C122" i="5" s="1"/>
  <c r="B199" i="5" a="1"/>
  <c r="B199" i="5" s="1"/>
  <c r="C199" i="5" s="1"/>
  <c r="B154" i="5" a="1"/>
  <c r="B154" i="5" s="1"/>
  <c r="C154" i="5" s="1"/>
  <c r="B68" i="5" a="1"/>
  <c r="B68" i="5" s="1"/>
  <c r="C68" i="5" s="1"/>
  <c r="B62" i="5" a="1"/>
  <c r="B62" i="5" s="1"/>
  <c r="C62" i="5" s="1"/>
  <c r="B75" i="5" a="1"/>
  <c r="B75" i="5" s="1"/>
  <c r="C75" i="5" s="1"/>
  <c r="B162" i="5" a="1"/>
  <c r="B162" i="5" s="1"/>
  <c r="C162" i="5" s="1"/>
  <c r="B29" i="5" a="1"/>
  <c r="B29" i="5" s="1"/>
  <c r="C29" i="5" s="1"/>
  <c r="B41" i="5" a="1"/>
  <c r="B41" i="5" s="1"/>
  <c r="C41" i="5" s="1"/>
  <c r="B7" i="5" a="1"/>
  <c r="B7" i="5" s="1"/>
  <c r="C7" i="5" s="1"/>
  <c r="B38" i="5" a="1"/>
  <c r="B38" i="5" s="1"/>
  <c r="C38" i="5" s="1"/>
  <c r="B129" i="5" a="1"/>
  <c r="B129" i="5" s="1"/>
  <c r="C129" i="5" s="1"/>
  <c r="B32" i="5" a="1"/>
  <c r="B32" i="5" s="1"/>
  <c r="C32" i="5" s="1"/>
  <c r="B116" i="5" a="1"/>
  <c r="B116" i="5" s="1"/>
  <c r="C116" i="5" s="1"/>
  <c r="B66" i="5" a="1"/>
  <c r="B66" i="5" s="1"/>
  <c r="C66" i="5" s="1"/>
  <c r="B94" i="5" a="1"/>
  <c r="B94" i="5" s="1"/>
  <c r="C94" i="5" s="1"/>
  <c r="B59" i="5" a="1"/>
  <c r="B59" i="5" s="1"/>
  <c r="C59" i="5" s="1"/>
  <c r="B25" i="5" a="1"/>
  <c r="B25" i="5" s="1"/>
  <c r="C25" i="5" s="1"/>
  <c r="B120" i="5" a="1"/>
  <c r="B120" i="5" s="1"/>
  <c r="C120" i="5" s="1"/>
  <c r="B76" i="5" a="1"/>
  <c r="B76" i="5" s="1"/>
  <c r="C76" i="5" s="1"/>
  <c r="B130" i="5" a="1"/>
  <c r="B130" i="5" s="1"/>
  <c r="C130" i="5" s="1"/>
  <c r="B97" i="5" a="1"/>
  <c r="B97" i="5" s="1"/>
  <c r="C97" i="5" s="1"/>
  <c r="B65" i="5" a="1"/>
  <c r="B65" i="5" s="1"/>
  <c r="C65" i="5" s="1"/>
  <c r="B64" i="5" a="1"/>
  <c r="B64" i="5" s="1"/>
  <c r="C64" i="5" s="1"/>
  <c r="B46" i="5" a="1"/>
  <c r="B46" i="5" s="1"/>
  <c r="C46" i="5" s="1"/>
  <c r="B201" i="5" a="1"/>
  <c r="B201" i="5" s="1"/>
  <c r="C201" i="5" s="1"/>
  <c r="B111" i="5" a="1"/>
  <c r="B111" i="5" s="1"/>
  <c r="C111" i="5" s="1"/>
  <c r="B99" i="5" a="1"/>
  <c r="B99" i="5" s="1"/>
  <c r="C99" i="5" s="1"/>
  <c r="B102" i="5" a="1"/>
  <c r="B102" i="5" s="1"/>
  <c r="C102" i="5" s="1"/>
  <c r="B72" i="5" a="1"/>
  <c r="B72" i="5" s="1"/>
  <c r="C72" i="5" s="1"/>
  <c r="B113" i="5" a="1"/>
  <c r="B113" i="5" s="1"/>
  <c r="C113" i="5" s="1"/>
  <c r="B106" i="5" a="1"/>
  <c r="B106" i="5" s="1"/>
  <c r="C106" i="5" s="1"/>
  <c r="B56" i="5" a="1"/>
  <c r="B56" i="5" s="1"/>
  <c r="C56" i="5" s="1"/>
  <c r="B80" i="5" a="1"/>
  <c r="B80" i="5" s="1"/>
  <c r="C80" i="5" s="1"/>
  <c r="B132" i="5" a="1"/>
  <c r="B132" i="5" s="1"/>
  <c r="C132" i="5" s="1"/>
  <c r="B194" i="5" a="1"/>
  <c r="B194" i="5" s="1"/>
  <c r="C194" i="5" s="1"/>
  <c r="B71" i="5" a="1"/>
  <c r="B71" i="5" s="1"/>
  <c r="C71" i="5" s="1"/>
  <c r="B173" i="5" a="1"/>
  <c r="B173" i="5" s="1"/>
  <c r="C173" i="5" s="1"/>
  <c r="B186" i="5" a="1"/>
  <c r="B186" i="5" s="1"/>
  <c r="C186" i="5" s="1"/>
  <c r="B20" i="5" a="1"/>
  <c r="B20" i="5" s="1"/>
  <c r="C20" i="5" s="1"/>
  <c r="B103" i="5" a="1"/>
  <c r="B103" i="5" s="1"/>
  <c r="C103" i="5" s="1"/>
  <c r="C202" i="5"/>
  <c r="B118" i="5" a="1"/>
  <c r="B118" i="5" s="1"/>
  <c r="C118" i="5" s="1"/>
  <c r="B95" i="5" a="1"/>
  <c r="B95" i="5" s="1"/>
  <c r="C95" i="5" s="1"/>
  <c r="B153" i="5" a="1"/>
  <c r="B153" i="5" s="1"/>
  <c r="C153" i="5" s="1"/>
  <c r="B135" i="5" a="1"/>
  <c r="B135" i="5" s="1"/>
  <c r="C135" i="5" s="1"/>
  <c r="B69" i="5" a="1"/>
  <c r="B69" i="5" s="1"/>
  <c r="C69" i="5" s="1"/>
  <c r="B123" i="5" a="1"/>
  <c r="B123" i="5" s="1"/>
  <c r="C123" i="5" s="1"/>
  <c r="B91" i="5" a="1"/>
  <c r="B91" i="5" s="1"/>
  <c r="C91" i="5" s="1"/>
  <c r="B93" i="5" a="1"/>
  <c r="B93" i="5" s="1"/>
  <c r="C93" i="5" s="1"/>
  <c r="B81" i="5" a="1"/>
  <c r="B81" i="5" s="1"/>
  <c r="C81" i="5" s="1"/>
  <c r="B149" i="5" a="1"/>
  <c r="B149" i="5" s="1"/>
  <c r="C149" i="5" s="1"/>
  <c r="B187" i="5" a="1"/>
  <c r="B187" i="5" s="1"/>
  <c r="C187" i="5" s="1"/>
  <c r="B157" i="5" a="1"/>
  <c r="B157" i="5" s="1"/>
  <c r="C157" i="5" s="1"/>
  <c r="B78" i="5" a="1"/>
  <c r="B78" i="5" s="1"/>
  <c r="C78" i="5" s="1"/>
  <c r="B83" i="5" a="1"/>
  <c r="B83" i="5" s="1"/>
  <c r="C83" i="5" s="1"/>
  <c r="B88" i="5" a="1"/>
  <c r="B88" i="5" s="1"/>
  <c r="C88" i="5" s="1"/>
  <c r="B67" i="5" a="1"/>
  <c r="B67" i="5" s="1"/>
  <c r="C67" i="5" s="1"/>
  <c r="B53" i="5" a="1"/>
  <c r="B53" i="5" s="1"/>
  <c r="C53" i="5" s="1"/>
  <c r="B125" i="5" a="1"/>
  <c r="B125" i="5" s="1"/>
  <c r="C125" i="5" s="1"/>
  <c r="B57" i="5" a="1"/>
  <c r="B57" i="5" s="1"/>
  <c r="C57" i="5" s="1"/>
  <c r="B30" i="5" a="1"/>
  <c r="B30" i="5" s="1"/>
  <c r="C30" i="5" s="1"/>
  <c r="B147" i="5" a="1"/>
  <c r="B147" i="5" s="1"/>
  <c r="C147" i="5" s="1"/>
  <c r="B131" i="5" a="1"/>
  <c r="B131" i="5" s="1"/>
  <c r="C131" i="5" s="1"/>
  <c r="B90" i="5" a="1"/>
  <c r="B90" i="5" s="1"/>
  <c r="C90" i="5" s="1"/>
  <c r="B42" i="5" a="1"/>
  <c r="B42" i="5" s="1"/>
  <c r="C42" i="5" s="1"/>
  <c r="B86" i="5" a="1"/>
  <c r="B86" i="5" s="1"/>
  <c r="C86" i="5" s="1"/>
  <c r="B185" i="5" a="1"/>
  <c r="B185" i="5" s="1"/>
  <c r="C185" i="5" s="1"/>
  <c r="B101" i="5" a="1"/>
  <c r="B101" i="5" s="1"/>
  <c r="C101" i="5" s="1"/>
  <c r="B171" i="5" a="1"/>
  <c r="B171" i="5" s="1"/>
  <c r="C171" i="5" s="1"/>
  <c r="B47" i="5" a="1"/>
  <c r="B47" i="5" s="1"/>
  <c r="C47" i="5" s="1"/>
  <c r="B108" i="5" a="1"/>
  <c r="B108" i="5" s="1"/>
  <c r="C108" i="5" s="1"/>
  <c r="B112" i="5" a="1"/>
  <c r="B112" i="5" s="1"/>
  <c r="C112" i="5" s="1"/>
  <c r="B161" i="5" a="1"/>
  <c r="B161" i="5" s="1"/>
  <c r="C161" i="5" s="1"/>
  <c r="B49" i="5" a="1"/>
  <c r="B49" i="5" s="1"/>
  <c r="C49" i="5" s="1"/>
  <c r="B33" i="5" a="1"/>
  <c r="B33" i="5" s="1"/>
  <c r="C33" i="5" s="1"/>
  <c r="B44" i="5" a="1"/>
  <c r="B44" i="5" s="1"/>
  <c r="C44" i="5" s="1"/>
  <c r="B17" i="5" a="1"/>
  <c r="B17" i="5" s="1"/>
  <c r="C17" i="5" s="1"/>
  <c r="B182" i="5" a="1"/>
  <c r="B182" i="5" s="1"/>
  <c r="C182" i="5" s="1"/>
  <c r="B143" i="5" a="1"/>
  <c r="B143" i="5" s="1"/>
  <c r="C143" i="5" s="1"/>
  <c r="B31" i="5" a="1"/>
  <c r="B31" i="5" s="1"/>
  <c r="C31" i="5" s="1"/>
  <c r="B126" i="5" a="1"/>
  <c r="B126" i="5" s="1"/>
  <c r="C126" i="5" s="1"/>
  <c r="B27" i="5" a="1"/>
  <c r="B27" i="5" s="1"/>
  <c r="C27" i="5" s="1"/>
  <c r="B100" i="5" a="1"/>
  <c r="B100" i="5" s="1"/>
  <c r="C100" i="5" s="1"/>
  <c r="B6" i="5" a="1"/>
  <c r="B6" i="5" s="1"/>
  <c r="C6" i="5" s="1"/>
  <c r="B145" i="5" a="1"/>
  <c r="B145" i="5" s="1"/>
  <c r="C145" i="5" s="1"/>
  <c r="B115" i="5" a="1"/>
  <c r="B115" i="5" s="1"/>
  <c r="C115" i="5" s="1"/>
  <c r="B155" i="5" a="1"/>
  <c r="B155" i="5" s="1"/>
  <c r="C155" i="5" s="1"/>
  <c r="B16" i="5" a="1"/>
  <c r="B16" i="5" s="1"/>
  <c r="C16" i="5" s="1"/>
  <c r="B198" i="5" a="1"/>
  <c r="B198" i="5" s="1"/>
  <c r="C198" i="5" s="1"/>
  <c r="B54" i="5" a="1"/>
  <c r="B54" i="5" s="1"/>
  <c r="C54" i="5" s="1"/>
  <c r="B43" i="5" a="1"/>
  <c r="B43" i="5" s="1"/>
  <c r="C43" i="5" s="1"/>
  <c r="B9" i="5" a="1"/>
  <c r="B9" i="5" s="1"/>
  <c r="C9" i="5" s="1"/>
  <c r="B70" i="5" a="1"/>
  <c r="B70" i="5" s="1"/>
  <c r="C70" i="5" s="1"/>
  <c r="B200" i="5" a="1"/>
  <c r="B200" i="5" s="1"/>
  <c r="C200" i="5" s="1"/>
  <c r="B140" i="5" a="1"/>
  <c r="B140" i="5" s="1"/>
  <c r="C140" i="5" s="1"/>
  <c r="B170" i="5" a="1"/>
  <c r="B170" i="5" s="1"/>
  <c r="C170" i="5" s="1"/>
  <c r="B158" i="5" a="1"/>
  <c r="B158" i="5" s="1"/>
  <c r="C158" i="5" s="1"/>
  <c r="B176" i="5" a="1"/>
  <c r="B176" i="5" s="1"/>
  <c r="C176" i="5" s="1"/>
  <c r="B105" i="5" a="1"/>
  <c r="B105" i="5" s="1"/>
  <c r="C105" i="5" s="1"/>
  <c r="B151" i="5" a="1"/>
  <c r="B151" i="5" s="1"/>
  <c r="C151" i="5" s="1"/>
  <c r="B22" i="5" a="1"/>
  <c r="B22" i="5" s="1"/>
  <c r="C22" i="5" s="1"/>
  <c r="B165" i="5" a="1"/>
  <c r="B165" i="5" s="1"/>
  <c r="C165" i="5" s="1"/>
  <c r="B104" i="5" a="1"/>
  <c r="B104" i="5" s="1"/>
  <c r="C104" i="5" s="1"/>
  <c r="B12" i="5" a="1"/>
  <c r="B12" i="5" s="1"/>
  <c r="C12" i="5" s="1"/>
  <c r="B138" i="5" a="1"/>
  <c r="B138" i="5" s="1"/>
  <c r="C138" i="5" s="1"/>
  <c r="B98" i="5" a="1"/>
  <c r="B98" i="5" s="1"/>
  <c r="C98" i="5" s="1"/>
  <c r="B148" i="5" a="1"/>
  <c r="B148" i="5" s="1"/>
  <c r="C148" i="5" s="1"/>
  <c r="B34" i="5" a="1"/>
  <c r="B34" i="5" s="1"/>
  <c r="C34" i="5" s="1"/>
  <c r="B181" i="5" a="1"/>
  <c r="B181" i="5" s="1"/>
  <c r="C181" i="5" s="1"/>
  <c r="B13" i="5" a="1"/>
  <c r="B13" i="5" s="1"/>
  <c r="C13" i="5" s="1"/>
  <c r="B60" i="5" a="1"/>
  <c r="B60" i="5" s="1"/>
  <c r="C60" i="5" s="1"/>
  <c r="B174" i="5" a="1"/>
  <c r="B174" i="5" s="1"/>
  <c r="C174" i="5" s="1"/>
  <c r="B195" i="5" a="1"/>
  <c r="B195" i="5" s="1"/>
  <c r="C195" i="5" s="1"/>
  <c r="B159" i="5" a="1"/>
  <c r="B159" i="5" s="1"/>
  <c r="C159" i="5" s="1"/>
  <c r="B160" i="5" a="1"/>
  <c r="B160" i="5" s="1"/>
  <c r="C160" i="5" s="1"/>
  <c r="B39" i="5" a="1"/>
  <c r="B39" i="5" s="1"/>
  <c r="C39" i="5" s="1"/>
  <c r="B28" i="5" a="1"/>
  <c r="B28" i="5" s="1"/>
  <c r="C28" i="5" s="1"/>
  <c r="B89" i="5" a="1"/>
  <c r="B89" i="5" s="1"/>
  <c r="C89" i="5" s="1"/>
  <c r="B134" i="5" a="1"/>
  <c r="B134" i="5" s="1"/>
  <c r="C134" i="5" s="1"/>
  <c r="B26" i="5" a="1"/>
  <c r="B26" i="5" s="1"/>
  <c r="C26" i="5" s="1"/>
  <c r="B169" i="5" a="1"/>
  <c r="B169" i="5" s="1"/>
  <c r="C169" i="5" s="1"/>
  <c r="B61" i="5" a="1"/>
  <c r="B61" i="5" s="1"/>
  <c r="C61" i="5" s="1"/>
  <c r="B191" i="5" a="1"/>
  <c r="B191" i="5" s="1"/>
  <c r="C191" i="5" s="1"/>
  <c r="B77" i="5" a="1"/>
  <c r="B77" i="5" s="1"/>
  <c r="C77" i="5" s="1"/>
  <c r="B21" i="5" a="1"/>
  <c r="B21" i="5" s="1"/>
  <c r="C21" i="5" s="1"/>
  <c r="B124" i="5" a="1"/>
  <c r="B124" i="5" s="1"/>
  <c r="C124" i="5" s="1"/>
  <c r="B14" i="5" a="1"/>
  <c r="B14" i="5" s="1"/>
  <c r="C14" i="5" s="1"/>
  <c r="B189" i="5" a="1"/>
  <c r="B189" i="5" s="1"/>
  <c r="C189" i="5" s="1"/>
  <c r="B163" i="5" a="1"/>
  <c r="B163" i="5" s="1"/>
  <c r="C163" i="5" s="1"/>
  <c r="B4" i="5" a="1"/>
  <c r="B4" i="5" s="1"/>
  <c r="C4" i="5" s="1"/>
  <c r="B197" i="5" a="1"/>
  <c r="B197" i="5" s="1"/>
  <c r="C197" i="5" s="1"/>
  <c r="B196" i="5" a="1"/>
  <c r="B196" i="5" s="1"/>
  <c r="C196" i="5" s="1"/>
  <c r="B24" i="5" a="1"/>
  <c r="B24" i="5" s="1"/>
  <c r="C24" i="5" s="1"/>
  <c r="B166" i="5" a="1"/>
  <c r="B166" i="5" s="1"/>
  <c r="C166" i="5" s="1"/>
  <c r="B172" i="5" a="1"/>
  <c r="B172" i="5" s="1"/>
  <c r="C172" i="5" s="1"/>
  <c r="B119" i="5" a="1"/>
  <c r="B119" i="5" s="1"/>
  <c r="C119" i="5" s="1"/>
  <c r="B52" i="5" a="1"/>
  <c r="B52" i="5" s="1"/>
  <c r="C52" i="5" s="1"/>
  <c r="B192" i="5" a="1"/>
  <c r="B192" i="5" s="1"/>
  <c r="C192" i="5" s="1"/>
  <c r="B35" i="5" a="1"/>
  <c r="B35" i="5" s="1"/>
  <c r="C35" i="5" s="1"/>
  <c r="B175" i="5" a="1"/>
  <c r="B175" i="5" s="1"/>
  <c r="C175" i="5" s="1"/>
  <c r="B18" i="5" a="1"/>
  <c r="B18" i="5" s="1"/>
  <c r="C18" i="5" s="1"/>
  <c r="B117" i="5" a="1"/>
  <c r="B117" i="5" s="1"/>
  <c r="C117" i="5" s="1"/>
  <c r="B58" i="5" a="1"/>
  <c r="B58" i="5" s="1"/>
  <c r="C58" i="5" s="1"/>
  <c r="B23" i="5" a="1"/>
  <c r="B23" i="5" s="1"/>
  <c r="C23" i="5" s="1"/>
  <c r="B168" i="5" a="1"/>
  <c r="B168" i="5" s="1"/>
  <c r="C168" i="5" s="1"/>
  <c r="B183" i="5" a="1"/>
  <c r="B183" i="5" s="1"/>
  <c r="C183" i="5" s="1"/>
  <c r="B184" i="5" a="1"/>
  <c r="B184" i="5" s="1"/>
  <c r="C184" i="5" s="1"/>
  <c r="B136" i="5" a="1"/>
  <c r="B136" i="5" s="1"/>
  <c r="C136" i="5" s="1"/>
  <c r="B92" i="5" a="1"/>
  <c r="B92" i="5" s="1"/>
  <c r="C92" i="5" s="1"/>
  <c r="B45" i="5" a="1"/>
  <c r="B45" i="5" s="1"/>
  <c r="C45" i="5" s="1"/>
  <c r="B82" i="5" a="1"/>
  <c r="B82" i="5" s="1"/>
  <c r="C82" i="5" s="1"/>
  <c r="B63" i="5" a="1"/>
  <c r="B63" i="5" s="1"/>
  <c r="C63" i="5" s="1"/>
  <c r="B110" i="5" a="1"/>
  <c r="B110" i="5" s="1"/>
  <c r="C110" i="5" s="1"/>
  <c r="B2" i="5" a="1"/>
  <c r="B2" i="5" s="1"/>
  <c r="C2" i="5" s="1"/>
</calcChain>
</file>

<file path=xl/sharedStrings.xml><?xml version="1.0" encoding="utf-8"?>
<sst xmlns="http://schemas.openxmlformats.org/spreadsheetml/2006/main" count="9151" uniqueCount="1112">
  <si>
    <t>ROW Freight Cost Dashboard</t>
  </si>
  <si>
    <t>Select Customer:</t>
  </si>
  <si>
    <t>CPX DISTRIBUIDORA S/A</t>
  </si>
  <si>
    <t>Search Customer:</t>
  </si>
  <si>
    <t>Top 10 Lowest Cost Combinations</t>
  </si>
  <si>
    <t>Rank</t>
  </si>
  <si>
    <t>Region / Geography</t>
  </si>
  <si>
    <t>POL</t>
  </si>
  <si>
    <t>POD</t>
  </si>
  <si>
    <t>Forwarder</t>
  </si>
  <si>
    <t>Carrier / Line</t>
  </si>
  <si>
    <t>Incoterm</t>
  </si>
  <si>
    <t>Origin Cost (USD)</t>
  </si>
  <si>
    <t>Ocean Freight (USD)</t>
  </si>
  <si>
    <t>Total Freight (USD)</t>
  </si>
  <si>
    <t>Top 10 Highest Cost Combinations</t>
  </si>
  <si>
    <t>Exchange Rate (INR per USD)</t>
  </si>
  <si>
    <t>POL: Nhava Sheva</t>
  </si>
  <si>
    <t>Origin Cost (INR)</t>
  </si>
  <si>
    <t>10 Cubits</t>
  </si>
  <si>
    <t>Ageon</t>
  </si>
  <si>
    <t>Akkon</t>
  </si>
  <si>
    <t>ANL</t>
  </si>
  <si>
    <t>Arkas</t>
  </si>
  <si>
    <t>Blue Marlin</t>
  </si>
  <si>
    <t>CMA</t>
  </si>
  <si>
    <t>Corten Shipping</t>
  </si>
  <si>
    <t>Corton</t>
  </si>
  <si>
    <t>Cosco</t>
  </si>
  <si>
    <t>Econship</t>
  </si>
  <si>
    <t>Emirates</t>
  </si>
  <si>
    <t>ESL</t>
  </si>
  <si>
    <t>Evergreen</t>
  </si>
  <si>
    <t>Fesco</t>
  </si>
  <si>
    <t>Hapag</t>
  </si>
  <si>
    <t>HMM</t>
  </si>
  <si>
    <t>Honsin</t>
  </si>
  <si>
    <t>Hub &amp; Link</t>
  </si>
  <si>
    <t>Hyundai</t>
  </si>
  <si>
    <t>IGM</t>
  </si>
  <si>
    <t>InterGlobe Marine</t>
  </si>
  <si>
    <t>M Line</t>
  </si>
  <si>
    <t>Maersk</t>
  </si>
  <si>
    <t>MSA Shipping</t>
  </si>
  <si>
    <t>MSC</t>
  </si>
  <si>
    <t>ONE</t>
  </si>
  <si>
    <t>OOCL</t>
  </si>
  <si>
    <t>OVP Shipping</t>
  </si>
  <si>
    <t>PIL</t>
  </si>
  <si>
    <t>RCL</t>
  </si>
  <si>
    <t>Seacompass</t>
  </si>
  <si>
    <t>Selene Shipping</t>
  </si>
  <si>
    <t>Silmar</t>
  </si>
  <si>
    <t>SJ line</t>
  </si>
  <si>
    <t>Transmar</t>
  </si>
  <si>
    <t>Unifeeder</t>
  </si>
  <si>
    <t>X TRANS</t>
  </si>
  <si>
    <t>Yangming</t>
  </si>
  <si>
    <t>YML</t>
  </si>
  <si>
    <t>POL: ICD Tihi</t>
  </si>
  <si>
    <t>POL: ICD Dhannad</t>
  </si>
  <si>
    <t>Planned loading date</t>
  </si>
  <si>
    <t>Month</t>
  </si>
  <si>
    <t>Geography</t>
  </si>
  <si>
    <t>Container number</t>
  </si>
  <si>
    <t>Customer</t>
  </si>
  <si>
    <t>Country</t>
  </si>
  <si>
    <t>INCO</t>
  </si>
  <si>
    <t>Pick up 
date</t>
  </si>
  <si>
    <t>Port</t>
  </si>
  <si>
    <t>Line</t>
  </si>
  <si>
    <t>Transporter</t>
  </si>
  <si>
    <t>O/F</t>
  </si>
  <si>
    <t>ROW/RTNA</t>
  </si>
  <si>
    <t>Invoice Date</t>
  </si>
  <si>
    <t>Inovice Month</t>
  </si>
  <si>
    <t>Apr</t>
  </si>
  <si>
    <t>MEA</t>
  </si>
  <si>
    <t>TSAU5601222</t>
  </si>
  <si>
    <t>Nahar Al Ajnas Auto Spre Prts Tradi, Dubai (In)</t>
  </si>
  <si>
    <t>DI</t>
  </si>
  <si>
    <t>FOB</t>
  </si>
  <si>
    <t>GACIS CARGO</t>
  </si>
  <si>
    <t>NH</t>
  </si>
  <si>
    <t>Hariom</t>
  </si>
  <si>
    <t>Jebel Ali</t>
  </si>
  <si>
    <t>ROW</t>
  </si>
  <si>
    <t>Apr-25</t>
  </si>
  <si>
    <t>TCLU8434589</t>
  </si>
  <si>
    <t>MEDU8324457</t>
  </si>
  <si>
    <t>SHOAIB FAISAL QALANDARI LTD</t>
  </si>
  <si>
    <t>Afghanistan</t>
  </si>
  <si>
    <t>IGM Shipping</t>
  </si>
  <si>
    <t>TCNU6730450</t>
  </si>
  <si>
    <t>TCLU5315565</t>
  </si>
  <si>
    <t>TCNU6378478</t>
  </si>
  <si>
    <t>S.A.</t>
  </si>
  <si>
    <t>TGHU6354879</t>
  </si>
  <si>
    <t>MULTILLANTAS ZONA LIBRE S.A., Panama</t>
  </si>
  <si>
    <t>Columbia</t>
  </si>
  <si>
    <t>Pisces shipping</t>
  </si>
  <si>
    <t>Buenaventura</t>
  </si>
  <si>
    <t>TCNU3994171</t>
  </si>
  <si>
    <t>Europe</t>
  </si>
  <si>
    <t>BSIU9068251</t>
  </si>
  <si>
    <t>BA Bush Tyres</t>
  </si>
  <si>
    <t>United Kingdom</t>
  </si>
  <si>
    <t>Transbox</t>
  </si>
  <si>
    <t>ICD</t>
  </si>
  <si>
    <t>London Gateway</t>
  </si>
  <si>
    <t>EITU9087875</t>
  </si>
  <si>
    <t>Panama</t>
  </si>
  <si>
    <t>CIF</t>
  </si>
  <si>
    <t>Kotak Global</t>
  </si>
  <si>
    <t>RKY</t>
  </si>
  <si>
    <t>Manzanilo</t>
  </si>
  <si>
    <t>TXGU8753293</t>
  </si>
  <si>
    <t>TRADELUC FZE LLC, Spain</t>
  </si>
  <si>
    <t>Spain</t>
  </si>
  <si>
    <t>Active Shipping</t>
  </si>
  <si>
    <t>Valencia</t>
  </si>
  <si>
    <t>CSYU4030497</t>
  </si>
  <si>
    <t>Al Rabee - Sudan</t>
  </si>
  <si>
    <t>Sudan</t>
  </si>
  <si>
    <t>Hind Freight</t>
  </si>
  <si>
    <t>Sudan Port</t>
  </si>
  <si>
    <t>TMCU5006322</t>
  </si>
  <si>
    <t>SELU4015437</t>
  </si>
  <si>
    <t>ASLU7065451</t>
  </si>
  <si>
    <t>FANU1807821</t>
  </si>
  <si>
    <t>HAMU1269046</t>
  </si>
  <si>
    <t>DFSU6944634</t>
  </si>
  <si>
    <t>MSMU5233491</t>
  </si>
  <si>
    <t>CPX DISTRIBUIDORA S/A-Suape</t>
  </si>
  <si>
    <t>Brazil</t>
  </si>
  <si>
    <t>Sanjay Forwarder</t>
  </si>
  <si>
    <t>Tihi</t>
  </si>
  <si>
    <t>TRS</t>
  </si>
  <si>
    <t>Suape</t>
  </si>
  <si>
    <t>CAAU5584816</t>
  </si>
  <si>
    <t>CPX DISTRIBUIDORA S/A-Itajai</t>
  </si>
  <si>
    <t>Itajai</t>
  </si>
  <si>
    <t>MSNU5276202</t>
  </si>
  <si>
    <t>MSNU9786122</t>
  </si>
  <si>
    <t>HLBU2787369</t>
  </si>
  <si>
    <t>Marco Lankes GmbH, Germany</t>
  </si>
  <si>
    <t>Germany</t>
  </si>
  <si>
    <t>Hellmann</t>
  </si>
  <si>
    <t>ROTTERDAM</t>
  </si>
  <si>
    <t>CAAU5327171</t>
  </si>
  <si>
    <t>FANU1628106</t>
  </si>
  <si>
    <t>TLLU4214305</t>
  </si>
  <si>
    <t>HAMU1264635</t>
  </si>
  <si>
    <t>FSCU8431960</t>
  </si>
  <si>
    <t>AL-DYAR AL-KHADRAA TIRE AND BATTERY, Iraq</t>
  </si>
  <si>
    <t>Iraq</t>
  </si>
  <si>
    <t>DP World</t>
  </si>
  <si>
    <t>Umm Qasr</t>
  </si>
  <si>
    <t>UACU5593483</t>
  </si>
  <si>
    <t>UETU5822331</t>
  </si>
  <si>
    <t>Agrigear LTD, Ireland</t>
  </si>
  <si>
    <t>Dublin</t>
  </si>
  <si>
    <t>May</t>
  </si>
  <si>
    <t>HASU4672400</t>
  </si>
  <si>
    <t>Inter Cars S.A., Poland</t>
  </si>
  <si>
    <t>Poland</t>
  </si>
  <si>
    <t>Clearship</t>
  </si>
  <si>
    <t>Gdansk</t>
  </si>
  <si>
    <t>May-25</t>
  </si>
  <si>
    <t>MSKU0447268</t>
  </si>
  <si>
    <t>ISC</t>
  </si>
  <si>
    <t>OOLU0242146</t>
  </si>
  <si>
    <t>Supergrip International (Pvt) Ltd</t>
  </si>
  <si>
    <t>Srilanka</t>
  </si>
  <si>
    <t>Gonsai Logistcs</t>
  </si>
  <si>
    <t>COSCO</t>
  </si>
  <si>
    <t>Colombo</t>
  </si>
  <si>
    <t>TGBU8017052</t>
  </si>
  <si>
    <t>UAB Inter Cars Lietuva, Lithuania</t>
  </si>
  <si>
    <t>Lithuania</t>
  </si>
  <si>
    <t>Klaipeda</t>
  </si>
  <si>
    <t>TCNU3311085</t>
  </si>
  <si>
    <t>Vaal Tyre Centre Holdings (Pty) Ltd-S.A</t>
  </si>
  <si>
    <t>South Africa</t>
  </si>
  <si>
    <t>Durban</t>
  </si>
  <si>
    <t>TGBU5697043</t>
  </si>
  <si>
    <t>Intercars, Germany</t>
  </si>
  <si>
    <t>DDP</t>
  </si>
  <si>
    <t>Rotterdam</t>
  </si>
  <si>
    <t>CAAU9052344</t>
  </si>
  <si>
    <t>Arikas Logistics</t>
  </si>
  <si>
    <t>Port Sudan</t>
  </si>
  <si>
    <t>PCIU9384484</t>
  </si>
  <si>
    <t>PCIU9286425</t>
  </si>
  <si>
    <t>GAOU7195672</t>
  </si>
  <si>
    <t>PIDU4042584</t>
  </si>
  <si>
    <t>PCIU9331627</t>
  </si>
  <si>
    <t>BMOU5257354</t>
  </si>
  <si>
    <t>FBLU0146615</t>
  </si>
  <si>
    <t>HAMU3446541</t>
  </si>
  <si>
    <t>HAMU2772121</t>
  </si>
  <si>
    <t>HAMU2319244</t>
  </si>
  <si>
    <t>HLBU2146724</t>
  </si>
  <si>
    <t>MTSU9656005</t>
  </si>
  <si>
    <t>TCLU7907244</t>
  </si>
  <si>
    <t>Rohlig India</t>
  </si>
  <si>
    <t>Gdynia</t>
  </si>
  <si>
    <t>APHU7384286</t>
  </si>
  <si>
    <t>Inter Cars Bulgaria EOOD</t>
  </si>
  <si>
    <t>Bulgaria</t>
  </si>
  <si>
    <t>Fortune Inc</t>
  </si>
  <si>
    <t>Thessaloniki</t>
  </si>
  <si>
    <t>KKFU7527584</t>
  </si>
  <si>
    <t>TGHU8587479</t>
  </si>
  <si>
    <t>GACIS Cargo</t>
  </si>
  <si>
    <t>CINU6316866</t>
  </si>
  <si>
    <t>APHU6331300</t>
  </si>
  <si>
    <t>APHU6349608</t>
  </si>
  <si>
    <t>Jun</t>
  </si>
  <si>
    <t>S.A</t>
  </si>
  <si>
    <t>TCKU6867480</t>
  </si>
  <si>
    <t>Acostallantas S.A, Colombia</t>
  </si>
  <si>
    <t>columbia</t>
  </si>
  <si>
    <t>Pegasus</t>
  </si>
  <si>
    <t>Jun-25</t>
  </si>
  <si>
    <t>CMAU3843908</t>
  </si>
  <si>
    <t>REDLLANTAS S.A</t>
  </si>
  <si>
    <t>Mentor Freight</t>
  </si>
  <si>
    <t>HAMU1010081</t>
  </si>
  <si>
    <t>Nonime Enterprises, Srilanka</t>
  </si>
  <si>
    <t>Everprime</t>
  </si>
  <si>
    <t>HLBU1602178</t>
  </si>
  <si>
    <t>Tuncay Güç Mansa Kallpa External, Turkey</t>
  </si>
  <si>
    <t>Turkey</t>
  </si>
  <si>
    <t>Aliaga</t>
  </si>
  <si>
    <t>CRSU9030738</t>
  </si>
  <si>
    <t>Inter Cars d.o.o., Croatia</t>
  </si>
  <si>
    <t>Croatia</t>
  </si>
  <si>
    <t>Cargo Partner</t>
  </si>
  <si>
    <t>Rijeka</t>
  </si>
  <si>
    <t>MEDU7884971</t>
  </si>
  <si>
    <t>Inter Cars Romania Srl</t>
  </si>
  <si>
    <t>Romania</t>
  </si>
  <si>
    <t>DSV</t>
  </si>
  <si>
    <t>Constanta</t>
  </si>
  <si>
    <t>BEAU6096136</t>
  </si>
  <si>
    <t>Inter Cars Greece Ltd</t>
  </si>
  <si>
    <t>Greece</t>
  </si>
  <si>
    <t>Team Global</t>
  </si>
  <si>
    <t>PIRAEUS</t>
  </si>
  <si>
    <t>MRKU4988090</t>
  </si>
  <si>
    <t>MRKU5907620</t>
  </si>
  <si>
    <t>ROAD FORCE AUTO SPARE PARTS-Sharjah</t>
  </si>
  <si>
    <t>UAE</t>
  </si>
  <si>
    <t>Sharjah</t>
  </si>
  <si>
    <t>MRSU5643773</t>
  </si>
  <si>
    <t>HASU4409375</t>
  </si>
  <si>
    <t>ONEU0526521</t>
  </si>
  <si>
    <t>VR Logistics</t>
  </si>
  <si>
    <t>HASU4496934</t>
  </si>
  <si>
    <t>MSKU9506443</t>
  </si>
  <si>
    <t>MSKU1182760</t>
  </si>
  <si>
    <t>ONEU5599074</t>
  </si>
  <si>
    <t>ONEU5357609</t>
  </si>
  <si>
    <t>ONEU5123848</t>
  </si>
  <si>
    <t>OOCU9074900</t>
  </si>
  <si>
    <t>Ireland</t>
  </si>
  <si>
    <t>HASU5056903</t>
  </si>
  <si>
    <t>AHMED YOUSIF ABDULHADI ALMAILEM &amp; B, Kuwait</t>
  </si>
  <si>
    <t>kuwait</t>
  </si>
  <si>
    <t>Shuwaikh</t>
  </si>
  <si>
    <t>TCLU4924320</t>
  </si>
  <si>
    <t>UETU5629467</t>
  </si>
  <si>
    <t>PCIU9228239</t>
  </si>
  <si>
    <t>TIIU5979278</t>
  </si>
  <si>
    <t>Sevenseas Global</t>
  </si>
  <si>
    <t>HMMU6610628</t>
  </si>
  <si>
    <t>HMMU6256520</t>
  </si>
  <si>
    <t>HMMU6636427</t>
  </si>
  <si>
    <t>HMMU6725566</t>
  </si>
  <si>
    <t>KOCU4217428</t>
  </si>
  <si>
    <t>TIIU5940635</t>
  </si>
  <si>
    <t>TCNU5381097</t>
  </si>
  <si>
    <t>Rappazzo Neumaticos S.A, Argentina</t>
  </si>
  <si>
    <t>Argentina</t>
  </si>
  <si>
    <t>Tulsidas Khimji</t>
  </si>
  <si>
    <t>Buenos Aires</t>
  </si>
  <si>
    <t>TCLU9634766</t>
  </si>
  <si>
    <t>TCKU6870354</t>
  </si>
  <si>
    <t>TGBU6304731</t>
  </si>
  <si>
    <t>SUDU8733370</t>
  </si>
  <si>
    <t>DFSU7320015</t>
  </si>
  <si>
    <t>Correa Tire Distributor Inc, Puerte Rico</t>
  </si>
  <si>
    <t>Puerto Rico</t>
  </si>
  <si>
    <t>TCNU7146800</t>
  </si>
  <si>
    <t>CPX DISTRIBUIDORA S/A-Navegantes</t>
  </si>
  <si>
    <t>Skyways Forin</t>
  </si>
  <si>
    <t>MRSU4149489</t>
  </si>
  <si>
    <t>Master Logitech</t>
  </si>
  <si>
    <t>MRSU3470067</t>
  </si>
  <si>
    <t>MSKU1850832</t>
  </si>
  <si>
    <t>MRKU5885007</t>
  </si>
  <si>
    <t>Jul</t>
  </si>
  <si>
    <t>MSDU5760834</t>
  </si>
  <si>
    <t>NA</t>
  </si>
  <si>
    <t>Jul-25</t>
  </si>
  <si>
    <t>TCNU4112690</t>
  </si>
  <si>
    <t>GDYNIA</t>
  </si>
  <si>
    <t>FFAU6447489</t>
  </si>
  <si>
    <t>ONEU0998718</t>
  </si>
  <si>
    <t>ECMU7306031</t>
  </si>
  <si>
    <t>BEAU6294152</t>
  </si>
  <si>
    <t>FANU1276833</t>
  </si>
  <si>
    <t>SIA Inter Cars Latvija</t>
  </si>
  <si>
    <t>Latvija</t>
  </si>
  <si>
    <t>DHL Logistics</t>
  </si>
  <si>
    <t>RIGA</t>
  </si>
  <si>
    <t>TGBU6232776</t>
  </si>
  <si>
    <t>TCKU6126173</t>
  </si>
  <si>
    <t>MRKU5246304</t>
  </si>
  <si>
    <t>UK</t>
  </si>
  <si>
    <t>EGSU1822805</t>
  </si>
  <si>
    <t>LLANTAS NARINO SAS, Columbia</t>
  </si>
  <si>
    <t>Evergreen Line</t>
  </si>
  <si>
    <t>EITU9257586</t>
  </si>
  <si>
    <t>CAAU5291079 </t>
  </si>
  <si>
    <t>PC Tyres, Mexico</t>
  </si>
  <si>
    <t>Mexico</t>
  </si>
  <si>
    <t>Manzanillo</t>
  </si>
  <si>
    <t>TGHU6654156</t>
  </si>
  <si>
    <t>Sharma International, Kuwait</t>
  </si>
  <si>
    <t>Shuaiba</t>
  </si>
  <si>
    <t>HAMU2680832</t>
  </si>
  <si>
    <t>BAHWAN MOTORS AUTO ACCESSORIES TRAD</t>
  </si>
  <si>
    <t>CFR</t>
  </si>
  <si>
    <t>Infinity Ocean</t>
  </si>
  <si>
    <t>Burgas</t>
  </si>
  <si>
    <t>CIS</t>
  </si>
  <si>
    <t>HHXU3349616</t>
  </si>
  <si>
    <t>West Lake Russia Co. Ltd.</t>
  </si>
  <si>
    <t>Russia</t>
  </si>
  <si>
    <t>Hub&amp;Links</t>
  </si>
  <si>
    <t>SAINT PETERSBURG</t>
  </si>
  <si>
    <t>MODU0054782</t>
  </si>
  <si>
    <t>ATDU4053250</t>
  </si>
  <si>
    <t>MSMU7108400</t>
  </si>
  <si>
    <t>Asia Shipping</t>
  </si>
  <si>
    <t>TLLU8128843</t>
  </si>
  <si>
    <t>GCXU6055066</t>
  </si>
  <si>
    <t>HAMU4542977</t>
  </si>
  <si>
    <t>Fintyre Spa, Italy</t>
  </si>
  <si>
    <t>Italy</t>
  </si>
  <si>
    <t>FEI Crgo</t>
  </si>
  <si>
    <t>GENOA</t>
  </si>
  <si>
    <t>HAMU3009639</t>
  </si>
  <si>
    <t>GCXU5670564</t>
  </si>
  <si>
    <t>HAMU1680648</t>
  </si>
  <si>
    <t>DFSU7110976</t>
  </si>
  <si>
    <t>BUENOS AIRES</t>
  </si>
  <si>
    <t>MEDU7550803</t>
  </si>
  <si>
    <t>TCLU1836863</t>
  </si>
  <si>
    <t>CAIU8748475</t>
  </si>
  <si>
    <t>FANU1458550</t>
  </si>
  <si>
    <t>TIIU4481233</t>
  </si>
  <si>
    <t>INVERSIONES Y SERVICIOS BRIFABRI E.</t>
  </si>
  <si>
    <t>Peru</t>
  </si>
  <si>
    <t>CALLAO</t>
  </si>
  <si>
    <t>EGSU9559085</t>
  </si>
  <si>
    <t>SEKU5924274</t>
  </si>
  <si>
    <t>MSK Egypt For Import and Export</t>
  </si>
  <si>
    <t>Egypt</t>
  </si>
  <si>
    <t>Aqua Air</t>
  </si>
  <si>
    <t>Ain Sokhna</t>
  </si>
  <si>
    <t>TGBU6736761</t>
  </si>
  <si>
    <t>FFAU1919350</t>
  </si>
  <si>
    <t>FFAU2519132</t>
  </si>
  <si>
    <t>MSNU5911782</t>
  </si>
  <si>
    <t>CSNU2007745</t>
  </si>
  <si>
    <t>MGX247 Logistics</t>
  </si>
  <si>
    <t>SEGU6476673</t>
  </si>
  <si>
    <t>Intess International, Brazil</t>
  </si>
  <si>
    <t>Paranagua</t>
  </si>
  <si>
    <t>CMAU9203019</t>
  </si>
  <si>
    <t>Unus Holding Ltda., Brazil</t>
  </si>
  <si>
    <t>TCKU7998355</t>
  </si>
  <si>
    <t>CMAU5767052</t>
  </si>
  <si>
    <t>BHCU5042044</t>
  </si>
  <si>
    <t>Mastermarine</t>
  </si>
  <si>
    <t>SEGU4561230</t>
  </si>
  <si>
    <t>BEAU4575530</t>
  </si>
  <si>
    <t>MRKU2014985</t>
  </si>
  <si>
    <t>MRKU3497609</t>
  </si>
  <si>
    <t>MRKU2344478</t>
  </si>
  <si>
    <t>PONU8231640</t>
  </si>
  <si>
    <t>MRSU3839860</t>
  </si>
  <si>
    <t>MRKU4239759</t>
  </si>
  <si>
    <t>FBLU0252155</t>
  </si>
  <si>
    <t>YMMU6811403</t>
  </si>
  <si>
    <t>Aug</t>
  </si>
  <si>
    <t>ONLU4100554</t>
  </si>
  <si>
    <t>Maxim Shipping</t>
  </si>
  <si>
    <t>Aug-25</t>
  </si>
  <si>
    <t>HALU5600797</t>
  </si>
  <si>
    <t>CAXU9375064</t>
  </si>
  <si>
    <t>ECMU9682001</t>
  </si>
  <si>
    <t>MEDU8751818</t>
  </si>
  <si>
    <t>MEDU8752373</t>
  </si>
  <si>
    <t>CMAU3416378</t>
  </si>
  <si>
    <t>TRHU8111910</t>
  </si>
  <si>
    <t>MSNU7618428</t>
  </si>
  <si>
    <t>Colombia</t>
  </si>
  <si>
    <t>MSKU0917470</t>
  </si>
  <si>
    <t>MRKU4390960</t>
  </si>
  <si>
    <t>Inter Cars Hungaria Kft</t>
  </si>
  <si>
    <t>Hungary</t>
  </si>
  <si>
    <t>AF Freighter</t>
  </si>
  <si>
    <t>Budapest</t>
  </si>
  <si>
    <t>YMMU6341399</t>
  </si>
  <si>
    <t>TLLU7869693</t>
  </si>
  <si>
    <t>GRUPO IAL E.I.R.L.</t>
  </si>
  <si>
    <t>EMCU8715271</t>
  </si>
  <si>
    <t>MRSU7465222</t>
  </si>
  <si>
    <t>MRF International</t>
  </si>
  <si>
    <t>MRKU2428820</t>
  </si>
  <si>
    <t>GCXU6243850</t>
  </si>
  <si>
    <t>MRSU3010673</t>
  </si>
  <si>
    <t>MRKU2581130</t>
  </si>
  <si>
    <t>OOCU7388619</t>
  </si>
  <si>
    <t>Kuwait</t>
  </si>
  <si>
    <t>TCNU5482003</t>
  </si>
  <si>
    <t>TCNU3769421</t>
  </si>
  <si>
    <t>HAMU2945675</t>
  </si>
  <si>
    <t>CAAU8799680</t>
  </si>
  <si>
    <t>Inter Cars INT d.o.o. Slovenia</t>
  </si>
  <si>
    <t>Slovenia</t>
  </si>
  <si>
    <t>Vrrddhi Freight</t>
  </si>
  <si>
    <t>Koper</t>
  </si>
  <si>
    <t>MRKU5239732</t>
  </si>
  <si>
    <t>TCKU6882231</t>
  </si>
  <si>
    <t>CIPU5211528</t>
  </si>
  <si>
    <t>MRSU4822049</t>
  </si>
  <si>
    <t>MRSU5871140</t>
  </si>
  <si>
    <t>CSNU7873629</t>
  </si>
  <si>
    <t>SEKU4018716</t>
  </si>
  <si>
    <t>USA</t>
  </si>
  <si>
    <t>UP4 International</t>
  </si>
  <si>
    <t>TCKU7703515</t>
  </si>
  <si>
    <t>CAIU9816379</t>
  </si>
  <si>
    <t>FANU1497747</t>
  </si>
  <si>
    <t>TCNU6160341</t>
  </si>
  <si>
    <t>SUDU6748283</t>
  </si>
  <si>
    <t>HMMU6376103</t>
  </si>
  <si>
    <t>BSIU9290891</t>
  </si>
  <si>
    <t>KOCU4830194</t>
  </si>
  <si>
    <t>Sep</t>
  </si>
  <si>
    <t>SUDU8883132</t>
  </si>
  <si>
    <t>Manzanillo, MX</t>
  </si>
  <si>
    <t>Sep-25</t>
  </si>
  <si>
    <t>MRSU7252274</t>
  </si>
  <si>
    <t>Suministros y Exportaciones Primor</t>
  </si>
  <si>
    <t>Colon Free Zone</t>
  </si>
  <si>
    <t>MRKU2499588</t>
  </si>
  <si>
    <t>TEMU6526390</t>
  </si>
  <si>
    <t>OOCU9012744</t>
  </si>
  <si>
    <t>MRKU2624463</t>
  </si>
  <si>
    <t>TCKU7837999</t>
  </si>
  <si>
    <t>MRKU4315993</t>
  </si>
  <si>
    <t>HAMU1684849</t>
  </si>
  <si>
    <t>FSCU8504990</t>
  </si>
  <si>
    <t>MRKU3610269</t>
  </si>
  <si>
    <t>MRKU5037921</t>
  </si>
  <si>
    <t>HPCU4370544</t>
  </si>
  <si>
    <t>ECMU4897537</t>
  </si>
  <si>
    <t>TIIU6302065</t>
  </si>
  <si>
    <t>CMAU9671895</t>
  </si>
  <si>
    <t>CMAU3630287</t>
  </si>
  <si>
    <t>Saudi Arabia</t>
  </si>
  <si>
    <t>Riyadh</t>
  </si>
  <si>
    <t>TGBU5292852</t>
  </si>
  <si>
    <t>TCNU9113092</t>
  </si>
  <si>
    <t>Get A Grip Tyres Pty Ltd, Australia</t>
  </si>
  <si>
    <t>Australia</t>
  </si>
  <si>
    <t>Cargo World Logistcs</t>
  </si>
  <si>
    <t>FREMANTLE</t>
  </si>
  <si>
    <t>HLBU1166599</t>
  </si>
  <si>
    <t>NIDU5205196</t>
  </si>
  <si>
    <t>CAAU5254558</t>
  </si>
  <si>
    <t>CAAU6348564</t>
  </si>
  <si>
    <t>DURBAN</t>
  </si>
  <si>
    <t>HASU4295647</t>
  </si>
  <si>
    <t>MRSU6206382</t>
  </si>
  <si>
    <t>TCNU2452514</t>
  </si>
  <si>
    <t>Liyana Logistics</t>
  </si>
  <si>
    <t>CSNU1778840</t>
  </si>
  <si>
    <t>UBTS Pte Ltd-Singapore</t>
  </si>
  <si>
    <t>Singapore</t>
  </si>
  <si>
    <t xml:space="preserve">MSDU7151349 </t>
  </si>
  <si>
    <t>TIHI</t>
  </si>
  <si>
    <t>Pommi</t>
  </si>
  <si>
    <t>FFAU6448654</t>
  </si>
  <si>
    <t>Ligentia Global</t>
  </si>
  <si>
    <t>TGBU9809603</t>
  </si>
  <si>
    <t>Oct</t>
  </si>
  <si>
    <t>SEGU6381310</t>
  </si>
  <si>
    <t>Marinair Cargo</t>
  </si>
  <si>
    <t>Oct-25</t>
  </si>
  <si>
    <t>CMAU4482179</t>
  </si>
  <si>
    <t>OOCU8023678</t>
  </si>
  <si>
    <t>HAMU3234028</t>
  </si>
  <si>
    <t>HAMU2514831</t>
  </si>
  <si>
    <t>HLBU2669350</t>
  </si>
  <si>
    <t>SEGU5625880</t>
  </si>
  <si>
    <t>MSKU1830820</t>
  </si>
  <si>
    <t>FEI Cargo</t>
  </si>
  <si>
    <t>BMOU4718533</t>
  </si>
  <si>
    <t>INTER CARS GREECE LTD</t>
  </si>
  <si>
    <t>VS Trans Logitsik</t>
  </si>
  <si>
    <t>Piraeus</t>
  </si>
  <si>
    <t>EGSU1034995</t>
  </si>
  <si>
    <t>MAGU5383000</t>
  </si>
  <si>
    <t>CSNU7816315</t>
  </si>
  <si>
    <t>TLLU5995590</t>
  </si>
  <si>
    <t>BEAU5094123</t>
  </si>
  <si>
    <t>TCLU5410536</t>
  </si>
  <si>
    <t>Genoa</t>
  </si>
  <si>
    <t>UETU6377800</t>
  </si>
  <si>
    <t>HAMU4436825</t>
  </si>
  <si>
    <t>FCIU7098476</t>
  </si>
  <si>
    <t>TCLU8659311</t>
  </si>
  <si>
    <t>HLBU3348268</t>
  </si>
  <si>
    <t>HAMU2415084</t>
  </si>
  <si>
    <t>TGHU6410930</t>
  </si>
  <si>
    <t>DSV Air &amp; Sea</t>
  </si>
  <si>
    <t>CULU6116524</t>
  </si>
  <si>
    <t>EISU9347860</t>
  </si>
  <si>
    <t>ESHU7236503</t>
  </si>
  <si>
    <t>CAIU4218081</t>
  </si>
  <si>
    <t>Autopiezas Comercial E Industrial</t>
  </si>
  <si>
    <t>Paraguay</t>
  </si>
  <si>
    <t>Asuncion Port</t>
  </si>
  <si>
    <t>FANU3832844</t>
  </si>
  <si>
    <t>FANU1515440</t>
  </si>
  <si>
    <t>HAMU1935060</t>
  </si>
  <si>
    <t>MSMU7300480</t>
  </si>
  <si>
    <t>Cargo Marketing</t>
  </si>
  <si>
    <t>TCNU1500808</t>
  </si>
  <si>
    <t>TGBU7566470</t>
  </si>
  <si>
    <t>FFAU3507060</t>
  </si>
  <si>
    <t>FSCU8337229</t>
  </si>
  <si>
    <t>FFAU2632149</t>
  </si>
  <si>
    <t>CLHU9036048</t>
  </si>
  <si>
    <t>MSNU6108836</t>
  </si>
  <si>
    <t>Nov</t>
  </si>
  <si>
    <t>MRKU2500293</t>
  </si>
  <si>
    <t>Transcar Vladi EOOD</t>
  </si>
  <si>
    <t>Nov-25</t>
  </si>
  <si>
    <t>MRSU4011653</t>
  </si>
  <si>
    <t>GCXU6219236</t>
  </si>
  <si>
    <t>FFAU6285520</t>
  </si>
  <si>
    <t>Gastaldi Gomme SNC di Gastaldi</t>
  </si>
  <si>
    <t>Rhenus A&amp;O</t>
  </si>
  <si>
    <t>La Spezia</t>
  </si>
  <si>
    <t>TLLU7991340</t>
  </si>
  <si>
    <t>TGBU7295022</t>
  </si>
  <si>
    <t>MSDU5092714</t>
  </si>
  <si>
    <t>MRKU2789627</t>
  </si>
  <si>
    <t>TLLU5881004</t>
  </si>
  <si>
    <t>TRHU6439685</t>
  </si>
  <si>
    <t>Sri Lanka</t>
  </si>
  <si>
    <t>WHLU5729629</t>
  </si>
  <si>
    <t>Inter Globe Marine</t>
  </si>
  <si>
    <t>MRKU5850119</t>
  </si>
  <si>
    <t>Gdnask</t>
  </si>
  <si>
    <t>SUDU8663673</t>
  </si>
  <si>
    <t>MSKU9304015</t>
  </si>
  <si>
    <t>MRSU5082733</t>
  </si>
  <si>
    <t>HASU4110527</t>
  </si>
  <si>
    <t>HASU4306818</t>
  </si>
  <si>
    <t>MRSU4673217</t>
  </si>
  <si>
    <t>TLLU5667538</t>
  </si>
  <si>
    <t>ONEU5578235</t>
  </si>
  <si>
    <t>TRHU7876627</t>
  </si>
  <si>
    <t>ROYAL TYRES COMMERCIAL (PTY) LTD</t>
  </si>
  <si>
    <t>TXGU8310063</t>
  </si>
  <si>
    <t>CAAU7477890</t>
  </si>
  <si>
    <t>MSBU7285171</t>
  </si>
  <si>
    <t>Pommi Shipping</t>
  </si>
  <si>
    <t>MSBU7285166</t>
  </si>
  <si>
    <t>CSNU5577459</t>
  </si>
  <si>
    <t>MRKU4852842</t>
  </si>
  <si>
    <t>Bodegas, Mexico</t>
  </si>
  <si>
    <t>CAAU7955310</t>
  </si>
  <si>
    <t>MRKU3615300</t>
  </si>
  <si>
    <t>TGBU5245130</t>
  </si>
  <si>
    <t>MRKU2462465</t>
  </si>
  <si>
    <t>MSMU6842677</t>
  </si>
  <si>
    <t>Civitavecchia</t>
  </si>
  <si>
    <t>MSNU7384166</t>
  </si>
  <si>
    <t>TGHU6625857</t>
  </si>
  <si>
    <t>TCKU7994318</t>
  </si>
  <si>
    <t>MRKU5652258</t>
  </si>
  <si>
    <t>TCKU6930710</t>
  </si>
  <si>
    <t>TXGU7183642</t>
  </si>
  <si>
    <t>FSCU7226160</t>
  </si>
  <si>
    <t>GESU6852293</t>
  </si>
  <si>
    <t>CMAU7640869</t>
  </si>
  <si>
    <t>CMAU6141037</t>
  </si>
  <si>
    <t>TRHU6883128</t>
  </si>
  <si>
    <t>SEKU4515902</t>
  </si>
  <si>
    <t>Copadex, France</t>
  </si>
  <si>
    <t>France</t>
  </si>
  <si>
    <t>Jeena &amp; Company</t>
  </si>
  <si>
    <t>LE HAVRE</t>
  </si>
  <si>
    <t>CMAU8792275</t>
  </si>
  <si>
    <t>Dec</t>
  </si>
  <si>
    <t>ARKU8556677</t>
  </si>
  <si>
    <t>Seamax Logistics</t>
  </si>
  <si>
    <t>THESSALONIKI</t>
  </si>
  <si>
    <t>Dec-25</t>
  </si>
  <si>
    <t>ESDU7082379</t>
  </si>
  <si>
    <t>EASA SALEH AL GURG TYRES BATTERIES</t>
  </si>
  <si>
    <t>BDP Global</t>
  </si>
  <si>
    <t>TGBU5109242</t>
  </si>
  <si>
    <t>Primex EOOD</t>
  </si>
  <si>
    <t>Kuehne Nagel</t>
  </si>
  <si>
    <t>Varna</t>
  </si>
  <si>
    <t>HLBU2686661</t>
  </si>
  <si>
    <t>UASU1010810</t>
  </si>
  <si>
    <t>FANU1559772</t>
  </si>
  <si>
    <t>TCNU7539582</t>
  </si>
  <si>
    <t>MEXICO</t>
  </si>
  <si>
    <t>MANZANILLO</t>
  </si>
  <si>
    <t>MSMU8934514</t>
  </si>
  <si>
    <t>MSNU7759391</t>
  </si>
  <si>
    <t>TIIU4300079</t>
  </si>
  <si>
    <t>TXGU5391185</t>
  </si>
  <si>
    <t>TGBU6860279</t>
  </si>
  <si>
    <t>MSNU7045054</t>
  </si>
  <si>
    <t>TCNU4671424</t>
  </si>
  <si>
    <t>CAIU9353470</t>
  </si>
  <si>
    <t>FFAU4732276</t>
  </si>
  <si>
    <t>BEAU4017251</t>
  </si>
  <si>
    <t>CMAU3494540</t>
  </si>
  <si>
    <t>BMOU4806932</t>
  </si>
  <si>
    <t>HAMU2355880</t>
  </si>
  <si>
    <t>Expo Freight</t>
  </si>
  <si>
    <t>San Juan</t>
  </si>
  <si>
    <t>FDCU0291930</t>
  </si>
  <si>
    <t>DHL</t>
  </si>
  <si>
    <t>FFAU1659720</t>
  </si>
  <si>
    <t>TRHU7877515</t>
  </si>
  <si>
    <t>SUDU6801686</t>
  </si>
  <si>
    <t>MRKU5362433</t>
  </si>
  <si>
    <t>HAMU4348431</t>
  </si>
  <si>
    <t>FANU3690903</t>
  </si>
  <si>
    <t>HAMU4655314</t>
  </si>
  <si>
    <t>MSNU7344733</t>
  </si>
  <si>
    <t>Slovakia</t>
  </si>
  <si>
    <t>Hamburg</t>
  </si>
  <si>
    <t>TGHU6226076</t>
  </si>
  <si>
    <t>MSNU9636740</t>
  </si>
  <si>
    <t>DP WORLD</t>
  </si>
  <si>
    <t>Asuncion</t>
  </si>
  <si>
    <t>CAAU5628914</t>
  </si>
  <si>
    <t>BEAU4987266</t>
  </si>
  <si>
    <t>SGRU5029488</t>
  </si>
  <si>
    <t>SUMERU GLOBAL DMCC, Tanzania</t>
  </si>
  <si>
    <t>Zambia</t>
  </si>
  <si>
    <t>Transmarine Vcargo</t>
  </si>
  <si>
    <t>Dar Es Salam</t>
  </si>
  <si>
    <t>UETU6961769</t>
  </si>
  <si>
    <t>TCKU6016068</t>
  </si>
  <si>
    <t>Seven Seas</t>
  </si>
  <si>
    <t>TLLU5949341</t>
  </si>
  <si>
    <t>FFAU3805995</t>
  </si>
  <si>
    <t>Jeena &amp; Co</t>
  </si>
  <si>
    <t>Jan</t>
  </si>
  <si>
    <t>CAIU9480746</t>
  </si>
  <si>
    <t>UNITED MOTORS AND HEAVY EQUIPMENT</t>
  </si>
  <si>
    <t>Oman</t>
  </si>
  <si>
    <t>Emirates Logistics</t>
  </si>
  <si>
    <t>Sohar</t>
  </si>
  <si>
    <t>Jan-26</t>
  </si>
  <si>
    <t>FFAU4016224</t>
  </si>
  <si>
    <t>MSDU8883365</t>
  </si>
  <si>
    <t>MSMU6070758</t>
  </si>
  <si>
    <t>MSDU6713591</t>
  </si>
  <si>
    <t>MSNU8776731</t>
  </si>
  <si>
    <t>GCXU6099228</t>
  </si>
  <si>
    <t>VS Trans Lojistik</t>
  </si>
  <si>
    <t>GAOU7188293</t>
  </si>
  <si>
    <t>ABDUL HADI TRADING CO LLC</t>
  </si>
  <si>
    <t>DPWU9090373</t>
  </si>
  <si>
    <t>ONEU1181609</t>
  </si>
  <si>
    <t>Kooper</t>
  </si>
  <si>
    <t>ONEU6816472</t>
  </si>
  <si>
    <t>FFAU3953415</t>
  </si>
  <si>
    <t>ITAJAI</t>
  </si>
  <si>
    <t>MSNU5280711</t>
  </si>
  <si>
    <t>MSMU7236397</t>
  </si>
  <si>
    <t>BMOU5913792</t>
  </si>
  <si>
    <t>TIIU4204748</t>
  </si>
  <si>
    <t>MSDU8355898</t>
  </si>
  <si>
    <t>SUAPE</t>
  </si>
  <si>
    <t>Oceania</t>
  </si>
  <si>
    <t>CAIU7103532</t>
  </si>
  <si>
    <t>ULTIMATE TYRE SERVICES PTY LTD</t>
  </si>
  <si>
    <t>BRISBANE</t>
  </si>
  <si>
    <t>FFAU6051482</t>
  </si>
  <si>
    <t>MELBOURNE</t>
  </si>
  <si>
    <t>TRHU6109277</t>
  </si>
  <si>
    <t>Wil Haven</t>
  </si>
  <si>
    <t>MSCU5469065</t>
  </si>
  <si>
    <t>MSNU6693556</t>
  </si>
  <si>
    <t>MSDU6061127</t>
  </si>
  <si>
    <t>FFAU2191064</t>
  </si>
  <si>
    <t>CMAU2244968</t>
  </si>
  <si>
    <t>ONEU1374207</t>
  </si>
  <si>
    <t>MP09DN1204</t>
  </si>
  <si>
    <t>Sipradi Autoparts Pvt Ltd</t>
  </si>
  <si>
    <t>Nepal</t>
  </si>
  <si>
    <t>BLR Logistics</t>
  </si>
  <si>
    <t>Road</t>
  </si>
  <si>
    <t>Birganj</t>
  </si>
  <si>
    <t>PB10HA7133</t>
  </si>
  <si>
    <t>MSNU9625998</t>
  </si>
  <si>
    <t>MSMU8830675</t>
  </si>
  <si>
    <t>MSMU5383594</t>
  </si>
  <si>
    <t>MSMU5780246</t>
  </si>
  <si>
    <t>FFAU5907954</t>
  </si>
  <si>
    <t>FFAU3773970</t>
  </si>
  <si>
    <t>TCLU4867174</t>
  </si>
  <si>
    <t>MSDU5644325</t>
  </si>
  <si>
    <t>CMAU7225739</t>
  </si>
  <si>
    <t>Sevenseas</t>
  </si>
  <si>
    <t>MSMU4417431</t>
  </si>
  <si>
    <t>FFAU3711690</t>
  </si>
  <si>
    <t>TRHU5517628</t>
  </si>
  <si>
    <t>MSDU7184403</t>
  </si>
  <si>
    <t>TRHU8002014</t>
  </si>
  <si>
    <t>HMMU7105404</t>
  </si>
  <si>
    <t>ALGECIRAS</t>
  </si>
  <si>
    <t>TGBU7743702</t>
  </si>
  <si>
    <t>SEKU6796347</t>
  </si>
  <si>
    <t>ONEU5340571</t>
  </si>
  <si>
    <t>ONEU5344258</t>
  </si>
  <si>
    <t>Feb</t>
  </si>
  <si>
    <t>CAXU9120309</t>
  </si>
  <si>
    <t>Feb-26</t>
  </si>
  <si>
    <t>TRHU8905859</t>
  </si>
  <si>
    <t>STALKER LTD, Russia</t>
  </si>
  <si>
    <t>Prologis Freight</t>
  </si>
  <si>
    <t>NOVOROSSIYSK</t>
  </si>
  <si>
    <t>MEDU7042401</t>
  </si>
  <si>
    <t>FCIU8230479</t>
  </si>
  <si>
    <t>TIIU4118721</t>
  </si>
  <si>
    <t>ABDUL ZAHIR BASHIR Automotive Trading</t>
  </si>
  <si>
    <t>EITU9520218</t>
  </si>
  <si>
    <t>EITU1352530</t>
  </si>
  <si>
    <t>Vaaridhi</t>
  </si>
  <si>
    <t>MSMU5300753</t>
  </si>
  <si>
    <t>MSMU4579392</t>
  </si>
  <si>
    <t>MSMU7209025</t>
  </si>
  <si>
    <t>MRKU6441985</t>
  </si>
  <si>
    <t>MRSU3797620</t>
  </si>
  <si>
    <t>TLLU6849270</t>
  </si>
  <si>
    <t>INTER CARS HUNGARIA KFT</t>
  </si>
  <si>
    <t>Affreighter Logistics</t>
  </si>
  <si>
    <t>MRKU4782051</t>
  </si>
  <si>
    <t>Callao</t>
  </si>
  <si>
    <t>SUDU5822977</t>
  </si>
  <si>
    <t>CINU9822092</t>
  </si>
  <si>
    <t>Islanders containers</t>
  </si>
  <si>
    <t>CPIU8503637</t>
  </si>
  <si>
    <t>DFSU6805011</t>
  </si>
  <si>
    <t>GCNU4707289</t>
  </si>
  <si>
    <t>GVCU5253415</t>
  </si>
  <si>
    <t>HAMU2244280</t>
  </si>
  <si>
    <t>RELIANT OVERSEAS FZE</t>
  </si>
  <si>
    <t>Nigeria</t>
  </si>
  <si>
    <t>FCA</t>
  </si>
  <si>
    <t>Exim Transtrade</t>
  </si>
  <si>
    <t>Apapa</t>
  </si>
  <si>
    <t>HAMU2903556</t>
  </si>
  <si>
    <t>MRKU2081350</t>
  </si>
  <si>
    <t>Jas Forwarding</t>
  </si>
  <si>
    <t>MRSU5211722</t>
  </si>
  <si>
    <t>PCIU9484360</t>
  </si>
  <si>
    <t>PCIU8800102</t>
  </si>
  <si>
    <t>Melbourne</t>
  </si>
  <si>
    <t>MSNU5443737</t>
  </si>
  <si>
    <t>MSMU4328020</t>
  </si>
  <si>
    <t>MSNU6010222</t>
  </si>
  <si>
    <t>MSNU6577284</t>
  </si>
  <si>
    <t>MSNU9574674</t>
  </si>
  <si>
    <t>MSDU7197247</t>
  </si>
  <si>
    <t>UETU5439148</t>
  </si>
  <si>
    <t>Thomas Tyres, South Africa</t>
  </si>
  <si>
    <t>CMAU3677221</t>
  </si>
  <si>
    <t>Pisces Container</t>
  </si>
  <si>
    <t>CMAU6575115</t>
  </si>
  <si>
    <t>LCLU8031360</t>
  </si>
  <si>
    <t>MSMU7458537</t>
  </si>
  <si>
    <t>HASU4864337</t>
  </si>
  <si>
    <t>Fortune GLS</t>
  </si>
  <si>
    <t>TCNU2782202</t>
  </si>
  <si>
    <t>MSNU8580543</t>
  </si>
  <si>
    <t>Wilhaven</t>
  </si>
  <si>
    <t>MSDU8647457</t>
  </si>
  <si>
    <t>CAAU7352255</t>
  </si>
  <si>
    <t>MSNU6030255</t>
  </si>
  <si>
    <t>CLHU8901497</t>
  </si>
  <si>
    <t>SJ Line</t>
  </si>
  <si>
    <t>HASU4596661</t>
  </si>
  <si>
    <t>MRSU4741224</t>
  </si>
  <si>
    <t>TCKU6878870</t>
  </si>
  <si>
    <t>Latvia</t>
  </si>
  <si>
    <t>AKKU4053108</t>
  </si>
  <si>
    <t>FFAU6156821</t>
  </si>
  <si>
    <t>CAIU8146776</t>
  </si>
  <si>
    <t>TGBU8699538</t>
  </si>
  <si>
    <t>Dammam</t>
  </si>
  <si>
    <t>HAMU4350505</t>
  </si>
  <si>
    <t>HAMU4744345</t>
  </si>
  <si>
    <t>CAAU7814190</t>
  </si>
  <si>
    <t>TCKU6713669</t>
  </si>
  <si>
    <t>TGBU6661169</t>
  </si>
  <si>
    <t>HASU4762361</t>
  </si>
  <si>
    <t>ESDU4269962</t>
  </si>
  <si>
    <t>Mar</t>
  </si>
  <si>
    <t>PCIU8782668</t>
  </si>
  <si>
    <t>Mar-26</t>
  </si>
  <si>
    <t>PCIU9002684</t>
  </si>
  <si>
    <t>CMAU6968051</t>
  </si>
  <si>
    <t>INTER CARS ROMANIA SRL</t>
  </si>
  <si>
    <t>FITU5495102</t>
  </si>
  <si>
    <t>FESCO</t>
  </si>
  <si>
    <t>FFAU4357658</t>
  </si>
  <si>
    <t>Efficient Marine</t>
  </si>
  <si>
    <t>St. Petersburg</t>
  </si>
  <si>
    <t>HNKU6117016</t>
  </si>
  <si>
    <t>TEMU8683608</t>
  </si>
  <si>
    <t>TCNU7689598</t>
  </si>
  <si>
    <t>CAIU8851518</t>
  </si>
  <si>
    <t>MSMU6143134</t>
  </si>
  <si>
    <t>CICU2992160</t>
  </si>
  <si>
    <t>TRHU4549662</t>
  </si>
  <si>
    <t>HASU4213525</t>
  </si>
  <si>
    <t>UETU5335138</t>
  </si>
  <si>
    <t>ONEU5562199</t>
  </si>
  <si>
    <t>ONEU1453570</t>
  </si>
  <si>
    <t>TLLU4199026</t>
  </si>
  <si>
    <t>ONEU1658590</t>
  </si>
  <si>
    <t>ONEU1876611</t>
  </si>
  <si>
    <t>NYKU4817385</t>
  </si>
  <si>
    <t>NYKU0844150</t>
  </si>
  <si>
    <t>TCLU9665685</t>
  </si>
  <si>
    <t>TRHU4171438</t>
  </si>
  <si>
    <t>FFAU2871333</t>
  </si>
  <si>
    <t>ONEU6239025</t>
  </si>
  <si>
    <t>ONEU6362071</t>
  </si>
  <si>
    <t>SLVU4664934</t>
  </si>
  <si>
    <t>MSMU4330054</t>
  </si>
  <si>
    <t xml:space="preserve">CIVITAVECCAHIA </t>
  </si>
  <si>
    <t>TEMU7461165</t>
  </si>
  <si>
    <t>UACU5636380</t>
  </si>
  <si>
    <t>TCLU9241882</t>
  </si>
  <si>
    <t>UACU5772051</t>
  </si>
  <si>
    <t>TCKU7134804</t>
  </si>
  <si>
    <t>GCXU5592970</t>
  </si>
  <si>
    <t>MSKU0059452</t>
  </si>
  <si>
    <t>CAIU8522467</t>
  </si>
  <si>
    <t>HAMU2668652</t>
  </si>
  <si>
    <t>MSDU8755261</t>
  </si>
  <si>
    <t>HAMU2581110</t>
  </si>
  <si>
    <t>HAMU3349114</t>
  </si>
  <si>
    <t>OOLU0475301</t>
  </si>
  <si>
    <t xml:space="preserve">SUPERGRIP INTERNATIONAL (PVT) LTD </t>
  </si>
  <si>
    <t>MSKU9579542</t>
  </si>
  <si>
    <t>Inter Cars</t>
  </si>
  <si>
    <t>Affreighter</t>
  </si>
  <si>
    <t>Bremerhaven</t>
  </si>
  <si>
    <t>CAAU7553990</t>
  </si>
  <si>
    <t>Le Havre</t>
  </si>
  <si>
    <t>MSDU6230417</t>
  </si>
  <si>
    <t>CXDU2152512</t>
  </si>
  <si>
    <t>ONEU6069422</t>
  </si>
  <si>
    <t>SAR Transport</t>
  </si>
  <si>
    <t>FESU5417304</t>
  </si>
  <si>
    <t>CMAU4321934</t>
  </si>
  <si>
    <t>TCNU7971750</t>
  </si>
  <si>
    <t>MSKU1766167</t>
  </si>
  <si>
    <t>WIKU5257430</t>
  </si>
  <si>
    <t>Hub &amp; Links</t>
  </si>
  <si>
    <t>FWRU0269906</t>
  </si>
  <si>
    <t>TGBU6672944</t>
  </si>
  <si>
    <t>Navegantes</t>
  </si>
  <si>
    <t>BMOU6784771</t>
  </si>
  <si>
    <t>MSCU5391774</t>
  </si>
  <si>
    <t>MSMU7061690</t>
  </si>
  <si>
    <t>MEDU4275457</t>
  </si>
  <si>
    <t>FANU3423234</t>
  </si>
  <si>
    <t>FANU3778189</t>
  </si>
  <si>
    <t>FANU3206413</t>
  </si>
  <si>
    <t>MP09BG4560</t>
  </si>
  <si>
    <t>Birgunj</t>
  </si>
  <si>
    <t>UP21FT4668</t>
  </si>
  <si>
    <t>TGBU5144304</t>
  </si>
  <si>
    <t>Brisbane</t>
  </si>
  <si>
    <t>Apr-26</t>
  </si>
  <si>
    <t>SEGU4263431</t>
  </si>
  <si>
    <t>ECNU4001496</t>
  </si>
  <si>
    <t>Joint Limited Liability Company</t>
  </si>
  <si>
    <t>Belarus</t>
  </si>
  <si>
    <t>Somnath Shipping</t>
  </si>
  <si>
    <t>Novorossiysk</t>
  </si>
  <si>
    <t>LYGU4126216</t>
  </si>
  <si>
    <t>SEKU6566025</t>
  </si>
  <si>
    <t>ECNU4016599</t>
  </si>
  <si>
    <t>SEKU6936372</t>
  </si>
  <si>
    <t>SEGU4177190</t>
  </si>
  <si>
    <t>SEKU6537990</t>
  </si>
  <si>
    <t>SEKU6536150</t>
  </si>
  <si>
    <t>BSIU8512103</t>
  </si>
  <si>
    <t>TCNU7563233</t>
  </si>
  <si>
    <t>Africa</t>
  </si>
  <si>
    <t>TGBU9319231</t>
  </si>
  <si>
    <t>Vaal Tyre, South Africa</t>
  </si>
  <si>
    <t>TRHU4809230</t>
  </si>
  <si>
    <t>MRKU2701282</t>
  </si>
  <si>
    <t>ACOSTALLANTAS S.A</t>
  </si>
  <si>
    <t>Varridhi</t>
  </si>
  <si>
    <t>TXGU7455062</t>
  </si>
  <si>
    <t>LLANTAS NARINO SAS</t>
  </si>
  <si>
    <t>FDCU0486757</t>
  </si>
  <si>
    <t>ONEU0267502</t>
  </si>
  <si>
    <t>MSMU6233475</t>
  </si>
  <si>
    <t>FFAU3799439</t>
  </si>
  <si>
    <t>CMAU7358599</t>
  </si>
  <si>
    <t>SUMERU GLOBAL DMCC-Tanzania</t>
  </si>
  <si>
    <t>Tanzania</t>
  </si>
  <si>
    <t>DAR ES SALAAM</t>
  </si>
  <si>
    <t>HASU4820869</t>
  </si>
  <si>
    <t>PC tyres, Mexico</t>
  </si>
  <si>
    <t>TCKU7685670</t>
  </si>
  <si>
    <t>SUMERU GLOBAL DMCC-Rwanda</t>
  </si>
  <si>
    <t>Rwanda</t>
  </si>
  <si>
    <t>Deugro Projects</t>
  </si>
  <si>
    <t>MSKU1745930</t>
  </si>
  <si>
    <t>SUMERU GLOBAL DMCC-Zambia</t>
  </si>
  <si>
    <t>MRKU2310354</t>
  </si>
  <si>
    <t>TCNU4947148</t>
  </si>
  <si>
    <t>MRKU5519158</t>
  </si>
  <si>
    <t>Transcar Vladi, Bulgaria</t>
  </si>
  <si>
    <t>Thessoliniki</t>
  </si>
  <si>
    <t>CAAU8298800</t>
  </si>
  <si>
    <t>MSKU1875640</t>
  </si>
  <si>
    <t>MRSU8325101</t>
  </si>
  <si>
    <t>MSNU9288460</t>
  </si>
  <si>
    <t>MSDU7961709</t>
  </si>
  <si>
    <t>MSMU4850842</t>
  </si>
  <si>
    <t>CPX Distribuidora, Brazil</t>
  </si>
  <si>
    <t>MRSU5019577</t>
  </si>
  <si>
    <t>TRHU6532930</t>
  </si>
  <si>
    <t>FANU1434590</t>
  </si>
  <si>
    <t>Fintyre Spa</t>
  </si>
  <si>
    <t>MSBU5362896</t>
  </si>
  <si>
    <t>CIVITAVECCHIA</t>
  </si>
  <si>
    <t>MSDU5554900</t>
  </si>
  <si>
    <t>HNSU5026207</t>
  </si>
  <si>
    <t>FFAU1409871</t>
  </si>
  <si>
    <t>Inter Cars S.A.</t>
  </si>
  <si>
    <t>TEMU7206811</t>
  </si>
  <si>
    <t>NYKU0795040</t>
  </si>
  <si>
    <t>ONEU0135471</t>
  </si>
  <si>
    <t>ONEU0301865</t>
  </si>
  <si>
    <t>CMAU6547670</t>
  </si>
  <si>
    <t>Royal Tires, South Africa</t>
  </si>
  <si>
    <t>CMAU3342260</t>
  </si>
  <si>
    <t>CMAU3840690</t>
  </si>
  <si>
    <t>CMAU3970137</t>
  </si>
  <si>
    <t>MSBU8751187</t>
  </si>
  <si>
    <t>Autopiezas comercial, Paraguay</t>
  </si>
  <si>
    <t>VAARIDHI Logistics</t>
  </si>
  <si>
    <t>ASUNCION</t>
  </si>
  <si>
    <t>TIIU4122260</t>
  </si>
  <si>
    <t>MSBU5148436</t>
  </si>
  <si>
    <t>Le Harve</t>
  </si>
  <si>
    <t>MSNU6792158</t>
  </si>
  <si>
    <t>TCLU8908604</t>
  </si>
  <si>
    <t>CAAU6394359</t>
  </si>
  <si>
    <t>PC TYRES SA DE CV</t>
  </si>
  <si>
    <t>EGSU9302939</t>
  </si>
  <si>
    <t>Inter Cars, Latvia</t>
  </si>
  <si>
    <t>Riga</t>
  </si>
  <si>
    <t>PSBU3146592</t>
  </si>
  <si>
    <t>Supergrip International, Srilanka</t>
  </si>
  <si>
    <t>UETU6618981</t>
  </si>
  <si>
    <t>TCLU8265473</t>
  </si>
  <si>
    <t>CSGU6016263</t>
  </si>
  <si>
    <t>Obnova Doo Kraljevo</t>
  </si>
  <si>
    <t>Serbia</t>
  </si>
  <si>
    <t>MRSU4088892</t>
  </si>
  <si>
    <t>OOCU7549884</t>
  </si>
  <si>
    <t>Intercars, Lithuania</t>
  </si>
  <si>
    <t>MSKU0831294</t>
  </si>
  <si>
    <t>TLLU5869117</t>
  </si>
  <si>
    <t>CIPU5211370</t>
  </si>
  <si>
    <t>MRSU7449350</t>
  </si>
  <si>
    <t>CAJU5018559</t>
  </si>
  <si>
    <t>TCNU3050398</t>
  </si>
  <si>
    <t>May-26</t>
  </si>
  <si>
    <t>TEMU7632566</t>
  </si>
  <si>
    <t>SEGU4038106</t>
  </si>
  <si>
    <t>TLLU4936442</t>
  </si>
  <si>
    <t>MAGU5549929</t>
  </si>
  <si>
    <t>TRHU6227177</t>
  </si>
  <si>
    <t>Navio Shipping</t>
  </si>
  <si>
    <t>Said</t>
  </si>
  <si>
    <t>MSKU0356487</t>
  </si>
  <si>
    <t>SUDU8644652</t>
  </si>
  <si>
    <t>Bahwan, Saudi</t>
  </si>
  <si>
    <t>MM Global</t>
  </si>
  <si>
    <t>Jeddah</t>
  </si>
  <si>
    <t>MRSU4990660</t>
  </si>
  <si>
    <t>Marine Air</t>
  </si>
  <si>
    <t>MSDU7996346</t>
  </si>
  <si>
    <t>Inter Cars, Romania</t>
  </si>
  <si>
    <t>TRHU8651327</t>
  </si>
  <si>
    <t>CMAU4805245</t>
  </si>
  <si>
    <t>Inter Cars, Croatia</t>
  </si>
  <si>
    <t>CMAU7694891</t>
  </si>
  <si>
    <t>ATDU4045152</t>
  </si>
  <si>
    <t>West Lake, Russia</t>
  </si>
  <si>
    <t>MODU0058290</t>
  </si>
  <si>
    <t>HASU4745045</t>
  </si>
  <si>
    <t>Deugro</t>
  </si>
  <si>
    <t>Dar es Salaam</t>
  </si>
  <si>
    <t>SUDU8643487</t>
  </si>
  <si>
    <t>FFAU7261328</t>
  </si>
  <si>
    <t>SUMERU GLOBAL DMCC-Uganda</t>
  </si>
  <si>
    <t>Uganda</t>
  </si>
  <si>
    <t>FFAU7400043</t>
  </si>
  <si>
    <t>TCLU8276098</t>
  </si>
  <si>
    <t>MEDU4940475</t>
  </si>
  <si>
    <t>Autopiezas comercial E Industrial</t>
  </si>
  <si>
    <t>VAARIDHI LOGISTICS</t>
  </si>
  <si>
    <t>TGCU5111840</t>
  </si>
  <si>
    <t>TCNU1210619</t>
  </si>
  <si>
    <t>Inter Cars, Greece</t>
  </si>
  <si>
    <t>TCNU7536990</t>
  </si>
  <si>
    <t>CAAU6140673</t>
  </si>
  <si>
    <t>DFSU7420890</t>
  </si>
  <si>
    <t>TCNU3353481</t>
  </si>
  <si>
    <t>BAHWAN COMMERCIAL COMPANY</t>
  </si>
  <si>
    <t>CMAU9607788</t>
  </si>
  <si>
    <t>Sumeru Global, Mozambique</t>
  </si>
  <si>
    <t>Mozambique</t>
  </si>
  <si>
    <t>Beira</t>
  </si>
  <si>
    <t>TCNU4375145</t>
  </si>
  <si>
    <t>MSBU7841727</t>
  </si>
  <si>
    <t>Redllantas, Colombia</t>
  </si>
  <si>
    <t>MSMU7117994</t>
  </si>
  <si>
    <t>MSDU8177688</t>
  </si>
  <si>
    <t>United Motors, Oman</t>
  </si>
  <si>
    <t>MSNU8881059</t>
  </si>
  <si>
    <t>FFAU4061645</t>
  </si>
  <si>
    <t>TIIU5156006</t>
  </si>
  <si>
    <t>MSNU7231418</t>
  </si>
  <si>
    <t>FFAU5575778</t>
  </si>
  <si>
    <t>MRSU6001968</t>
  </si>
  <si>
    <t>MSMU8828786</t>
  </si>
  <si>
    <t>Easa Saleh Al Gurg,  UAE</t>
  </si>
  <si>
    <t>MSNU7609806</t>
  </si>
  <si>
    <t>MSDU6900036</t>
  </si>
  <si>
    <t>PREXX Comercio, Brazil</t>
  </si>
  <si>
    <t>NAVEGANTES</t>
  </si>
  <si>
    <t>MSMU4742473</t>
  </si>
  <si>
    <t>TCNU2350580</t>
  </si>
  <si>
    <t>Varridhi Logistics</t>
  </si>
  <si>
    <t>MEDU7172220</t>
  </si>
  <si>
    <t>TCNU7347830</t>
  </si>
  <si>
    <t>Grupo IAL, Peru.</t>
  </si>
  <si>
    <t>Freight Bridge</t>
  </si>
  <si>
    <t>Callo</t>
  </si>
  <si>
    <t>MRSU5801591</t>
  </si>
  <si>
    <t>TIIU4657488</t>
  </si>
  <si>
    <t>Dheera Auto Tyres, Bahrain</t>
  </si>
  <si>
    <t>Bahrain</t>
  </si>
  <si>
    <t xml:space="preserve">GFL FREIGHT SERVICES </t>
  </si>
  <si>
    <t>BAHRAIN</t>
  </si>
  <si>
    <t>TRHU6809007</t>
  </si>
  <si>
    <t>ONEU6486447</t>
  </si>
  <si>
    <t>CAAU4861095</t>
  </si>
  <si>
    <t>GAOU7456380</t>
  </si>
  <si>
    <t>OOLU0362671</t>
  </si>
  <si>
    <t>ARKU8457674</t>
  </si>
  <si>
    <t>Primex, Bulgaria</t>
  </si>
  <si>
    <t>Mega Move</t>
  </si>
  <si>
    <t>Sipradi Autoparts, Nepal</t>
  </si>
  <si>
    <t>OOLU1985172</t>
  </si>
  <si>
    <t>Financial Year</t>
  </si>
  <si>
    <t>Quarter</t>
  </si>
  <si>
    <t>Geography / Region</t>
  </si>
  <si>
    <t>INCO Terms</t>
  </si>
  <si>
    <t>Line / Carrier</t>
  </si>
  <si>
    <t>Planned Date</t>
  </si>
  <si>
    <t>Loading Date</t>
  </si>
  <si>
    <t>Total Cost (USD)</t>
  </si>
  <si>
    <t>SortKey</t>
  </si>
  <si>
    <t>All Customers</t>
  </si>
  <si>
    <t>INVERSIONES Y SERVICIOS BRIFABR  I 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</si>
</sst>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\$#,##0.00;&quot;($&quot;#,##0.00\);\-"/>
    <numFmt numFmtId="165" formatCode="d\-mmm"/>
    <numFmt numFmtId="166" formatCode="_ * #,##0.00_ ;_ * \-#,##0.00_ ;_ * \-??_ ;_ @_ "/>
    <numFmt numFmtId="167" formatCode="_ * #,##0_ ;_ * \-#,##0_ ;_ * \-??_ ;_ @_ "/>
    <numFmt numFmtId="168" formatCode="d\-mmm\-yy"/>
    <numFmt numFmtId="169" formatCode="[$-4009]dd/mm/yy;@"/>
    <numFmt numFmtId="170" formatCode="dd\-mm\-yyyy"/>
    <numFmt numFmtId="172" formatCode="\$#,##0;&quot;($&quot;#,##0\);\-"/>
  </numFmts>
  <fonts count="20" x14ac:knownFonts="1">
    <font>
      <sz val="11"/>
      <color theme="1"/>
      <name val="Calibri"/>
      <family val="2"/>
      <charset val="1"/>
    </font>
    <font>
      <sz val="11"/>
      <color theme="1"/>
      <name val="Georgia"/>
      <family val="1"/>
      <charset val="1"/>
    </font>
    <font>
      <b/>
      <sz val="18"/>
      <color rgb="FFFFFFFF"/>
      <name val="Georgia"/>
      <family val="1"/>
      <charset val="1"/>
    </font>
    <font>
      <i/>
      <sz val="11"/>
      <color rgb="FF595959"/>
      <name val="Georgia"/>
      <family val="1"/>
      <charset val="1"/>
    </font>
    <font>
      <b/>
      <sz val="11"/>
      <name val="Georgia"/>
      <family val="1"/>
      <charset val="1"/>
    </font>
    <font>
      <b/>
      <sz val="11"/>
      <color rgb="FF1F3864"/>
      <name val="Georgia"/>
      <family val="1"/>
      <charset val="1"/>
    </font>
    <font>
      <i/>
      <sz val="9"/>
      <color rgb="FF808080"/>
      <name val="Georgia"/>
      <family val="1"/>
    </font>
    <font>
      <b/>
      <sz val="13"/>
      <color rgb="FFFFFFFF"/>
      <name val="Georgia"/>
      <family val="1"/>
      <charset val="1"/>
    </font>
    <font>
      <b/>
      <sz val="10"/>
      <color rgb="FFFFFFFF"/>
      <name val="Georgia"/>
      <family val="1"/>
      <charset val="1"/>
    </font>
    <font>
      <sz val="10"/>
      <name val="Georgia"/>
      <family val="1"/>
      <charset val="1"/>
    </font>
    <font>
      <b/>
      <sz val="11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i/>
      <sz val="9"/>
      <color rgb="FF808080"/>
      <name val="Cambria"/>
      <family val="1"/>
      <charset val="1"/>
    </font>
    <font>
      <b/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4472C4"/>
        <bgColor rgb="FF305496"/>
      </patternFill>
    </fill>
    <fill>
      <patternFill patternType="solid">
        <fgColor rgb="FFF2F2F2"/>
        <bgColor rgb="FFEDEDED"/>
      </patternFill>
    </fill>
    <fill>
      <patternFill patternType="solid">
        <fgColor rgb="FFFFF2CC"/>
        <bgColor rgb="FFF2F2F2"/>
      </patternFill>
    </fill>
    <fill>
      <patternFill patternType="solid">
        <fgColor rgb="FF305496"/>
        <bgColor rgb="FF1F38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/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164" fontId="9" fillId="0" borderId="2" xfId="0" applyNumberFormat="1" applyFont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/>
    </xf>
    <xf numFmtId="164" fontId="9" fillId="5" borderId="2" xfId="0" applyNumberFormat="1" applyFont="1" applyFill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/>
    </xf>
    <xf numFmtId="0" fontId="0" fillId="0" borderId="0" xfId="0" applyAlignment="1"/>
    <xf numFmtId="0" fontId="10" fillId="0" borderId="0" xfId="0" applyFont="1" applyAlignment="1"/>
    <xf numFmtId="2" fontId="11" fillId="6" borderId="3" xfId="0" applyNumberFormat="1" applyFont="1" applyFill="1" applyBorder="1" applyAlignment="1"/>
    <xf numFmtId="0" fontId="13" fillId="7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3" fontId="15" fillId="0" borderId="3" xfId="0" applyNumberFormat="1" applyFont="1" applyBorder="1" applyAlignment="1">
      <alignment horizontal="right" vertical="center"/>
    </xf>
    <xf numFmtId="4" fontId="14" fillId="0" borderId="3" xfId="0" applyNumberFormat="1" applyFont="1" applyBorder="1" applyAlignment="1">
      <alignment horizontal="right" vertical="center"/>
    </xf>
    <xf numFmtId="0" fontId="14" fillId="5" borderId="3" xfId="0" applyFont="1" applyFill="1" applyBorder="1" applyAlignment="1">
      <alignment horizontal="left" vertical="center"/>
    </xf>
    <xf numFmtId="3" fontId="15" fillId="5" borderId="3" xfId="0" applyNumberFormat="1" applyFont="1" applyFill="1" applyBorder="1" applyAlignment="1">
      <alignment horizontal="right" vertical="center"/>
    </xf>
    <xf numFmtId="4" fontId="14" fillId="5" borderId="3" xfId="0" applyNumberFormat="1" applyFont="1" applyFill="1" applyBorder="1" applyAlignment="1">
      <alignment horizontal="right" vertical="center"/>
    </xf>
    <xf numFmtId="0" fontId="16" fillId="0" borderId="0" xfId="0" applyFont="1" applyAlignment="1"/>
    <xf numFmtId="165" fontId="17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66" fontId="18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65" fontId="0" fillId="0" borderId="0" xfId="0" applyNumberForma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165" fontId="0" fillId="0" borderId="0" xfId="0" applyNumberFormat="1" applyFont="1" applyAlignment="1">
      <alignment horizontal="left" vertical="center"/>
    </xf>
    <xf numFmtId="167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8" fontId="0" fillId="0" borderId="0" xfId="0" applyNumberFormat="1" applyAlignment="1">
      <alignment horizontal="left" vertical="center"/>
    </xf>
    <xf numFmtId="169" fontId="0" fillId="0" borderId="0" xfId="0" applyNumberFormat="1" applyFont="1" applyAlignment="1">
      <alignment horizontal="left" vertical="center"/>
    </xf>
    <xf numFmtId="167" fontId="0" fillId="0" borderId="0" xfId="0" applyNumberFormat="1" applyAlignment="1">
      <alignment horizontal="center" vertical="center"/>
    </xf>
    <xf numFmtId="0" fontId="8" fillId="7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left"/>
    </xf>
    <xf numFmtId="0" fontId="9" fillId="5" borderId="4" xfId="0" applyFont="1" applyFill="1" applyBorder="1" applyAlignment="1">
      <alignment horizontal="center"/>
    </xf>
    <xf numFmtId="170" fontId="9" fillId="5" borderId="4" xfId="0" applyNumberFormat="1" applyFont="1" applyFill="1" applyBorder="1" applyAlignment="1">
      <alignment horizontal="center"/>
    </xf>
    <xf numFmtId="4" fontId="9" fillId="5" borderId="4" xfId="0" applyNumberFormat="1" applyFont="1" applyFill="1" applyBorder="1" applyAlignment="1">
      <alignment horizontal="right"/>
    </xf>
    <xf numFmtId="0" fontId="9" fillId="0" borderId="4" xfId="0" applyFont="1" applyBorder="1" applyAlignment="1">
      <alignment horizontal="left"/>
    </xf>
    <xf numFmtId="0" fontId="9" fillId="0" borderId="4" xfId="0" applyFont="1" applyBorder="1" applyAlignment="1">
      <alignment horizontal="center"/>
    </xf>
    <xf numFmtId="170" fontId="9" fillId="0" borderId="4" xfId="0" applyNumberFormat="1" applyFont="1" applyBorder="1" applyAlignment="1">
      <alignment horizontal="center"/>
    </xf>
    <xf numFmtId="4" fontId="9" fillId="0" borderId="4" xfId="0" applyNumberFormat="1" applyFont="1" applyBorder="1" applyAlignment="1">
      <alignment horizontal="right"/>
    </xf>
    <xf numFmtId="168" fontId="1" fillId="0" borderId="0" xfId="0" applyNumberFormat="1" applyFont="1" applyAlignment="1">
      <alignment horizontal="left" vertical="center"/>
    </xf>
    <xf numFmtId="165" fontId="9" fillId="0" borderId="4" xfId="0" applyNumberFormat="1" applyFont="1" applyBorder="1" applyAlignment="1">
      <alignment horizontal="left"/>
    </xf>
    <xf numFmtId="165" fontId="9" fillId="5" borderId="4" xfId="0" applyNumberFormat="1" applyFont="1" applyFill="1" applyBorder="1" applyAlignment="1">
      <alignment horizontal="left"/>
    </xf>
    <xf numFmtId="0" fontId="7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left" vertical="center" indent="1"/>
    </xf>
    <xf numFmtId="172" fontId="9" fillId="0" borderId="2" xfId="0" applyNumberFormat="1" applyFont="1" applyBorder="1" applyAlignment="1">
      <alignment horizontal="center" vertical="center"/>
    </xf>
    <xf numFmtId="172" fontId="9" fillId="5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68871120334488"/>
        </patternFill>
      </fill>
    </dxf>
    <dxf>
      <fill>
        <patternFill>
          <bgColor theme="6" tint="0.79979857783745845"/>
        </patternFill>
      </fill>
    </dxf>
    <dxf>
      <fill>
        <patternFill>
          <bgColor rgb="FF92D050"/>
        </patternFill>
      </fill>
    </dxf>
    <dxf>
      <fill>
        <patternFill>
          <bgColor theme="5" tint="-0.249977111117893"/>
        </patternFill>
      </fill>
    </dxf>
    <dxf>
      <fill>
        <patternFill>
          <bgColor theme="8" tint="0.59978026673177287"/>
        </patternFill>
      </fill>
    </dxf>
    <dxf>
      <fill>
        <patternFill>
          <bgColor theme="6" tint="0.79979857783745845"/>
        </patternFill>
      </fill>
    </dxf>
    <dxf>
      <fill>
        <patternFill>
          <bgColor rgb="FF92D050"/>
        </patternFill>
      </fill>
    </dxf>
    <dxf>
      <fill>
        <patternFill>
          <bgColor theme="5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D9E1F2"/>
      <rgbColor rgb="FFD9D9D9"/>
      <rgbColor rgb="FFD0D0D0"/>
      <rgbColor rgb="FFFF99CC"/>
      <rgbColor rgb="FFCC99FF"/>
      <rgbColor rgb="FFFFC7CE"/>
      <rgbColor rgb="FF4472C4"/>
      <rgbColor rgb="FF33CCCC"/>
      <rgbColor rgb="FF92D05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showGridLines="0" zoomScaleNormal="100" workbookViewId="0">
      <pane ySplit="4" topLeftCell="A5" activePane="bottomLeft" state="frozen"/>
      <selection pane="bottomLeft" activeCell="L10" sqref="L10"/>
    </sheetView>
  </sheetViews>
  <sheetFormatPr defaultColWidth="8.6640625" defaultRowHeight="13.8" x14ac:dyDescent="0.25"/>
  <cols>
    <col min="1" max="1" width="6.44140625" style="1" customWidth="1"/>
    <col min="2" max="2" width="21.33203125" style="1" bestFit="1" customWidth="1"/>
    <col min="3" max="4" width="16" style="1" customWidth="1"/>
    <col min="5" max="6" width="18" style="1" customWidth="1"/>
    <col min="7" max="7" width="12" style="1" customWidth="1"/>
    <col min="8" max="8" width="19" style="1" customWidth="1"/>
    <col min="9" max="9" width="22" style="1" customWidth="1"/>
    <col min="10" max="10" width="20.77734375" style="1" customWidth="1"/>
    <col min="11" max="12" width="8.6640625" style="1"/>
    <col min="13" max="14" width="13" style="1" hidden="1" customWidth="1"/>
    <col min="15" max="17" width="8.6640625" style="1"/>
    <col min="18" max="19" width="13" style="1" hidden="1" customWidth="1"/>
    <col min="20" max="16384" width="8.6640625" style="1"/>
  </cols>
  <sheetData>
    <row r="1" spans="1:14" ht="31.5" customHeight="1" x14ac:dyDescent="0.25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</row>
    <row r="2" spans="1:14" ht="18" customHeigh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</row>
    <row r="4" spans="1:14" ht="15" customHeight="1" x14ac:dyDescent="0.25">
      <c r="B4" s="2" t="s">
        <v>1</v>
      </c>
      <c r="C4" s="53" t="s">
        <v>221</v>
      </c>
      <c r="D4" s="53"/>
      <c r="E4" s="53"/>
    </row>
    <row r="5" spans="1:14" ht="15" customHeight="1" x14ac:dyDescent="0.25">
      <c r="B5" s="2" t="s">
        <v>3</v>
      </c>
      <c r="C5" s="53"/>
      <c r="D5" s="53"/>
      <c r="E5" s="53"/>
      <c r="F5" s="3"/>
    </row>
    <row r="6" spans="1:14" ht="21.75" customHeight="1" x14ac:dyDescent="0.25">
      <c r="A6" s="50" t="s">
        <v>4</v>
      </c>
      <c r="B6" s="50"/>
      <c r="C6" s="50"/>
      <c r="D6" s="50"/>
      <c r="E6" s="50"/>
      <c r="F6" s="50"/>
      <c r="G6" s="50"/>
      <c r="H6" s="50"/>
      <c r="I6" s="50"/>
      <c r="J6" s="50"/>
    </row>
    <row r="7" spans="1:14" ht="25.5" customHeight="1" x14ac:dyDescent="0.25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</row>
    <row r="8" spans="1:14" ht="15" customHeight="1" x14ac:dyDescent="0.25">
      <c r="A8" s="5">
        <v>1</v>
      </c>
      <c r="B8" s="6" t="str">
        <f>IFERROR(INDEX(Combination!$C$2:$C$2628,$N8),"")</f>
        <v>S.A</v>
      </c>
      <c r="C8" s="5" t="str">
        <f>IFERROR(INDEX(Combination!$F$2:$F$2628,$N8),"")</f>
        <v>ICD Dhannad</v>
      </c>
      <c r="D8" s="5" t="str">
        <f>IFERROR(INDEX(Combination!$G$2:$G$2628,$N8),"")</f>
        <v>Buenaventura</v>
      </c>
      <c r="E8" s="6" t="str">
        <f>IFERROR(INDEX(Combination!$H$2:$H$2628,$N8),"")</f>
        <v>Clearship</v>
      </c>
      <c r="F8" s="5" t="str">
        <f>IFERROR(INDEX(Combination!$J$2:$J$2628,$N8),"")</f>
        <v>CMA</v>
      </c>
      <c r="G8" s="5" t="str">
        <f>IFERROR(INDEX(Combination!$I$2:$I$2628,$N8),"")</f>
        <v>CIF</v>
      </c>
      <c r="H8" s="7">
        <f>IFERROR(INDEX(Combination!$O$2:$O$2628,$N8),"")</f>
        <v>0</v>
      </c>
      <c r="I8" s="7">
        <f>IFERROR(INDEX(Combination!$N$2:$N$2628,$N8),"")</f>
        <v>1490</v>
      </c>
      <c r="J8" s="7">
        <f>IFERROR(INDEX(Combination!$P$2:$P$2628,$N8),"")</f>
        <v>1490</v>
      </c>
      <c r="M8" s="1">
        <f>IFERROR(SMALL(Combination!$Q$2:$Q$2628,$A8),"")</f>
        <v>1490.0000319999999</v>
      </c>
      <c r="N8" s="1">
        <f>IFERROR(MATCH($M8,Combination!$Q$2:$Q$2628,0),"")</f>
        <v>319</v>
      </c>
    </row>
    <row r="9" spans="1:14" ht="15" customHeight="1" x14ac:dyDescent="0.25">
      <c r="A9" s="8">
        <v>2</v>
      </c>
      <c r="B9" s="9" t="str">
        <f>IFERROR(INDEX(Combination!$C$2:$C$2628,$N9),"")</f>
        <v>S.A</v>
      </c>
      <c r="C9" s="8" t="str">
        <f>IFERROR(INDEX(Combination!$F$2:$F$2628,$N9),"")</f>
        <v>ICD Dhannad</v>
      </c>
      <c r="D9" s="8" t="str">
        <f>IFERROR(INDEX(Combination!$G$2:$G$2628,$N9),"")</f>
        <v>Buenaventura</v>
      </c>
      <c r="E9" s="9" t="str">
        <f>IFERROR(INDEX(Combination!$H$2:$H$2628,$N9),"")</f>
        <v>Clearship</v>
      </c>
      <c r="F9" s="8" t="str">
        <f>IFERROR(INDEX(Combination!$J$2:$J$2628,$N9),"")</f>
        <v>CMA</v>
      </c>
      <c r="G9" s="8" t="str">
        <f>IFERROR(INDEX(Combination!$I$2:$I$2628,$N9),"")</f>
        <v>CIF</v>
      </c>
      <c r="H9" s="10">
        <f>IFERROR(INDEX(Combination!$O$2:$O$2628,$N9),"")</f>
        <v>0</v>
      </c>
      <c r="I9" s="10">
        <f>IFERROR(INDEX(Combination!$N$2:$N$2628,$N9),"")</f>
        <v>1490</v>
      </c>
      <c r="J9" s="10">
        <f>IFERROR(INDEX(Combination!$P$2:$P$2628,$N9),"")</f>
        <v>1490</v>
      </c>
      <c r="M9" s="1">
        <f>IFERROR(SMALL(Combination!$Q$2:$Q$2628,$A9),"")</f>
        <v>1490.0000321</v>
      </c>
      <c r="N9" s="1">
        <f>IFERROR(MATCH($M9,Combination!$Q$2:$Q$2628,0),"")</f>
        <v>320</v>
      </c>
    </row>
    <row r="10" spans="1:14" ht="15" customHeight="1" x14ac:dyDescent="0.25">
      <c r="A10" s="5">
        <v>3</v>
      </c>
      <c r="B10" s="6" t="str">
        <f>IFERROR(INDEX(Combination!$C$2:$C$2628,$N10),"")</f>
        <v>S.A</v>
      </c>
      <c r="C10" s="5" t="str">
        <f>IFERROR(INDEX(Combination!$F$2:$F$2628,$N10),"")</f>
        <v>ICD Dhannad</v>
      </c>
      <c r="D10" s="5" t="str">
        <f>IFERROR(INDEX(Combination!$G$2:$G$2628,$N10),"")</f>
        <v>Buenaventura</v>
      </c>
      <c r="E10" s="6" t="str">
        <f>IFERROR(INDEX(Combination!$H$2:$H$2628,$N10),"")</f>
        <v>Sanjay Forwarder</v>
      </c>
      <c r="F10" s="5" t="str">
        <f>IFERROR(INDEX(Combination!$J$2:$J$2628,$N10),"")</f>
        <v>Maersk</v>
      </c>
      <c r="G10" s="5" t="str">
        <f>IFERROR(INDEX(Combination!$I$2:$I$2628,$N10),"")</f>
        <v>CIF</v>
      </c>
      <c r="H10" s="7">
        <f>IFERROR(INDEX(Combination!$O$2:$O$2628,$N10),"")</f>
        <v>0</v>
      </c>
      <c r="I10" s="7">
        <f>IFERROR(INDEX(Combination!$N$2:$N$2628,$N10),"")</f>
        <v>2450</v>
      </c>
      <c r="J10" s="7">
        <f>IFERROR(INDEX(Combination!$P$2:$P$2628,$N10),"")</f>
        <v>2450</v>
      </c>
      <c r="M10" s="1">
        <f>IFERROR(SMALL(Combination!$Q$2:$Q$2628,$A10),"")</f>
        <v>2450.0000058000001</v>
      </c>
      <c r="N10" s="1">
        <f>IFERROR(MATCH($M10,Combination!$Q$2:$Q$2628,0),"")</f>
        <v>57</v>
      </c>
    </row>
    <row r="11" spans="1:14" ht="15" customHeight="1" x14ac:dyDescent="0.25">
      <c r="A11" s="8">
        <v>4</v>
      </c>
      <c r="B11" s="9" t="str">
        <f>IFERROR(INDEX(Combination!$C$2:$C$2628,$N11),"")</f>
        <v>S.A</v>
      </c>
      <c r="C11" s="8" t="str">
        <f>IFERROR(INDEX(Combination!$F$2:$F$2628,$N11),"")</f>
        <v>ICD Dhannad</v>
      </c>
      <c r="D11" s="8" t="str">
        <f>IFERROR(INDEX(Combination!$G$2:$G$2628,$N11),"")</f>
        <v>Buenaventura</v>
      </c>
      <c r="E11" s="9" t="str">
        <f>IFERROR(INDEX(Combination!$H$2:$H$2628,$N11),"")</f>
        <v>Sanjay Forwarder</v>
      </c>
      <c r="F11" s="8" t="str">
        <f>IFERROR(INDEX(Combination!$J$2:$J$2628,$N11),"")</f>
        <v>Maersk</v>
      </c>
      <c r="G11" s="8" t="str">
        <f>IFERROR(INDEX(Combination!$I$2:$I$2628,$N11),"")</f>
        <v>CIF</v>
      </c>
      <c r="H11" s="10">
        <f>IFERROR(INDEX(Combination!$O$2:$O$2628,$N11),"")</f>
        <v>0</v>
      </c>
      <c r="I11" s="10">
        <f>IFERROR(INDEX(Combination!$N$2:$N$2628,$N11),"")</f>
        <v>2550</v>
      </c>
      <c r="J11" s="10">
        <f>IFERROR(INDEX(Combination!$P$2:$P$2628,$N11),"")</f>
        <v>2550</v>
      </c>
      <c r="M11" s="1">
        <f>IFERROR(SMALL(Combination!$Q$2:$Q$2628,$A11),"")</f>
        <v>2550.0000196000001</v>
      </c>
      <c r="N11" s="1">
        <f>IFERROR(MATCH($M11,Combination!$Q$2:$Q$2628,0),"")</f>
        <v>195</v>
      </c>
    </row>
    <row r="12" spans="1:14" ht="15" customHeight="1" x14ac:dyDescent="0.25">
      <c r="A12" s="5">
        <v>5</v>
      </c>
      <c r="B12" s="6" t="str">
        <f>IFERROR(INDEX(Combination!$C$2:$C$2628,$N12),"")</f>
        <v>S.A</v>
      </c>
      <c r="C12" s="5" t="str">
        <f>IFERROR(INDEX(Combination!$F$2:$F$2628,$N12),"")</f>
        <v>Nhava Sheva</v>
      </c>
      <c r="D12" s="5" t="str">
        <f>IFERROR(INDEX(Combination!$G$2:$G$2628,$N12),"")</f>
        <v>Buenaventura</v>
      </c>
      <c r="E12" s="6" t="str">
        <f>IFERROR(INDEX(Combination!$H$2:$H$2628,$N12),"")</f>
        <v>Clearship</v>
      </c>
      <c r="F12" s="5" t="str">
        <f>IFERROR(INDEX(Combination!$J$2:$J$2628,$N12),"")</f>
        <v>Maersk</v>
      </c>
      <c r="G12" s="5" t="str">
        <f>IFERROR(INDEX(Combination!$I$2:$I$2628,$N12),"")</f>
        <v>CIF</v>
      </c>
      <c r="H12" s="7">
        <f>IFERROR(INDEX(Combination!$O$2:$O$2628,$N12),"")</f>
        <v>1148.588888888889</v>
      </c>
      <c r="I12" s="7">
        <f>IFERROR(INDEX(Combination!$N$2:$N$2628,$N12),"")</f>
        <v>1550</v>
      </c>
      <c r="J12" s="7">
        <f>IFERROR(INDEX(Combination!$P$2:$P$2628,$N12),"")</f>
        <v>2698.588888888889</v>
      </c>
      <c r="M12" s="1">
        <f>IFERROR(SMALL(Combination!$Q$2:$Q$2628,$A12),"")</f>
        <v>2698.5889286888892</v>
      </c>
      <c r="N12" s="1">
        <f>IFERROR(MATCH($M12,Combination!$Q$2:$Q$2628,0),"")</f>
        <v>397</v>
      </c>
    </row>
    <row r="13" spans="1:14" ht="15" customHeight="1" x14ac:dyDescent="0.25">
      <c r="A13" s="8">
        <v>6</v>
      </c>
      <c r="B13" s="9" t="str">
        <f>IFERROR(INDEX(Combination!$C$2:$C$2628,$N13),"")</f>
        <v>S.A</v>
      </c>
      <c r="C13" s="8" t="str">
        <f>IFERROR(INDEX(Combination!$F$2:$F$2628,$N13),"")</f>
        <v>Nhava Sheva</v>
      </c>
      <c r="D13" s="8" t="str">
        <f>IFERROR(INDEX(Combination!$G$2:$G$2628,$N13),"")</f>
        <v>Buenaventura</v>
      </c>
      <c r="E13" s="9" t="str">
        <f>IFERROR(INDEX(Combination!$H$2:$H$2628,$N13),"")</f>
        <v>Clearship</v>
      </c>
      <c r="F13" s="8" t="str">
        <f>IFERROR(INDEX(Combination!$J$2:$J$2628,$N13),"")</f>
        <v>Maersk</v>
      </c>
      <c r="G13" s="8" t="str">
        <f>IFERROR(INDEX(Combination!$I$2:$I$2628,$N13),"")</f>
        <v>CIF</v>
      </c>
      <c r="H13" s="10">
        <f>IFERROR(INDEX(Combination!$O$2:$O$2628,$N13),"")</f>
        <v>1148.588888888889</v>
      </c>
      <c r="I13" s="10">
        <f>IFERROR(INDEX(Combination!$N$2:$N$2628,$N13),"")</f>
        <v>1550</v>
      </c>
      <c r="J13" s="10">
        <f>IFERROR(INDEX(Combination!$P$2:$P$2628,$N13),"")</f>
        <v>2698.588888888889</v>
      </c>
      <c r="M13" s="1">
        <f>IFERROR(SMALL(Combination!$Q$2:$Q$2628,$A13),"")</f>
        <v>2698.588928788889</v>
      </c>
      <c r="N13" s="1">
        <f>IFERROR(MATCH($M13,Combination!$Q$2:$Q$2628,0),"")</f>
        <v>398</v>
      </c>
    </row>
    <row r="14" spans="1:14" ht="15" customHeight="1" x14ac:dyDescent="0.25">
      <c r="A14" s="5">
        <v>7</v>
      </c>
      <c r="B14" s="6" t="str">
        <f>IFERROR(INDEX(Combination!$C$2:$C$2628,$N14),"")</f>
        <v>S.A</v>
      </c>
      <c r="C14" s="5" t="str">
        <f>IFERROR(INDEX(Combination!$F$2:$F$2628,$N14),"")</f>
        <v>Nhava Sheva</v>
      </c>
      <c r="D14" s="5" t="str">
        <f>IFERROR(INDEX(Combination!$G$2:$G$2628,$N14),"")</f>
        <v>Buenaventura</v>
      </c>
      <c r="E14" s="6" t="str">
        <f>IFERROR(INDEX(Combination!$H$2:$H$2628,$N14),"")</f>
        <v>Sanjay Forwarder</v>
      </c>
      <c r="F14" s="5" t="str">
        <f>IFERROR(INDEX(Combination!$J$2:$J$2628,$N14),"")</f>
        <v>Maersk</v>
      </c>
      <c r="G14" s="5" t="str">
        <f>IFERROR(INDEX(Combination!$I$2:$I$2628,$N14),"")</f>
        <v>CIF</v>
      </c>
      <c r="H14" s="7">
        <f>IFERROR(INDEX(Combination!$O$2:$O$2628,$N14),"")</f>
        <v>1148.588888888889</v>
      </c>
      <c r="I14" s="7">
        <f>IFERROR(INDEX(Combination!$N$2:$N$2628,$N14),"")</f>
        <v>1885</v>
      </c>
      <c r="J14" s="7">
        <f>IFERROR(INDEX(Combination!$P$2:$P$2628,$N14),"")</f>
        <v>3033.588888888889</v>
      </c>
      <c r="M14" s="1">
        <f>IFERROR(SMALL(Combination!$Q$2:$Q$2628,$A14),"")</f>
        <v>3033.588912188889</v>
      </c>
      <c r="N14" s="1">
        <f>IFERROR(MATCH($M14,Combination!$Q$2:$Q$2628,0),"")</f>
        <v>232</v>
      </c>
    </row>
    <row r="15" spans="1:14" ht="15" customHeight="1" x14ac:dyDescent="0.25">
      <c r="A15" s="8">
        <v>8</v>
      </c>
      <c r="B15" s="9" t="str">
        <f>IFERROR(INDEX(Combination!$C$2:$C$2628,$N15),"")</f>
        <v>S.A</v>
      </c>
      <c r="C15" s="8" t="str">
        <f>IFERROR(INDEX(Combination!$F$2:$F$2628,$N15),"")</f>
        <v>Nhava Sheva</v>
      </c>
      <c r="D15" s="8" t="str">
        <f>IFERROR(INDEX(Combination!$G$2:$G$2628,$N15),"")</f>
        <v>Buenaventura</v>
      </c>
      <c r="E15" s="9" t="str">
        <f>IFERROR(INDEX(Combination!$H$2:$H$2628,$N15),"")</f>
        <v>Sanjay Forwarder</v>
      </c>
      <c r="F15" s="8" t="str">
        <f>IFERROR(INDEX(Combination!$J$2:$J$2628,$N15),"")</f>
        <v>Maersk</v>
      </c>
      <c r="G15" s="8" t="str">
        <f>IFERROR(INDEX(Combination!$I$2:$I$2628,$N15),"")</f>
        <v>CIF</v>
      </c>
      <c r="H15" s="10">
        <f>IFERROR(INDEX(Combination!$O$2:$O$2628,$N15),"")</f>
        <v>1148.588888888889</v>
      </c>
      <c r="I15" s="10">
        <f>IFERROR(INDEX(Combination!$N$2:$N$2628,$N15),"")</f>
        <v>1885</v>
      </c>
      <c r="J15" s="10">
        <f>IFERROR(INDEX(Combination!$P$2:$P$2628,$N15),"")</f>
        <v>3033.588888888889</v>
      </c>
      <c r="M15" s="1">
        <f>IFERROR(SMALL(Combination!$Q$2:$Q$2628,$A15),"")</f>
        <v>3033.5889122888889</v>
      </c>
      <c r="N15" s="1">
        <f>IFERROR(MATCH($M15,Combination!$Q$2:$Q$2628,0),"")</f>
        <v>233</v>
      </c>
    </row>
    <row r="16" spans="1:14" ht="15" customHeight="1" x14ac:dyDescent="0.25">
      <c r="A16" s="5">
        <v>9</v>
      </c>
      <c r="B16" s="6" t="str">
        <f>IFERROR(INDEX(Combination!$C$2:$C$2628,$N16),"")</f>
        <v>S.A</v>
      </c>
      <c r="C16" s="5" t="str">
        <f>IFERROR(INDEX(Combination!$F$2:$F$2628,$N16),"")</f>
        <v>Nhava Sheva</v>
      </c>
      <c r="D16" s="5" t="str">
        <f>IFERROR(INDEX(Combination!$G$2:$G$2628,$N16),"")</f>
        <v>Buenaventura</v>
      </c>
      <c r="E16" s="6" t="str">
        <f>IFERROR(INDEX(Combination!$H$2:$H$2628,$N16),"")</f>
        <v>Sanjay Forwarder</v>
      </c>
      <c r="F16" s="5" t="str">
        <f>IFERROR(INDEX(Combination!$J$2:$J$2628,$N16),"")</f>
        <v>Maersk</v>
      </c>
      <c r="G16" s="5" t="str">
        <f>IFERROR(INDEX(Combination!$I$2:$I$2628,$N16),"")</f>
        <v>CIF</v>
      </c>
      <c r="H16" s="7">
        <f>IFERROR(INDEX(Combination!$O$2:$O$2628,$N16),"")</f>
        <v>1148.588888888889</v>
      </c>
      <c r="I16" s="7">
        <f>IFERROR(INDEX(Combination!$N$2:$N$2628,$N16),"")</f>
        <v>1935</v>
      </c>
      <c r="J16" s="7">
        <f>IFERROR(INDEX(Combination!$P$2:$P$2628,$N16),"")</f>
        <v>3083.588888888889</v>
      </c>
      <c r="M16" s="1">
        <f>IFERROR(SMALL(Combination!$Q$2:$Q$2628,$A16),"")</f>
        <v>3083.5889153888888</v>
      </c>
      <c r="N16" s="1">
        <f>IFERROR(MATCH($M16,Combination!$Q$2:$Q$2628,0),"")</f>
        <v>264</v>
      </c>
    </row>
    <row r="17" spans="1:19" ht="15" customHeight="1" x14ac:dyDescent="0.25">
      <c r="A17" s="8">
        <v>10</v>
      </c>
      <c r="B17" s="9" t="str">
        <f>IFERROR(INDEX(Combination!$C$2:$C$2628,$N17),"")</f>
        <v>S.A</v>
      </c>
      <c r="C17" s="8" t="str">
        <f>IFERROR(INDEX(Combination!$F$2:$F$2628,$N17),"")</f>
        <v>Nhava Sheva</v>
      </c>
      <c r="D17" s="8" t="str">
        <f>IFERROR(INDEX(Combination!$G$2:$G$2628,$N17),"")</f>
        <v>Buenaventura</v>
      </c>
      <c r="E17" s="9" t="str">
        <f>IFERROR(INDEX(Combination!$H$2:$H$2628,$N17),"")</f>
        <v>Sanjay Forwarder</v>
      </c>
      <c r="F17" s="8" t="str">
        <f>IFERROR(INDEX(Combination!$J$2:$J$2628,$N17),"")</f>
        <v>Maersk</v>
      </c>
      <c r="G17" s="8" t="str">
        <f>IFERROR(INDEX(Combination!$I$2:$I$2628,$N17),"")</f>
        <v>CIF</v>
      </c>
      <c r="H17" s="10">
        <f>IFERROR(INDEX(Combination!$O$2:$O$2628,$N17),"")</f>
        <v>1148.588888888889</v>
      </c>
      <c r="I17" s="10">
        <f>IFERROR(INDEX(Combination!$N$2:$N$2628,$N17),"")</f>
        <v>1935</v>
      </c>
      <c r="J17" s="10">
        <f>IFERROR(INDEX(Combination!$P$2:$P$2628,$N17),"")</f>
        <v>3083.588888888889</v>
      </c>
      <c r="M17" s="1">
        <f>IFERROR(SMALL(Combination!$Q$2:$Q$2628,$A17),"")</f>
        <v>3083.5889154888891</v>
      </c>
      <c r="N17" s="1">
        <f>IFERROR(MATCH($M17,Combination!$Q$2:$Q$2628,0),"")</f>
        <v>265</v>
      </c>
    </row>
    <row r="20" spans="1:19" ht="21.75" customHeight="1" x14ac:dyDescent="0.25">
      <c r="A20" s="50" t="s">
        <v>15</v>
      </c>
      <c r="B20" s="50"/>
      <c r="C20" s="50"/>
      <c r="D20" s="50"/>
      <c r="E20" s="50"/>
      <c r="F20" s="50"/>
      <c r="G20" s="50"/>
      <c r="H20" s="50"/>
      <c r="I20" s="50"/>
      <c r="J20" s="50"/>
    </row>
    <row r="21" spans="1:19" ht="25.5" customHeight="1" x14ac:dyDescent="0.25">
      <c r="A21" s="4" t="s">
        <v>5</v>
      </c>
      <c r="B21" s="4" t="s">
        <v>6</v>
      </c>
      <c r="C21" s="4" t="s">
        <v>7</v>
      </c>
      <c r="D21" s="4" t="s">
        <v>8</v>
      </c>
      <c r="E21" s="4" t="s">
        <v>9</v>
      </c>
      <c r="F21" s="4" t="s">
        <v>10</v>
      </c>
      <c r="G21" s="4" t="s">
        <v>11</v>
      </c>
      <c r="H21" s="4" t="s">
        <v>12</v>
      </c>
      <c r="I21" s="4" t="s">
        <v>13</v>
      </c>
      <c r="J21" s="4" t="s">
        <v>14</v>
      </c>
    </row>
    <row r="22" spans="1:19" ht="15" customHeight="1" x14ac:dyDescent="0.25">
      <c r="A22" s="5">
        <v>1</v>
      </c>
      <c r="B22" s="6" t="str">
        <f>IFERROR(INDEX(Combination!$C$2:$C$2628,$S22),"")</f>
        <v>S.A</v>
      </c>
      <c r="C22" s="5" t="str">
        <f>IFERROR(INDEX(Combination!$F$2:$F$2628,$S22),"")</f>
        <v>Nhava Sheva</v>
      </c>
      <c r="D22" s="5" t="str">
        <f>IFERROR(INDEX(Combination!$G$2:$G$2628,$S22),"")</f>
        <v>Buenaventura</v>
      </c>
      <c r="E22" s="6" t="str">
        <f>IFERROR(INDEX(Combination!$H$2:$H$2628,$S22),"")</f>
        <v>Sanjay Forwarder</v>
      </c>
      <c r="F22" s="11" t="str">
        <f>IFERROR(INDEX(Combination!$J$2:$J$2628,$S22),"")</f>
        <v>Maersk</v>
      </c>
      <c r="G22" s="5" t="str">
        <f>IFERROR(INDEX(Combination!$I$2:$I$2628,$S22),"")</f>
        <v>CIF</v>
      </c>
      <c r="H22" s="55">
        <f>IFERROR(INDEX(Combination!$O$2:$O$2628,$S22),"")</f>
        <v>1148.588888888889</v>
      </c>
      <c r="I22" s="55">
        <f>IFERROR(INDEX(Combination!$N$2:$N$2628,$S22),"")</f>
        <v>2450</v>
      </c>
      <c r="J22" s="55">
        <f>IFERROR(INDEX(Combination!$P$2:$P$2628,$S22),"")</f>
        <v>3598.588888888889</v>
      </c>
      <c r="R22" s="1">
        <f>IFERROR(LARGE(Combination!$Q$2:$Q$2628,$A22),"")</f>
        <v>3598.5888953888889</v>
      </c>
      <c r="S22" s="1">
        <f>IFERROR(MATCH($R22,Combination!$Q$2:$Q$2628,0),"")</f>
        <v>64</v>
      </c>
    </row>
    <row r="23" spans="1:19" ht="15" customHeight="1" x14ac:dyDescent="0.25">
      <c r="A23" s="8">
        <v>2</v>
      </c>
      <c r="B23" s="9" t="str">
        <f>IFERROR(INDEX(Combination!$C$2:$C$2628,$S23),"")</f>
        <v>S.A</v>
      </c>
      <c r="C23" s="8" t="str">
        <f>IFERROR(INDEX(Combination!$F$2:$F$2628,$S23),"")</f>
        <v>Nhava Sheva</v>
      </c>
      <c r="D23" s="8" t="str">
        <f>IFERROR(INDEX(Combination!$G$2:$G$2628,$S23),"")</f>
        <v>Buenaventura</v>
      </c>
      <c r="E23" s="9" t="str">
        <f>IFERROR(INDEX(Combination!$H$2:$H$2628,$S23),"")</f>
        <v>Sanjay Forwarder</v>
      </c>
      <c r="F23" s="12" t="str">
        <f>IFERROR(INDEX(Combination!$J$2:$J$2628,$S23),"")</f>
        <v>Maersk</v>
      </c>
      <c r="G23" s="8" t="str">
        <f>IFERROR(INDEX(Combination!$I$2:$I$2628,$S23),"")</f>
        <v>CIF</v>
      </c>
      <c r="H23" s="56">
        <f>IFERROR(INDEX(Combination!$O$2:$O$2628,$S23),"")</f>
        <v>1148.588888888889</v>
      </c>
      <c r="I23" s="56">
        <f>IFERROR(INDEX(Combination!$N$2:$N$2628,$S23),"")</f>
        <v>1935</v>
      </c>
      <c r="J23" s="56">
        <f>IFERROR(INDEX(Combination!$P$2:$P$2628,$S23),"")</f>
        <v>3083.588888888889</v>
      </c>
      <c r="R23" s="1">
        <f>IFERROR(LARGE(Combination!$Q$2:$Q$2628,$A23),"")</f>
        <v>3083.5889154888891</v>
      </c>
      <c r="S23" s="1">
        <f>IFERROR(MATCH($R23,Combination!$Q$2:$Q$2628,0),"")</f>
        <v>265</v>
      </c>
    </row>
    <row r="24" spans="1:19" ht="15" customHeight="1" x14ac:dyDescent="0.25">
      <c r="A24" s="5">
        <v>3</v>
      </c>
      <c r="B24" s="6" t="str">
        <f>IFERROR(INDEX(Combination!$C$2:$C$2628,$S24),"")</f>
        <v>S.A</v>
      </c>
      <c r="C24" s="5" t="str">
        <f>IFERROR(INDEX(Combination!$F$2:$F$2628,$S24),"")</f>
        <v>Nhava Sheva</v>
      </c>
      <c r="D24" s="5" t="str">
        <f>IFERROR(INDEX(Combination!$G$2:$G$2628,$S24),"")</f>
        <v>Buenaventura</v>
      </c>
      <c r="E24" s="6" t="str">
        <f>IFERROR(INDEX(Combination!$H$2:$H$2628,$S24),"")</f>
        <v>Sanjay Forwarder</v>
      </c>
      <c r="F24" s="11" t="str">
        <f>IFERROR(INDEX(Combination!$J$2:$J$2628,$S24),"")</f>
        <v>Maersk</v>
      </c>
      <c r="G24" s="5" t="str">
        <f>IFERROR(INDEX(Combination!$I$2:$I$2628,$S24),"")</f>
        <v>CIF</v>
      </c>
      <c r="H24" s="55">
        <f>IFERROR(INDEX(Combination!$O$2:$O$2628,$S24),"")</f>
        <v>1148.588888888889</v>
      </c>
      <c r="I24" s="55">
        <f>IFERROR(INDEX(Combination!$N$2:$N$2628,$S24),"")</f>
        <v>1935</v>
      </c>
      <c r="J24" s="55">
        <f>IFERROR(INDEX(Combination!$P$2:$P$2628,$S24),"")</f>
        <v>3083.588888888889</v>
      </c>
      <c r="R24" s="1">
        <f>IFERROR(LARGE(Combination!$Q$2:$Q$2628,$A24),"")</f>
        <v>3083.5889153888888</v>
      </c>
      <c r="S24" s="1">
        <f>IFERROR(MATCH($R24,Combination!$Q$2:$Q$2628,0),"")</f>
        <v>264</v>
      </c>
    </row>
    <row r="25" spans="1:19" ht="15" customHeight="1" x14ac:dyDescent="0.25">
      <c r="A25" s="8">
        <v>4</v>
      </c>
      <c r="B25" s="9" t="str">
        <f>IFERROR(INDEX(Combination!$C$2:$C$2628,$S25),"")</f>
        <v>S.A</v>
      </c>
      <c r="C25" s="8" t="str">
        <f>IFERROR(INDEX(Combination!$F$2:$F$2628,$S25),"")</f>
        <v>Nhava Sheva</v>
      </c>
      <c r="D25" s="8" t="str">
        <f>IFERROR(INDEX(Combination!$G$2:$G$2628,$S25),"")</f>
        <v>Buenaventura</v>
      </c>
      <c r="E25" s="9" t="str">
        <f>IFERROR(INDEX(Combination!$H$2:$H$2628,$S25),"")</f>
        <v>Sanjay Forwarder</v>
      </c>
      <c r="F25" s="12" t="str">
        <f>IFERROR(INDEX(Combination!$J$2:$J$2628,$S25),"")</f>
        <v>Maersk</v>
      </c>
      <c r="G25" s="8" t="str">
        <f>IFERROR(INDEX(Combination!$I$2:$I$2628,$S25),"")</f>
        <v>CIF</v>
      </c>
      <c r="H25" s="56">
        <f>IFERROR(INDEX(Combination!$O$2:$O$2628,$S25),"")</f>
        <v>1148.588888888889</v>
      </c>
      <c r="I25" s="56">
        <f>IFERROR(INDEX(Combination!$N$2:$N$2628,$S25),"")</f>
        <v>1885</v>
      </c>
      <c r="J25" s="56">
        <f>IFERROR(INDEX(Combination!$P$2:$P$2628,$S25),"")</f>
        <v>3033.588888888889</v>
      </c>
      <c r="R25" s="1">
        <f>IFERROR(LARGE(Combination!$Q$2:$Q$2628,$A25),"")</f>
        <v>3033.5889122888889</v>
      </c>
      <c r="S25" s="1">
        <f>IFERROR(MATCH($R25,Combination!$Q$2:$Q$2628,0),"")</f>
        <v>233</v>
      </c>
    </row>
    <row r="26" spans="1:19" ht="15" customHeight="1" x14ac:dyDescent="0.25">
      <c r="A26" s="5">
        <v>5</v>
      </c>
      <c r="B26" s="6" t="str">
        <f>IFERROR(INDEX(Combination!$C$2:$C$2628,$S26),"")</f>
        <v>S.A</v>
      </c>
      <c r="C26" s="5" t="str">
        <f>IFERROR(INDEX(Combination!$F$2:$F$2628,$S26),"")</f>
        <v>Nhava Sheva</v>
      </c>
      <c r="D26" s="5" t="str">
        <f>IFERROR(INDEX(Combination!$G$2:$G$2628,$S26),"")</f>
        <v>Buenaventura</v>
      </c>
      <c r="E26" s="6" t="str">
        <f>IFERROR(INDEX(Combination!$H$2:$H$2628,$S26),"")</f>
        <v>Sanjay Forwarder</v>
      </c>
      <c r="F26" s="11" t="str">
        <f>IFERROR(INDEX(Combination!$J$2:$J$2628,$S26),"")</f>
        <v>Maersk</v>
      </c>
      <c r="G26" s="5" t="str">
        <f>IFERROR(INDEX(Combination!$I$2:$I$2628,$S26),"")</f>
        <v>CIF</v>
      </c>
      <c r="H26" s="55">
        <f>IFERROR(INDEX(Combination!$O$2:$O$2628,$S26),"")</f>
        <v>1148.588888888889</v>
      </c>
      <c r="I26" s="55">
        <f>IFERROR(INDEX(Combination!$N$2:$N$2628,$S26),"")</f>
        <v>1885</v>
      </c>
      <c r="J26" s="55">
        <f>IFERROR(INDEX(Combination!$P$2:$P$2628,$S26),"")</f>
        <v>3033.588888888889</v>
      </c>
      <c r="R26" s="1">
        <f>IFERROR(LARGE(Combination!$Q$2:$Q$2628,$A26),"")</f>
        <v>3033.588912188889</v>
      </c>
      <c r="S26" s="1">
        <f>IFERROR(MATCH($R26,Combination!$Q$2:$Q$2628,0),"")</f>
        <v>232</v>
      </c>
    </row>
    <row r="27" spans="1:19" ht="15" customHeight="1" x14ac:dyDescent="0.25">
      <c r="A27" s="8">
        <v>6</v>
      </c>
      <c r="B27" s="9" t="str">
        <f>IFERROR(INDEX(Combination!$C$2:$C$2628,$S27),"")</f>
        <v>S.A</v>
      </c>
      <c r="C27" s="8" t="str">
        <f>IFERROR(INDEX(Combination!$F$2:$F$2628,$S27),"")</f>
        <v>Nhava Sheva</v>
      </c>
      <c r="D27" s="8" t="str">
        <f>IFERROR(INDEX(Combination!$G$2:$G$2628,$S27),"")</f>
        <v>Buenaventura</v>
      </c>
      <c r="E27" s="9" t="str">
        <f>IFERROR(INDEX(Combination!$H$2:$H$2628,$S27),"")</f>
        <v>Clearship</v>
      </c>
      <c r="F27" s="8" t="str">
        <f>IFERROR(INDEX(Combination!$J$2:$J$2628,$S27),"")</f>
        <v>Maersk</v>
      </c>
      <c r="G27" s="8" t="str">
        <f>IFERROR(INDEX(Combination!$I$2:$I$2628,$S27),"")</f>
        <v>CIF</v>
      </c>
      <c r="H27" s="56">
        <f>IFERROR(INDEX(Combination!$O$2:$O$2628,$S27),"")</f>
        <v>1148.588888888889</v>
      </c>
      <c r="I27" s="56">
        <f>IFERROR(INDEX(Combination!$N$2:$N$2628,$S27),"")</f>
        <v>1550</v>
      </c>
      <c r="J27" s="56">
        <f>IFERROR(INDEX(Combination!$P$2:$P$2628,$S27),"")</f>
        <v>2698.588888888889</v>
      </c>
      <c r="R27" s="1">
        <f>IFERROR(LARGE(Combination!$Q$2:$Q$2628,$A27),"")</f>
        <v>2698.588928788889</v>
      </c>
      <c r="S27" s="1">
        <f>IFERROR(MATCH($R27,Combination!$Q$2:$Q$2628,0),"")</f>
        <v>398</v>
      </c>
    </row>
    <row r="28" spans="1:19" ht="15" customHeight="1" x14ac:dyDescent="0.25">
      <c r="A28" s="5">
        <v>7</v>
      </c>
      <c r="B28" s="6" t="str">
        <f>IFERROR(INDEX(Combination!$C$2:$C$2628,$S28),"")</f>
        <v>S.A</v>
      </c>
      <c r="C28" s="5" t="str">
        <f>IFERROR(INDEX(Combination!$F$2:$F$2628,$S28),"")</f>
        <v>Nhava Sheva</v>
      </c>
      <c r="D28" s="5" t="str">
        <f>IFERROR(INDEX(Combination!$G$2:$G$2628,$S28),"")</f>
        <v>Buenaventura</v>
      </c>
      <c r="E28" s="6" t="str">
        <f>IFERROR(INDEX(Combination!$H$2:$H$2628,$S28),"")</f>
        <v>Clearship</v>
      </c>
      <c r="F28" s="5" t="str">
        <f>IFERROR(INDEX(Combination!$J$2:$J$2628,$S28),"")</f>
        <v>Maersk</v>
      </c>
      <c r="G28" s="5" t="str">
        <f>IFERROR(INDEX(Combination!$I$2:$I$2628,$S28),"")</f>
        <v>CIF</v>
      </c>
      <c r="H28" s="55">
        <f>IFERROR(INDEX(Combination!$O$2:$O$2628,$S28),"")</f>
        <v>1148.588888888889</v>
      </c>
      <c r="I28" s="55">
        <f>IFERROR(INDEX(Combination!$N$2:$N$2628,$S28),"")</f>
        <v>1550</v>
      </c>
      <c r="J28" s="55">
        <f>IFERROR(INDEX(Combination!$P$2:$P$2628,$S28),"")</f>
        <v>2698.588888888889</v>
      </c>
      <c r="R28" s="1">
        <f>IFERROR(LARGE(Combination!$Q$2:$Q$2628,$A28),"")</f>
        <v>2698.5889286888892</v>
      </c>
      <c r="S28" s="1">
        <f>IFERROR(MATCH($R28,Combination!$Q$2:$Q$2628,0),"")</f>
        <v>397</v>
      </c>
    </row>
    <row r="29" spans="1:19" ht="15" customHeight="1" x14ac:dyDescent="0.25">
      <c r="A29" s="8">
        <v>8</v>
      </c>
      <c r="B29" s="9" t="str">
        <f>IFERROR(INDEX(Combination!$C$2:$C$2628,$S29),"")</f>
        <v>S.A</v>
      </c>
      <c r="C29" s="8" t="str">
        <f>IFERROR(INDEX(Combination!$F$2:$F$2628,$S29),"")</f>
        <v>ICD Dhannad</v>
      </c>
      <c r="D29" s="8" t="str">
        <f>IFERROR(INDEX(Combination!$G$2:$G$2628,$S29),"")</f>
        <v>Buenaventura</v>
      </c>
      <c r="E29" s="9" t="str">
        <f>IFERROR(INDEX(Combination!$H$2:$H$2628,$S29),"")</f>
        <v>Sanjay Forwarder</v>
      </c>
      <c r="F29" s="8" t="str">
        <f>IFERROR(INDEX(Combination!$J$2:$J$2628,$S29),"")</f>
        <v>Maersk</v>
      </c>
      <c r="G29" s="8" t="str">
        <f>IFERROR(INDEX(Combination!$I$2:$I$2628,$S29),"")</f>
        <v>CIF</v>
      </c>
      <c r="H29" s="56">
        <f>IFERROR(INDEX(Combination!$O$2:$O$2628,$S29),"")</f>
        <v>0</v>
      </c>
      <c r="I29" s="56">
        <f>IFERROR(INDEX(Combination!$N$2:$N$2628,$S29),"")</f>
        <v>2550</v>
      </c>
      <c r="J29" s="56">
        <f>IFERROR(INDEX(Combination!$P$2:$P$2628,$S29),"")</f>
        <v>2550</v>
      </c>
      <c r="R29" s="1">
        <f>IFERROR(LARGE(Combination!$Q$2:$Q$2628,$A29),"")</f>
        <v>2550.0000196000001</v>
      </c>
      <c r="S29" s="1">
        <f>IFERROR(MATCH($R29,Combination!$Q$2:$Q$2628,0),"")</f>
        <v>195</v>
      </c>
    </row>
    <row r="30" spans="1:19" ht="15" customHeight="1" x14ac:dyDescent="0.25">
      <c r="A30" s="5">
        <v>9</v>
      </c>
      <c r="B30" s="6" t="str">
        <f>IFERROR(INDEX(Combination!$C$2:$C$2628,$S30),"")</f>
        <v>S.A</v>
      </c>
      <c r="C30" s="5" t="str">
        <f>IFERROR(INDEX(Combination!$F$2:$F$2628,$S30),"")</f>
        <v>ICD Dhannad</v>
      </c>
      <c r="D30" s="5" t="str">
        <f>IFERROR(INDEX(Combination!$G$2:$G$2628,$S30),"")</f>
        <v>Buenaventura</v>
      </c>
      <c r="E30" s="6" t="str">
        <f>IFERROR(INDEX(Combination!$H$2:$H$2628,$S30),"")</f>
        <v>Sanjay Forwarder</v>
      </c>
      <c r="F30" s="5" t="str">
        <f>IFERROR(INDEX(Combination!$J$2:$J$2628,$S30),"")</f>
        <v>Maersk</v>
      </c>
      <c r="G30" s="5" t="str">
        <f>IFERROR(INDEX(Combination!$I$2:$I$2628,$S30),"")</f>
        <v>CIF</v>
      </c>
      <c r="H30" s="55">
        <f>IFERROR(INDEX(Combination!$O$2:$O$2628,$S30),"")</f>
        <v>0</v>
      </c>
      <c r="I30" s="55">
        <f>IFERROR(INDEX(Combination!$N$2:$N$2628,$S30),"")</f>
        <v>2450</v>
      </c>
      <c r="J30" s="55">
        <f>IFERROR(INDEX(Combination!$P$2:$P$2628,$S30),"")</f>
        <v>2450</v>
      </c>
      <c r="R30" s="1">
        <f>IFERROR(LARGE(Combination!$Q$2:$Q$2628,$A30),"")</f>
        <v>2450.0000058000001</v>
      </c>
      <c r="S30" s="1">
        <f>IFERROR(MATCH($R30,Combination!$Q$2:$Q$2628,0),"")</f>
        <v>57</v>
      </c>
    </row>
    <row r="31" spans="1:19" ht="15" customHeight="1" x14ac:dyDescent="0.25">
      <c r="A31" s="8">
        <v>10</v>
      </c>
      <c r="B31" s="9" t="str">
        <f>IFERROR(INDEX(Combination!$C$2:$C$2628,$S31),"")</f>
        <v>S.A</v>
      </c>
      <c r="C31" s="8" t="str">
        <f>IFERROR(INDEX(Combination!$F$2:$F$2628,$S31),"")</f>
        <v>ICD Dhannad</v>
      </c>
      <c r="D31" s="8" t="str">
        <f>IFERROR(INDEX(Combination!$G$2:$G$2628,$S31),"")</f>
        <v>Buenaventura</v>
      </c>
      <c r="E31" s="9" t="str">
        <f>IFERROR(INDEX(Combination!$H$2:$H$2628,$S31),"")</f>
        <v>Clearship</v>
      </c>
      <c r="F31" s="8" t="str">
        <f>IFERROR(INDEX(Combination!$J$2:$J$2628,$S31),"")</f>
        <v>CMA</v>
      </c>
      <c r="G31" s="8" t="str">
        <f>IFERROR(INDEX(Combination!$I$2:$I$2628,$S31),"")</f>
        <v>CIF</v>
      </c>
      <c r="H31" s="56">
        <f>IFERROR(INDEX(Combination!$O$2:$O$2628,$S31),"")</f>
        <v>0</v>
      </c>
      <c r="I31" s="56">
        <f>IFERROR(INDEX(Combination!$N$2:$N$2628,$S31),"")</f>
        <v>1490</v>
      </c>
      <c r="J31" s="56">
        <f>IFERROR(INDEX(Combination!$P$2:$P$2628,$S31),"")</f>
        <v>1490</v>
      </c>
      <c r="R31" s="1">
        <f>IFERROR(LARGE(Combination!$Q$2:$Q$2628,$A31),"")</f>
        <v>1490.0000321</v>
      </c>
      <c r="S31" s="1">
        <f>IFERROR(MATCH($R31,Combination!$Q$2:$Q$2628,0),"")</f>
        <v>320</v>
      </c>
    </row>
  </sheetData>
  <mergeCells count="6">
    <mergeCell ref="A20:J20"/>
    <mergeCell ref="A1:J1"/>
    <mergeCell ref="A2:J2"/>
    <mergeCell ref="C4:E4"/>
    <mergeCell ref="C5:E5"/>
    <mergeCell ref="A6:J6"/>
  </mergeCells>
  <conditionalFormatting sqref="J8:J17">
    <cfRule type="colorScale" priority="2">
      <colorScale>
        <cfvo type="min"/>
        <cfvo type="max"/>
        <color rgb="FFFFEF9C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2:J31">
    <cfRule type="colorScale" priority="4">
      <colorScale>
        <cfvo type="min"/>
        <cfvo type="max"/>
        <color rgb="FFFCFCFF"/>
        <color rgb="FFF8696B"/>
      </colorScale>
    </cfRule>
  </conditionalFormatting>
  <dataValidations count="1">
    <dataValidation type="list" allowBlank="1" errorTitle="Invalid entry" error="Please choose an item from the dropdown list" promptTitle="Select Customer" prompt="Choose a customer from the list (use the Search box above to filter)" sqref="C4">
      <formula1>FilteredCustomerList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6"/>
  <sheetViews>
    <sheetView showGridLines="0" zoomScaleNormal="100" workbookViewId="0">
      <pane ySplit="1" topLeftCell="A2" activePane="bottomLeft" state="frozen"/>
      <selection pane="bottomLeft" activeCell="F17" sqref="F17"/>
    </sheetView>
  </sheetViews>
  <sheetFormatPr defaultColWidth="8.6640625" defaultRowHeight="14.4" x14ac:dyDescent="0.3"/>
  <cols>
    <col min="1" max="1" width="30.109375" style="13" customWidth="1"/>
    <col min="2" max="3" width="18" style="13" customWidth="1"/>
    <col min="4" max="4" width="26" style="13" customWidth="1"/>
  </cols>
  <sheetData>
    <row r="1" spans="1:3" ht="19.5" customHeight="1" x14ac:dyDescent="0.3">
      <c r="A1" s="14" t="s">
        <v>16</v>
      </c>
      <c r="B1" s="15">
        <v>90</v>
      </c>
    </row>
    <row r="3" spans="1:3" ht="21.75" customHeight="1" x14ac:dyDescent="0.3">
      <c r="A3" s="54" t="s">
        <v>17</v>
      </c>
      <c r="B3" s="54"/>
      <c r="C3" s="54"/>
    </row>
    <row r="4" spans="1:3" ht="18" customHeight="1" x14ac:dyDescent="0.3">
      <c r="A4" s="16" t="s">
        <v>10</v>
      </c>
      <c r="B4" s="16" t="s">
        <v>18</v>
      </c>
      <c r="C4" s="16" t="s">
        <v>12</v>
      </c>
    </row>
    <row r="5" spans="1:3" ht="15" customHeight="1" x14ac:dyDescent="0.3">
      <c r="A5" s="17" t="s">
        <v>19</v>
      </c>
      <c r="B5" s="18">
        <v>0</v>
      </c>
      <c r="C5" s="19">
        <f t="shared" ref="C5:C44" si="0">IFERROR(B5/$B$1,0)</f>
        <v>0</v>
      </c>
    </row>
    <row r="6" spans="1:3" ht="15" customHeight="1" x14ac:dyDescent="0.3">
      <c r="A6" s="20" t="s">
        <v>20</v>
      </c>
      <c r="B6" s="21">
        <v>0</v>
      </c>
      <c r="C6" s="22">
        <f t="shared" si="0"/>
        <v>0</v>
      </c>
    </row>
    <row r="7" spans="1:3" ht="15" customHeight="1" x14ac:dyDescent="0.3">
      <c r="A7" s="17" t="s">
        <v>21</v>
      </c>
      <c r="B7" s="18">
        <v>0</v>
      </c>
      <c r="C7" s="19">
        <f t="shared" si="0"/>
        <v>0</v>
      </c>
    </row>
    <row r="8" spans="1:3" ht="15" customHeight="1" x14ac:dyDescent="0.3">
      <c r="A8" s="20" t="s">
        <v>22</v>
      </c>
      <c r="B8" s="21">
        <v>0</v>
      </c>
      <c r="C8" s="22">
        <f t="shared" si="0"/>
        <v>0</v>
      </c>
    </row>
    <row r="9" spans="1:3" ht="15" customHeight="1" x14ac:dyDescent="0.3">
      <c r="A9" s="17" t="s">
        <v>23</v>
      </c>
      <c r="B9" s="18">
        <v>0</v>
      </c>
      <c r="C9" s="19">
        <f t="shared" si="0"/>
        <v>0</v>
      </c>
    </row>
    <row r="10" spans="1:3" ht="15" customHeight="1" x14ac:dyDescent="0.3">
      <c r="A10" s="20" t="s">
        <v>24</v>
      </c>
      <c r="B10" s="21">
        <v>0</v>
      </c>
      <c r="C10" s="22">
        <f t="shared" si="0"/>
        <v>0</v>
      </c>
    </row>
    <row r="11" spans="1:3" ht="15" customHeight="1" x14ac:dyDescent="0.3">
      <c r="A11" s="17" t="s">
        <v>25</v>
      </c>
      <c r="B11" s="18">
        <v>0</v>
      </c>
      <c r="C11" s="19">
        <f t="shared" si="0"/>
        <v>0</v>
      </c>
    </row>
    <row r="12" spans="1:3" ht="15" customHeight="1" x14ac:dyDescent="0.3">
      <c r="A12" s="20" t="s">
        <v>26</v>
      </c>
      <c r="B12" s="21">
        <v>0</v>
      </c>
      <c r="C12" s="22">
        <f t="shared" si="0"/>
        <v>0</v>
      </c>
    </row>
    <row r="13" spans="1:3" ht="15" customHeight="1" x14ac:dyDescent="0.3">
      <c r="A13" s="17" t="s">
        <v>27</v>
      </c>
      <c r="B13" s="18">
        <v>0</v>
      </c>
      <c r="C13" s="19">
        <f t="shared" si="0"/>
        <v>0</v>
      </c>
    </row>
    <row r="14" spans="1:3" ht="15" customHeight="1" x14ac:dyDescent="0.3">
      <c r="A14" s="20" t="s">
        <v>28</v>
      </c>
      <c r="B14" s="21">
        <v>0</v>
      </c>
      <c r="C14" s="22">
        <f t="shared" si="0"/>
        <v>0</v>
      </c>
    </row>
    <row r="15" spans="1:3" ht="15" customHeight="1" x14ac:dyDescent="0.3">
      <c r="A15" s="17" t="s">
        <v>29</v>
      </c>
      <c r="B15" s="18">
        <v>0</v>
      </c>
      <c r="C15" s="19">
        <f t="shared" si="0"/>
        <v>0</v>
      </c>
    </row>
    <row r="16" spans="1:3" ht="15" customHeight="1" x14ac:dyDescent="0.3">
      <c r="A16" s="20" t="s">
        <v>30</v>
      </c>
      <c r="B16" s="21">
        <v>0</v>
      </c>
      <c r="C16" s="22">
        <f t="shared" si="0"/>
        <v>0</v>
      </c>
    </row>
    <row r="17" spans="1:3" ht="15" customHeight="1" x14ac:dyDescent="0.3">
      <c r="A17" s="17" t="s">
        <v>31</v>
      </c>
      <c r="B17" s="18">
        <v>0</v>
      </c>
      <c r="C17" s="19">
        <f t="shared" si="0"/>
        <v>0</v>
      </c>
    </row>
    <row r="18" spans="1:3" ht="15" customHeight="1" x14ac:dyDescent="0.3">
      <c r="A18" s="20" t="s">
        <v>32</v>
      </c>
      <c r="B18" s="21">
        <v>0</v>
      </c>
      <c r="C18" s="22">
        <f t="shared" si="0"/>
        <v>0</v>
      </c>
    </row>
    <row r="19" spans="1:3" ht="15" customHeight="1" x14ac:dyDescent="0.3">
      <c r="A19" s="17" t="s">
        <v>33</v>
      </c>
      <c r="B19" s="18">
        <v>0</v>
      </c>
      <c r="C19" s="19">
        <f t="shared" si="0"/>
        <v>0</v>
      </c>
    </row>
    <row r="20" spans="1:3" ht="15" customHeight="1" x14ac:dyDescent="0.3">
      <c r="A20" s="20" t="s">
        <v>34</v>
      </c>
      <c r="B20" s="21">
        <v>107368</v>
      </c>
      <c r="C20" s="22">
        <f t="shared" si="0"/>
        <v>1192.9777777777779</v>
      </c>
    </row>
    <row r="21" spans="1:3" ht="15" customHeight="1" x14ac:dyDescent="0.3">
      <c r="A21" s="17" t="s">
        <v>35</v>
      </c>
      <c r="B21" s="18">
        <v>0</v>
      </c>
      <c r="C21" s="19">
        <f t="shared" si="0"/>
        <v>0</v>
      </c>
    </row>
    <row r="22" spans="1:3" ht="15" customHeight="1" x14ac:dyDescent="0.3">
      <c r="A22" s="20" t="s">
        <v>36</v>
      </c>
      <c r="B22" s="21">
        <v>0</v>
      </c>
      <c r="C22" s="22">
        <f t="shared" si="0"/>
        <v>0</v>
      </c>
    </row>
    <row r="23" spans="1:3" ht="15" customHeight="1" x14ac:dyDescent="0.3">
      <c r="A23" s="17" t="s">
        <v>37</v>
      </c>
      <c r="B23" s="18">
        <v>0</v>
      </c>
      <c r="C23" s="19">
        <f t="shared" si="0"/>
        <v>0</v>
      </c>
    </row>
    <row r="24" spans="1:3" ht="15" customHeight="1" x14ac:dyDescent="0.3">
      <c r="A24" s="20" t="s">
        <v>38</v>
      </c>
      <c r="B24" s="21">
        <v>0</v>
      </c>
      <c r="C24" s="22">
        <f t="shared" si="0"/>
        <v>0</v>
      </c>
    </row>
    <row r="25" spans="1:3" ht="15" customHeight="1" x14ac:dyDescent="0.3">
      <c r="A25" s="17" t="s">
        <v>39</v>
      </c>
      <c r="B25" s="18">
        <v>0</v>
      </c>
      <c r="C25" s="19">
        <f t="shared" si="0"/>
        <v>0</v>
      </c>
    </row>
    <row r="26" spans="1:3" ht="15" customHeight="1" x14ac:dyDescent="0.3">
      <c r="A26" s="20" t="s">
        <v>40</v>
      </c>
      <c r="B26" s="21">
        <v>0</v>
      </c>
      <c r="C26" s="22">
        <f t="shared" si="0"/>
        <v>0</v>
      </c>
    </row>
    <row r="27" spans="1:3" ht="15" customHeight="1" x14ac:dyDescent="0.3">
      <c r="A27" s="17" t="s">
        <v>41</v>
      </c>
      <c r="B27" s="18">
        <v>0</v>
      </c>
      <c r="C27" s="19">
        <f t="shared" si="0"/>
        <v>0</v>
      </c>
    </row>
    <row r="28" spans="1:3" ht="15" customHeight="1" x14ac:dyDescent="0.3">
      <c r="A28" s="20" t="s">
        <v>42</v>
      </c>
      <c r="B28" s="21">
        <v>103373</v>
      </c>
      <c r="C28" s="22">
        <f t="shared" si="0"/>
        <v>1148.588888888889</v>
      </c>
    </row>
    <row r="29" spans="1:3" ht="15" customHeight="1" x14ac:dyDescent="0.3">
      <c r="A29" s="17" t="s">
        <v>43</v>
      </c>
      <c r="B29" s="18">
        <v>0</v>
      </c>
      <c r="C29" s="19">
        <f t="shared" si="0"/>
        <v>0</v>
      </c>
    </row>
    <row r="30" spans="1:3" ht="15" customHeight="1" x14ac:dyDescent="0.3">
      <c r="A30" s="20" t="s">
        <v>44</v>
      </c>
      <c r="B30" s="21">
        <v>105194</v>
      </c>
      <c r="C30" s="22">
        <f t="shared" si="0"/>
        <v>1168.8222222222223</v>
      </c>
    </row>
    <row r="31" spans="1:3" ht="15" customHeight="1" x14ac:dyDescent="0.3">
      <c r="A31" s="17" t="s">
        <v>45</v>
      </c>
      <c r="B31" s="18">
        <v>103190</v>
      </c>
      <c r="C31" s="19">
        <f t="shared" si="0"/>
        <v>1146.5555555555557</v>
      </c>
    </row>
    <row r="32" spans="1:3" ht="15" customHeight="1" x14ac:dyDescent="0.3">
      <c r="A32" s="20" t="s">
        <v>46</v>
      </c>
      <c r="B32" s="21">
        <v>0</v>
      </c>
      <c r="C32" s="22">
        <f t="shared" si="0"/>
        <v>0</v>
      </c>
    </row>
    <row r="33" spans="1:3" ht="15" customHeight="1" x14ac:dyDescent="0.3">
      <c r="A33" s="17" t="s">
        <v>47</v>
      </c>
      <c r="B33" s="18">
        <v>0</v>
      </c>
      <c r="C33" s="19">
        <f t="shared" si="0"/>
        <v>0</v>
      </c>
    </row>
    <row r="34" spans="1:3" ht="15" customHeight="1" x14ac:dyDescent="0.3">
      <c r="A34" s="20" t="s">
        <v>48</v>
      </c>
      <c r="B34" s="21">
        <v>0</v>
      </c>
      <c r="C34" s="22">
        <f t="shared" si="0"/>
        <v>0</v>
      </c>
    </row>
    <row r="35" spans="1:3" ht="15" customHeight="1" x14ac:dyDescent="0.3">
      <c r="A35" s="17" t="s">
        <v>49</v>
      </c>
      <c r="B35" s="18">
        <v>0</v>
      </c>
      <c r="C35" s="19">
        <f t="shared" si="0"/>
        <v>0</v>
      </c>
    </row>
    <row r="36" spans="1:3" ht="15" customHeight="1" x14ac:dyDescent="0.3">
      <c r="A36" s="20" t="s">
        <v>50</v>
      </c>
      <c r="B36" s="21">
        <v>0</v>
      </c>
      <c r="C36" s="22">
        <f t="shared" si="0"/>
        <v>0</v>
      </c>
    </row>
    <row r="37" spans="1:3" ht="15" customHeight="1" x14ac:dyDescent="0.3">
      <c r="A37" s="17" t="s">
        <v>51</v>
      </c>
      <c r="B37" s="18">
        <v>0</v>
      </c>
      <c r="C37" s="19">
        <f t="shared" si="0"/>
        <v>0</v>
      </c>
    </row>
    <row r="38" spans="1:3" ht="15" customHeight="1" x14ac:dyDescent="0.3">
      <c r="A38" s="20" t="s">
        <v>52</v>
      </c>
      <c r="B38" s="21">
        <v>0</v>
      </c>
      <c r="C38" s="22">
        <f t="shared" si="0"/>
        <v>0</v>
      </c>
    </row>
    <row r="39" spans="1:3" ht="15" customHeight="1" x14ac:dyDescent="0.3">
      <c r="A39" s="17" t="s">
        <v>53</v>
      </c>
      <c r="B39" s="18">
        <v>0</v>
      </c>
      <c r="C39" s="19">
        <f t="shared" si="0"/>
        <v>0</v>
      </c>
    </row>
    <row r="40" spans="1:3" ht="15" customHeight="1" x14ac:dyDescent="0.3">
      <c r="A40" s="20" t="s">
        <v>54</v>
      </c>
      <c r="B40" s="21">
        <v>0</v>
      </c>
      <c r="C40" s="22">
        <f t="shared" si="0"/>
        <v>0</v>
      </c>
    </row>
    <row r="41" spans="1:3" ht="15" customHeight="1" x14ac:dyDescent="0.3">
      <c r="A41" s="17" t="s">
        <v>55</v>
      </c>
      <c r="B41" s="18">
        <v>0</v>
      </c>
      <c r="C41" s="19">
        <f t="shared" si="0"/>
        <v>0</v>
      </c>
    </row>
    <row r="42" spans="1:3" ht="15" customHeight="1" x14ac:dyDescent="0.3">
      <c r="A42" s="20" t="s">
        <v>56</v>
      </c>
      <c r="B42" s="21">
        <v>0</v>
      </c>
      <c r="C42" s="22">
        <f t="shared" si="0"/>
        <v>0</v>
      </c>
    </row>
    <row r="43" spans="1:3" ht="15" customHeight="1" x14ac:dyDescent="0.3">
      <c r="A43" s="17" t="s">
        <v>57</v>
      </c>
      <c r="B43" s="18">
        <v>0</v>
      </c>
      <c r="C43" s="19">
        <f t="shared" si="0"/>
        <v>0</v>
      </c>
    </row>
    <row r="44" spans="1:3" ht="15" customHeight="1" x14ac:dyDescent="0.3">
      <c r="A44" s="20" t="s">
        <v>58</v>
      </c>
      <c r="B44" s="21">
        <v>0</v>
      </c>
      <c r="C44" s="22">
        <f t="shared" si="0"/>
        <v>0</v>
      </c>
    </row>
    <row r="47" spans="1:3" ht="21.75" customHeight="1" x14ac:dyDescent="0.3">
      <c r="A47" s="54" t="s">
        <v>59</v>
      </c>
      <c r="B47" s="54"/>
      <c r="C47" s="54"/>
    </row>
    <row r="48" spans="1:3" ht="18" customHeight="1" x14ac:dyDescent="0.3">
      <c r="A48" s="16" t="s">
        <v>10</v>
      </c>
      <c r="B48" s="16" t="s">
        <v>18</v>
      </c>
      <c r="C48" s="16" t="s">
        <v>12</v>
      </c>
    </row>
    <row r="49" spans="1:3" ht="15" customHeight="1" x14ac:dyDescent="0.3">
      <c r="A49" s="17" t="s">
        <v>19</v>
      </c>
      <c r="B49" s="18">
        <v>0</v>
      </c>
      <c r="C49" s="19">
        <f t="shared" ref="C49:C88" si="1">IFERROR(B49/$B$1,0)</f>
        <v>0</v>
      </c>
    </row>
    <row r="50" spans="1:3" ht="15" customHeight="1" x14ac:dyDescent="0.3">
      <c r="A50" s="20" t="s">
        <v>20</v>
      </c>
      <c r="B50" s="21">
        <v>0</v>
      </c>
      <c r="C50" s="22">
        <f t="shared" si="1"/>
        <v>0</v>
      </c>
    </row>
    <row r="51" spans="1:3" ht="15" customHeight="1" x14ac:dyDescent="0.3">
      <c r="A51" s="17" t="s">
        <v>21</v>
      </c>
      <c r="B51" s="18">
        <v>0</v>
      </c>
      <c r="C51" s="19">
        <f t="shared" si="1"/>
        <v>0</v>
      </c>
    </row>
    <row r="52" spans="1:3" ht="15" customHeight="1" x14ac:dyDescent="0.3">
      <c r="A52" s="20" t="s">
        <v>22</v>
      </c>
      <c r="B52" s="21">
        <v>0</v>
      </c>
      <c r="C52" s="22">
        <f t="shared" si="1"/>
        <v>0</v>
      </c>
    </row>
    <row r="53" spans="1:3" ht="15" customHeight="1" x14ac:dyDescent="0.3">
      <c r="A53" s="17" t="s">
        <v>23</v>
      </c>
      <c r="B53" s="18">
        <v>0</v>
      </c>
      <c r="C53" s="19">
        <f t="shared" si="1"/>
        <v>0</v>
      </c>
    </row>
    <row r="54" spans="1:3" ht="15" customHeight="1" x14ac:dyDescent="0.3">
      <c r="A54" s="20" t="s">
        <v>24</v>
      </c>
      <c r="B54" s="21">
        <v>0</v>
      </c>
      <c r="C54" s="22">
        <f t="shared" si="1"/>
        <v>0</v>
      </c>
    </row>
    <row r="55" spans="1:3" ht="15" customHeight="1" x14ac:dyDescent="0.3">
      <c r="A55" s="17" t="s">
        <v>25</v>
      </c>
      <c r="B55" s="18">
        <v>99987</v>
      </c>
      <c r="C55" s="19">
        <f t="shared" si="1"/>
        <v>1110.9666666666667</v>
      </c>
    </row>
    <row r="56" spans="1:3" ht="15" customHeight="1" x14ac:dyDescent="0.3">
      <c r="A56" s="20" t="s">
        <v>26</v>
      </c>
      <c r="B56" s="21">
        <v>0</v>
      </c>
      <c r="C56" s="22">
        <f t="shared" si="1"/>
        <v>0</v>
      </c>
    </row>
    <row r="57" spans="1:3" ht="15" customHeight="1" x14ac:dyDescent="0.3">
      <c r="A57" s="17" t="s">
        <v>27</v>
      </c>
      <c r="B57" s="18">
        <v>0</v>
      </c>
      <c r="C57" s="19">
        <f t="shared" si="1"/>
        <v>0</v>
      </c>
    </row>
    <row r="58" spans="1:3" ht="15" customHeight="1" x14ac:dyDescent="0.3">
      <c r="A58" s="20" t="s">
        <v>28</v>
      </c>
      <c r="B58" s="21">
        <v>0</v>
      </c>
      <c r="C58" s="22">
        <f t="shared" si="1"/>
        <v>0</v>
      </c>
    </row>
    <row r="59" spans="1:3" ht="15" customHeight="1" x14ac:dyDescent="0.3">
      <c r="A59" s="17" t="s">
        <v>29</v>
      </c>
      <c r="B59" s="18">
        <v>0</v>
      </c>
      <c r="C59" s="19">
        <f t="shared" si="1"/>
        <v>0</v>
      </c>
    </row>
    <row r="60" spans="1:3" ht="15" customHeight="1" x14ac:dyDescent="0.3">
      <c r="A60" s="20" t="s">
        <v>30</v>
      </c>
      <c r="B60" s="21">
        <v>0</v>
      </c>
      <c r="C60" s="22">
        <f t="shared" si="1"/>
        <v>0</v>
      </c>
    </row>
    <row r="61" spans="1:3" ht="15" customHeight="1" x14ac:dyDescent="0.3">
      <c r="A61" s="17" t="s">
        <v>31</v>
      </c>
      <c r="B61" s="18">
        <v>0</v>
      </c>
      <c r="C61" s="19">
        <f t="shared" si="1"/>
        <v>0</v>
      </c>
    </row>
    <row r="62" spans="1:3" ht="15" customHeight="1" x14ac:dyDescent="0.3">
      <c r="A62" s="20" t="s">
        <v>32</v>
      </c>
      <c r="B62" s="21">
        <v>0</v>
      </c>
      <c r="C62" s="22">
        <f t="shared" si="1"/>
        <v>0</v>
      </c>
    </row>
    <row r="63" spans="1:3" ht="15" customHeight="1" x14ac:dyDescent="0.3">
      <c r="A63" s="17" t="s">
        <v>33</v>
      </c>
      <c r="B63" s="18">
        <v>0</v>
      </c>
      <c r="C63" s="19">
        <f t="shared" si="1"/>
        <v>0</v>
      </c>
    </row>
    <row r="64" spans="1:3" ht="15" customHeight="1" x14ac:dyDescent="0.3">
      <c r="A64" s="20" t="s">
        <v>34</v>
      </c>
      <c r="B64" s="21">
        <v>92470</v>
      </c>
      <c r="C64" s="22">
        <f t="shared" si="1"/>
        <v>1027.4444444444443</v>
      </c>
    </row>
    <row r="65" spans="1:3" ht="15" customHeight="1" x14ac:dyDescent="0.3">
      <c r="A65" s="17" t="s">
        <v>35</v>
      </c>
      <c r="B65" s="18">
        <v>0</v>
      </c>
      <c r="C65" s="19">
        <f t="shared" si="1"/>
        <v>0</v>
      </c>
    </row>
    <row r="66" spans="1:3" ht="15" customHeight="1" x14ac:dyDescent="0.3">
      <c r="A66" s="20" t="s">
        <v>36</v>
      </c>
      <c r="B66" s="21">
        <v>0</v>
      </c>
      <c r="C66" s="22">
        <f t="shared" si="1"/>
        <v>0</v>
      </c>
    </row>
    <row r="67" spans="1:3" ht="15" customHeight="1" x14ac:dyDescent="0.3">
      <c r="A67" s="17" t="s">
        <v>37</v>
      </c>
      <c r="B67" s="18">
        <v>0</v>
      </c>
      <c r="C67" s="19">
        <f t="shared" si="1"/>
        <v>0</v>
      </c>
    </row>
    <row r="68" spans="1:3" ht="15" customHeight="1" x14ac:dyDescent="0.3">
      <c r="A68" s="20" t="s">
        <v>38</v>
      </c>
      <c r="B68" s="21">
        <v>0</v>
      </c>
      <c r="C68" s="22">
        <f t="shared" si="1"/>
        <v>0</v>
      </c>
    </row>
    <row r="69" spans="1:3" ht="15" customHeight="1" x14ac:dyDescent="0.3">
      <c r="A69" s="17" t="s">
        <v>39</v>
      </c>
      <c r="B69" s="18">
        <v>0</v>
      </c>
      <c r="C69" s="19">
        <f t="shared" si="1"/>
        <v>0</v>
      </c>
    </row>
    <row r="70" spans="1:3" ht="15" customHeight="1" x14ac:dyDescent="0.3">
      <c r="A70" s="20" t="s">
        <v>40</v>
      </c>
      <c r="B70" s="21">
        <v>0</v>
      </c>
      <c r="C70" s="22">
        <f t="shared" si="1"/>
        <v>0</v>
      </c>
    </row>
    <row r="71" spans="1:3" ht="15" customHeight="1" x14ac:dyDescent="0.3">
      <c r="A71" s="17" t="s">
        <v>41</v>
      </c>
      <c r="B71" s="18">
        <v>0</v>
      </c>
      <c r="C71" s="19">
        <f t="shared" si="1"/>
        <v>0</v>
      </c>
    </row>
    <row r="72" spans="1:3" ht="15" customHeight="1" x14ac:dyDescent="0.3">
      <c r="A72" s="20" t="s">
        <v>42</v>
      </c>
      <c r="B72" s="21">
        <v>106797</v>
      </c>
      <c r="C72" s="22">
        <f t="shared" si="1"/>
        <v>1186.6333333333334</v>
      </c>
    </row>
    <row r="73" spans="1:3" ht="15" customHeight="1" x14ac:dyDescent="0.3">
      <c r="A73" s="17" t="s">
        <v>43</v>
      </c>
      <c r="B73" s="18">
        <v>0</v>
      </c>
      <c r="C73" s="19">
        <f t="shared" si="1"/>
        <v>0</v>
      </c>
    </row>
    <row r="74" spans="1:3" ht="15" customHeight="1" x14ac:dyDescent="0.3">
      <c r="A74" s="20" t="s">
        <v>44</v>
      </c>
      <c r="B74" s="21">
        <v>97320</v>
      </c>
      <c r="C74" s="22">
        <f t="shared" si="1"/>
        <v>1081.3333333333333</v>
      </c>
    </row>
    <row r="75" spans="1:3" ht="15" customHeight="1" x14ac:dyDescent="0.3">
      <c r="A75" s="17" t="s">
        <v>45</v>
      </c>
      <c r="B75" s="18">
        <v>86800</v>
      </c>
      <c r="C75" s="19">
        <f t="shared" si="1"/>
        <v>964.44444444444446</v>
      </c>
    </row>
    <row r="76" spans="1:3" ht="15" customHeight="1" x14ac:dyDescent="0.3">
      <c r="A76" s="20" t="s">
        <v>46</v>
      </c>
      <c r="B76" s="21">
        <v>0</v>
      </c>
      <c r="C76" s="22">
        <f t="shared" si="1"/>
        <v>0</v>
      </c>
    </row>
    <row r="77" spans="1:3" ht="15" customHeight="1" x14ac:dyDescent="0.3">
      <c r="A77" s="17" t="s">
        <v>47</v>
      </c>
      <c r="B77" s="18">
        <v>0</v>
      </c>
      <c r="C77" s="19">
        <f t="shared" si="1"/>
        <v>0</v>
      </c>
    </row>
    <row r="78" spans="1:3" ht="15" customHeight="1" x14ac:dyDescent="0.3">
      <c r="A78" s="20" t="s">
        <v>48</v>
      </c>
      <c r="B78" s="21">
        <v>0</v>
      </c>
      <c r="C78" s="22">
        <f t="shared" si="1"/>
        <v>0</v>
      </c>
    </row>
    <row r="79" spans="1:3" ht="15" customHeight="1" x14ac:dyDescent="0.3">
      <c r="A79" s="17" t="s">
        <v>49</v>
      </c>
      <c r="B79" s="18">
        <v>0</v>
      </c>
      <c r="C79" s="19">
        <f t="shared" si="1"/>
        <v>0</v>
      </c>
    </row>
    <row r="80" spans="1:3" ht="15" customHeight="1" x14ac:dyDescent="0.3">
      <c r="A80" s="20" t="s">
        <v>50</v>
      </c>
      <c r="B80" s="21">
        <v>0</v>
      </c>
      <c r="C80" s="22">
        <f t="shared" si="1"/>
        <v>0</v>
      </c>
    </row>
    <row r="81" spans="1:3" ht="15" customHeight="1" x14ac:dyDescent="0.3">
      <c r="A81" s="17" t="s">
        <v>51</v>
      </c>
      <c r="B81" s="18">
        <v>0</v>
      </c>
      <c r="C81" s="19">
        <f t="shared" si="1"/>
        <v>0</v>
      </c>
    </row>
    <row r="82" spans="1:3" ht="15" customHeight="1" x14ac:dyDescent="0.3">
      <c r="A82" s="20" t="s">
        <v>52</v>
      </c>
      <c r="B82" s="21">
        <v>0</v>
      </c>
      <c r="C82" s="22">
        <f t="shared" si="1"/>
        <v>0</v>
      </c>
    </row>
    <row r="83" spans="1:3" ht="15" customHeight="1" x14ac:dyDescent="0.3">
      <c r="A83" s="17" t="s">
        <v>53</v>
      </c>
      <c r="B83" s="18">
        <v>0</v>
      </c>
      <c r="C83" s="19">
        <f t="shared" si="1"/>
        <v>0</v>
      </c>
    </row>
    <row r="84" spans="1:3" ht="15" customHeight="1" x14ac:dyDescent="0.3">
      <c r="A84" s="20" t="s">
        <v>54</v>
      </c>
      <c r="B84" s="21">
        <v>0</v>
      </c>
      <c r="C84" s="22">
        <f t="shared" si="1"/>
        <v>0</v>
      </c>
    </row>
    <row r="85" spans="1:3" ht="15" customHeight="1" x14ac:dyDescent="0.3">
      <c r="A85" s="17" t="s">
        <v>55</v>
      </c>
      <c r="B85" s="18">
        <v>0</v>
      </c>
      <c r="C85" s="19">
        <f t="shared" si="1"/>
        <v>0</v>
      </c>
    </row>
    <row r="86" spans="1:3" ht="15" customHeight="1" x14ac:dyDescent="0.3">
      <c r="A86" s="20" t="s">
        <v>56</v>
      </c>
      <c r="B86" s="21">
        <v>0</v>
      </c>
      <c r="C86" s="22">
        <f t="shared" si="1"/>
        <v>0</v>
      </c>
    </row>
    <row r="87" spans="1:3" ht="15" customHeight="1" x14ac:dyDescent="0.3">
      <c r="A87" s="17" t="s">
        <v>57</v>
      </c>
      <c r="B87" s="18">
        <v>0</v>
      </c>
      <c r="C87" s="19">
        <f t="shared" si="1"/>
        <v>0</v>
      </c>
    </row>
    <row r="88" spans="1:3" ht="15" customHeight="1" x14ac:dyDescent="0.3">
      <c r="A88" s="20" t="s">
        <v>58</v>
      </c>
      <c r="B88" s="21">
        <v>0</v>
      </c>
      <c r="C88" s="22">
        <f t="shared" si="1"/>
        <v>0</v>
      </c>
    </row>
    <row r="91" spans="1:3" ht="21.75" customHeight="1" x14ac:dyDescent="0.3">
      <c r="A91" s="54" t="s">
        <v>60</v>
      </c>
      <c r="B91" s="54"/>
      <c r="C91" s="54"/>
    </row>
    <row r="92" spans="1:3" ht="18" customHeight="1" x14ac:dyDescent="0.3">
      <c r="A92" s="16" t="s">
        <v>10</v>
      </c>
      <c r="B92" s="16" t="s">
        <v>18</v>
      </c>
      <c r="C92" s="16" t="s">
        <v>12</v>
      </c>
    </row>
    <row r="93" spans="1:3" ht="15" customHeight="1" x14ac:dyDescent="0.3">
      <c r="A93" s="17" t="s">
        <v>19</v>
      </c>
      <c r="B93" s="18">
        <v>0</v>
      </c>
      <c r="C93" s="19">
        <f t="shared" ref="C93:C132" si="2">IFERROR(B93/$B$1,0)</f>
        <v>0</v>
      </c>
    </row>
    <row r="94" spans="1:3" ht="15" customHeight="1" x14ac:dyDescent="0.3">
      <c r="A94" s="20" t="s">
        <v>20</v>
      </c>
      <c r="B94" s="21">
        <v>0</v>
      </c>
      <c r="C94" s="22">
        <f t="shared" si="2"/>
        <v>0</v>
      </c>
    </row>
    <row r="95" spans="1:3" ht="15" customHeight="1" x14ac:dyDescent="0.3">
      <c r="A95" s="17" t="s">
        <v>21</v>
      </c>
      <c r="B95" s="18">
        <v>0</v>
      </c>
      <c r="C95" s="19">
        <f t="shared" si="2"/>
        <v>0</v>
      </c>
    </row>
    <row r="96" spans="1:3" ht="15" customHeight="1" x14ac:dyDescent="0.3">
      <c r="A96" s="20" t="s">
        <v>22</v>
      </c>
      <c r="B96" s="21">
        <v>0</v>
      </c>
      <c r="C96" s="22">
        <f t="shared" si="2"/>
        <v>0</v>
      </c>
    </row>
    <row r="97" spans="1:3" ht="15" customHeight="1" x14ac:dyDescent="0.3">
      <c r="A97" s="17" t="s">
        <v>23</v>
      </c>
      <c r="B97" s="18">
        <v>0</v>
      </c>
      <c r="C97" s="19">
        <f t="shared" si="2"/>
        <v>0</v>
      </c>
    </row>
    <row r="98" spans="1:3" ht="15" customHeight="1" x14ac:dyDescent="0.3">
      <c r="A98" s="20" t="s">
        <v>24</v>
      </c>
      <c r="B98" s="21">
        <v>0</v>
      </c>
      <c r="C98" s="22">
        <f t="shared" si="2"/>
        <v>0</v>
      </c>
    </row>
    <row r="99" spans="1:3" ht="15" customHeight="1" x14ac:dyDescent="0.3">
      <c r="A99" s="17" t="s">
        <v>25</v>
      </c>
      <c r="B99" s="18">
        <v>0</v>
      </c>
      <c r="C99" s="19">
        <f t="shared" si="2"/>
        <v>0</v>
      </c>
    </row>
    <row r="100" spans="1:3" ht="15" customHeight="1" x14ac:dyDescent="0.3">
      <c r="A100" s="20" t="s">
        <v>26</v>
      </c>
      <c r="B100" s="21">
        <v>0</v>
      </c>
      <c r="C100" s="22">
        <f t="shared" si="2"/>
        <v>0</v>
      </c>
    </row>
    <row r="101" spans="1:3" ht="15" customHeight="1" x14ac:dyDescent="0.3">
      <c r="A101" s="17" t="s">
        <v>27</v>
      </c>
      <c r="B101" s="18">
        <v>0</v>
      </c>
      <c r="C101" s="19">
        <f t="shared" si="2"/>
        <v>0</v>
      </c>
    </row>
    <row r="102" spans="1:3" ht="15" customHeight="1" x14ac:dyDescent="0.3">
      <c r="A102" s="20" t="s">
        <v>28</v>
      </c>
      <c r="B102" s="21">
        <v>0</v>
      </c>
      <c r="C102" s="22">
        <f t="shared" si="2"/>
        <v>0</v>
      </c>
    </row>
    <row r="103" spans="1:3" ht="15" customHeight="1" x14ac:dyDescent="0.3">
      <c r="A103" s="17" t="s">
        <v>29</v>
      </c>
      <c r="B103" s="18">
        <v>0</v>
      </c>
      <c r="C103" s="19">
        <f t="shared" si="2"/>
        <v>0</v>
      </c>
    </row>
    <row r="104" spans="1:3" ht="15" customHeight="1" x14ac:dyDescent="0.3">
      <c r="A104" s="20" t="s">
        <v>30</v>
      </c>
      <c r="B104" s="21">
        <v>0</v>
      </c>
      <c r="C104" s="22">
        <f t="shared" si="2"/>
        <v>0</v>
      </c>
    </row>
    <row r="105" spans="1:3" ht="15" customHeight="1" x14ac:dyDescent="0.3">
      <c r="A105" s="17" t="s">
        <v>31</v>
      </c>
      <c r="B105" s="18">
        <v>0</v>
      </c>
      <c r="C105" s="19">
        <f t="shared" si="2"/>
        <v>0</v>
      </c>
    </row>
    <row r="106" spans="1:3" ht="15" customHeight="1" x14ac:dyDescent="0.3">
      <c r="A106" s="20" t="s">
        <v>32</v>
      </c>
      <c r="B106" s="21">
        <v>0</v>
      </c>
      <c r="C106" s="22">
        <f t="shared" si="2"/>
        <v>0</v>
      </c>
    </row>
    <row r="107" spans="1:3" ht="15" customHeight="1" x14ac:dyDescent="0.3">
      <c r="A107" s="17" t="s">
        <v>33</v>
      </c>
      <c r="B107" s="18">
        <v>0</v>
      </c>
      <c r="C107" s="19">
        <f t="shared" si="2"/>
        <v>0</v>
      </c>
    </row>
    <row r="108" spans="1:3" ht="15" customHeight="1" x14ac:dyDescent="0.3">
      <c r="A108" s="20" t="s">
        <v>34</v>
      </c>
      <c r="B108" s="21">
        <v>108845</v>
      </c>
      <c r="C108" s="22">
        <f t="shared" si="2"/>
        <v>1209.3888888888889</v>
      </c>
    </row>
    <row r="109" spans="1:3" ht="15" customHeight="1" x14ac:dyDescent="0.3">
      <c r="A109" s="17" t="s">
        <v>35</v>
      </c>
      <c r="B109" s="18">
        <v>0</v>
      </c>
      <c r="C109" s="19">
        <f t="shared" si="2"/>
        <v>0</v>
      </c>
    </row>
    <row r="110" spans="1:3" ht="15" customHeight="1" x14ac:dyDescent="0.3">
      <c r="A110" s="20" t="s">
        <v>36</v>
      </c>
      <c r="B110" s="21">
        <v>0</v>
      </c>
      <c r="C110" s="22">
        <f t="shared" si="2"/>
        <v>0</v>
      </c>
    </row>
    <row r="111" spans="1:3" ht="15" customHeight="1" x14ac:dyDescent="0.3">
      <c r="A111" s="17" t="s">
        <v>37</v>
      </c>
      <c r="B111" s="18">
        <v>0</v>
      </c>
      <c r="C111" s="19">
        <f t="shared" si="2"/>
        <v>0</v>
      </c>
    </row>
    <row r="112" spans="1:3" ht="15" customHeight="1" x14ac:dyDescent="0.3">
      <c r="A112" s="20" t="s">
        <v>38</v>
      </c>
      <c r="B112" s="21">
        <v>0</v>
      </c>
      <c r="C112" s="22">
        <f t="shared" si="2"/>
        <v>0</v>
      </c>
    </row>
    <row r="113" spans="1:3" ht="15" customHeight="1" x14ac:dyDescent="0.3">
      <c r="A113" s="17" t="s">
        <v>39</v>
      </c>
      <c r="B113" s="18">
        <v>0</v>
      </c>
      <c r="C113" s="19">
        <f t="shared" si="2"/>
        <v>0</v>
      </c>
    </row>
    <row r="114" spans="1:3" ht="15" customHeight="1" x14ac:dyDescent="0.3">
      <c r="A114" s="20" t="s">
        <v>40</v>
      </c>
      <c r="B114" s="21">
        <v>0</v>
      </c>
      <c r="C114" s="22">
        <f t="shared" si="2"/>
        <v>0</v>
      </c>
    </row>
    <row r="115" spans="1:3" ht="15" customHeight="1" x14ac:dyDescent="0.3">
      <c r="A115" s="17" t="s">
        <v>41</v>
      </c>
      <c r="B115" s="18">
        <v>0</v>
      </c>
      <c r="C115" s="19">
        <f t="shared" si="2"/>
        <v>0</v>
      </c>
    </row>
    <row r="116" spans="1:3" ht="15" customHeight="1" x14ac:dyDescent="0.3">
      <c r="A116" s="20" t="s">
        <v>42</v>
      </c>
      <c r="B116" s="21">
        <v>0</v>
      </c>
      <c r="C116" s="22">
        <f t="shared" si="2"/>
        <v>0</v>
      </c>
    </row>
    <row r="117" spans="1:3" ht="15" customHeight="1" x14ac:dyDescent="0.3">
      <c r="A117" s="17" t="s">
        <v>43</v>
      </c>
      <c r="B117" s="18">
        <v>0</v>
      </c>
      <c r="C117" s="19">
        <f t="shared" si="2"/>
        <v>0</v>
      </c>
    </row>
    <row r="118" spans="1:3" ht="15" customHeight="1" x14ac:dyDescent="0.3">
      <c r="A118" s="20" t="s">
        <v>44</v>
      </c>
      <c r="B118" s="21">
        <v>0</v>
      </c>
      <c r="C118" s="22">
        <f t="shared" si="2"/>
        <v>0</v>
      </c>
    </row>
    <row r="119" spans="1:3" ht="15" customHeight="1" x14ac:dyDescent="0.3">
      <c r="A119" s="17" t="s">
        <v>45</v>
      </c>
      <c r="B119" s="18">
        <v>0</v>
      </c>
      <c r="C119" s="19">
        <f t="shared" si="2"/>
        <v>0</v>
      </c>
    </row>
    <row r="120" spans="1:3" ht="15" customHeight="1" x14ac:dyDescent="0.3">
      <c r="A120" s="20" t="s">
        <v>46</v>
      </c>
      <c r="B120" s="21">
        <v>0</v>
      </c>
      <c r="C120" s="22">
        <f t="shared" si="2"/>
        <v>0</v>
      </c>
    </row>
    <row r="121" spans="1:3" ht="15" customHeight="1" x14ac:dyDescent="0.3">
      <c r="A121" s="17" t="s">
        <v>47</v>
      </c>
      <c r="B121" s="18">
        <v>0</v>
      </c>
      <c r="C121" s="19">
        <f t="shared" si="2"/>
        <v>0</v>
      </c>
    </row>
    <row r="122" spans="1:3" ht="15" customHeight="1" x14ac:dyDescent="0.3">
      <c r="A122" s="20" t="s">
        <v>48</v>
      </c>
      <c r="B122" s="21">
        <v>0</v>
      </c>
      <c r="C122" s="22">
        <f t="shared" si="2"/>
        <v>0</v>
      </c>
    </row>
    <row r="123" spans="1:3" ht="15" customHeight="1" x14ac:dyDescent="0.3">
      <c r="A123" s="17" t="s">
        <v>49</v>
      </c>
      <c r="B123" s="18">
        <v>0</v>
      </c>
      <c r="C123" s="19">
        <f t="shared" si="2"/>
        <v>0</v>
      </c>
    </row>
    <row r="124" spans="1:3" ht="15" customHeight="1" x14ac:dyDescent="0.3">
      <c r="A124" s="20" t="s">
        <v>50</v>
      </c>
      <c r="B124" s="21">
        <v>0</v>
      </c>
      <c r="C124" s="22">
        <f t="shared" si="2"/>
        <v>0</v>
      </c>
    </row>
    <row r="125" spans="1:3" ht="15" customHeight="1" x14ac:dyDescent="0.3">
      <c r="A125" s="17" t="s">
        <v>51</v>
      </c>
      <c r="B125" s="18">
        <v>0</v>
      </c>
      <c r="C125" s="19">
        <f t="shared" si="2"/>
        <v>0</v>
      </c>
    </row>
    <row r="126" spans="1:3" ht="15" customHeight="1" x14ac:dyDescent="0.3">
      <c r="A126" s="20" t="s">
        <v>52</v>
      </c>
      <c r="B126" s="21">
        <v>0</v>
      </c>
      <c r="C126" s="22">
        <f t="shared" si="2"/>
        <v>0</v>
      </c>
    </row>
    <row r="127" spans="1:3" ht="15" customHeight="1" x14ac:dyDescent="0.3">
      <c r="A127" s="17" t="s">
        <v>53</v>
      </c>
      <c r="B127" s="18">
        <v>0</v>
      </c>
      <c r="C127" s="19">
        <f t="shared" si="2"/>
        <v>0</v>
      </c>
    </row>
    <row r="128" spans="1:3" ht="15" customHeight="1" x14ac:dyDescent="0.3">
      <c r="A128" s="20" t="s">
        <v>54</v>
      </c>
      <c r="B128" s="21">
        <v>0</v>
      </c>
      <c r="C128" s="22">
        <f t="shared" si="2"/>
        <v>0</v>
      </c>
    </row>
    <row r="129" spans="1:3" ht="15" customHeight="1" x14ac:dyDescent="0.3">
      <c r="A129" s="17" t="s">
        <v>55</v>
      </c>
      <c r="B129" s="18">
        <v>0</v>
      </c>
      <c r="C129" s="19">
        <f t="shared" si="2"/>
        <v>0</v>
      </c>
    </row>
    <row r="130" spans="1:3" ht="15" customHeight="1" x14ac:dyDescent="0.3">
      <c r="A130" s="20" t="s">
        <v>56</v>
      </c>
      <c r="B130" s="21">
        <v>0</v>
      </c>
      <c r="C130" s="22">
        <f t="shared" si="2"/>
        <v>0</v>
      </c>
    </row>
    <row r="131" spans="1:3" ht="15" customHeight="1" x14ac:dyDescent="0.3">
      <c r="A131" s="17" t="s">
        <v>57</v>
      </c>
      <c r="B131" s="18">
        <v>0</v>
      </c>
      <c r="C131" s="19">
        <f t="shared" si="2"/>
        <v>0</v>
      </c>
    </row>
    <row r="132" spans="1:3" ht="15" customHeight="1" x14ac:dyDescent="0.3">
      <c r="A132" s="20" t="s">
        <v>58</v>
      </c>
      <c r="B132" s="21">
        <v>0</v>
      </c>
      <c r="C132" s="22">
        <f t="shared" si="2"/>
        <v>0</v>
      </c>
    </row>
    <row r="136" spans="1:3" ht="15" customHeight="1" x14ac:dyDescent="0.3">
      <c r="A136" s="23"/>
    </row>
  </sheetData>
  <mergeCells count="3">
    <mergeCell ref="A3:C3"/>
    <mergeCell ref="A47:C47"/>
    <mergeCell ref="A91:C9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28"/>
  <sheetViews>
    <sheetView tabSelected="1" zoomScaleNormal="100" workbookViewId="0">
      <selection activeCell="E23" sqref="E23"/>
    </sheetView>
  </sheetViews>
  <sheetFormatPr defaultColWidth="8.6640625" defaultRowHeight="14.4" x14ac:dyDescent="0.3"/>
  <cols>
    <col min="1" max="1" width="23.44140625" style="13" customWidth="1"/>
    <col min="2" max="2" width="11.109375" style="13" customWidth="1"/>
    <col min="3" max="3" width="12.44140625" style="13" customWidth="1"/>
    <col min="4" max="4" width="13.88671875" style="13" customWidth="1"/>
    <col min="5" max="5" width="44.21875" style="13" customWidth="1"/>
    <col min="6" max="6" width="14.21875" style="13" customWidth="1"/>
    <col min="7" max="7" width="9.6640625" style="13" customWidth="1"/>
    <col min="8" max="8" width="20.109375" style="13" customWidth="1"/>
    <col min="9" max="9" width="11.33203125" style="13" customWidth="1"/>
    <col min="10" max="10" width="9" style="13" customWidth="1"/>
    <col min="11" max="11" width="16.21875" style="13" customWidth="1"/>
    <col min="12" max="12" width="14.21875" style="13" customWidth="1"/>
    <col min="13" max="13" width="19.88671875" style="13" customWidth="1"/>
    <col min="14" max="14" width="8.88671875" style="13" customWidth="1"/>
    <col min="15" max="15" width="12.5546875" style="13" customWidth="1"/>
    <col min="16" max="17" width="11.21875" style="13" customWidth="1"/>
  </cols>
  <sheetData>
    <row r="1" spans="1:17" ht="28.5" customHeight="1" x14ac:dyDescent="0.3">
      <c r="A1" s="24" t="s">
        <v>61</v>
      </c>
      <c r="B1" s="25" t="s">
        <v>62</v>
      </c>
      <c r="C1" s="25" t="s">
        <v>63</v>
      </c>
      <c r="D1" s="25" t="s">
        <v>64</v>
      </c>
      <c r="E1" s="25" t="s">
        <v>65</v>
      </c>
      <c r="F1" s="24" t="s">
        <v>66</v>
      </c>
      <c r="G1" s="25" t="s">
        <v>67</v>
      </c>
      <c r="H1" s="25" t="s">
        <v>9</v>
      </c>
      <c r="I1" s="24" t="s">
        <v>68</v>
      </c>
      <c r="J1" s="25" t="s">
        <v>69</v>
      </c>
      <c r="K1" s="25" t="s">
        <v>70</v>
      </c>
      <c r="L1" s="25" t="s">
        <v>71</v>
      </c>
      <c r="M1" s="25" t="s">
        <v>8</v>
      </c>
      <c r="N1" s="26" t="s">
        <v>72</v>
      </c>
      <c r="O1" s="27" t="s">
        <v>73</v>
      </c>
      <c r="P1" s="25" t="s">
        <v>74</v>
      </c>
      <c r="Q1" s="25" t="s">
        <v>75</v>
      </c>
    </row>
    <row r="2" spans="1:17" ht="14.25" customHeight="1" x14ac:dyDescent="0.3">
      <c r="A2" s="28">
        <v>45751</v>
      </c>
      <c r="B2" s="29" t="s">
        <v>76</v>
      </c>
      <c r="C2" s="30" t="s">
        <v>77</v>
      </c>
      <c r="D2" s="30" t="s">
        <v>78</v>
      </c>
      <c r="E2" s="31" t="s">
        <v>79</v>
      </c>
      <c r="F2" s="32" t="s">
        <v>80</v>
      </c>
      <c r="G2" s="30" t="s">
        <v>81</v>
      </c>
      <c r="H2" s="30" t="s">
        <v>82</v>
      </c>
      <c r="I2" s="32">
        <v>45750</v>
      </c>
      <c r="J2" s="30" t="s">
        <v>83</v>
      </c>
      <c r="K2" s="30" t="s">
        <v>40</v>
      </c>
      <c r="L2" s="30" t="s">
        <v>84</v>
      </c>
      <c r="M2" s="30" t="s">
        <v>85</v>
      </c>
      <c r="N2" s="33"/>
      <c r="O2" s="34" t="s">
        <v>86</v>
      </c>
      <c r="P2" s="35">
        <v>45753</v>
      </c>
      <c r="Q2" s="29" t="s">
        <v>87</v>
      </c>
    </row>
    <row r="3" spans="1:17" ht="14.25" customHeight="1" x14ac:dyDescent="0.3">
      <c r="A3" s="28">
        <v>45751</v>
      </c>
      <c r="B3" s="29" t="s">
        <v>76</v>
      </c>
      <c r="C3" s="30" t="s">
        <v>77</v>
      </c>
      <c r="D3" s="30" t="s">
        <v>88</v>
      </c>
      <c r="E3" s="31" t="s">
        <v>79</v>
      </c>
      <c r="F3" s="32" t="s">
        <v>80</v>
      </c>
      <c r="G3" s="30" t="s">
        <v>81</v>
      </c>
      <c r="H3" s="30" t="s">
        <v>82</v>
      </c>
      <c r="I3" s="32">
        <v>45750</v>
      </c>
      <c r="J3" s="30" t="s">
        <v>83</v>
      </c>
      <c r="K3" s="30" t="s">
        <v>40</v>
      </c>
      <c r="L3" s="30" t="s">
        <v>84</v>
      </c>
      <c r="M3" s="30" t="s">
        <v>85</v>
      </c>
      <c r="N3" s="33"/>
      <c r="O3" s="34" t="s">
        <v>86</v>
      </c>
      <c r="P3" s="35">
        <v>45753</v>
      </c>
      <c r="Q3" s="29" t="s">
        <v>87</v>
      </c>
    </row>
    <row r="4" spans="1:17" ht="14.25" customHeight="1" x14ac:dyDescent="0.3">
      <c r="A4" s="28">
        <v>45752</v>
      </c>
      <c r="B4" s="29" t="s">
        <v>76</v>
      </c>
      <c r="C4" s="30" t="s">
        <v>77</v>
      </c>
      <c r="D4" s="30" t="s">
        <v>89</v>
      </c>
      <c r="E4" s="31" t="s">
        <v>90</v>
      </c>
      <c r="F4" s="31" t="s">
        <v>91</v>
      </c>
      <c r="G4" s="30" t="s">
        <v>81</v>
      </c>
      <c r="H4" s="30" t="s">
        <v>92</v>
      </c>
      <c r="I4" s="32">
        <v>45745</v>
      </c>
      <c r="J4" s="30" t="s">
        <v>83</v>
      </c>
      <c r="K4" s="30" t="s">
        <v>40</v>
      </c>
      <c r="L4" s="30" t="s">
        <v>84</v>
      </c>
      <c r="M4" s="30" t="s">
        <v>85</v>
      </c>
      <c r="N4" s="33"/>
      <c r="O4" s="34" t="s">
        <v>86</v>
      </c>
      <c r="P4" s="35">
        <v>45754</v>
      </c>
      <c r="Q4" s="29" t="s">
        <v>87</v>
      </c>
    </row>
    <row r="5" spans="1:17" ht="14.25" customHeight="1" x14ac:dyDescent="0.3">
      <c r="A5" s="28">
        <v>45751</v>
      </c>
      <c r="B5" s="29" t="s">
        <v>76</v>
      </c>
      <c r="C5" s="30" t="s">
        <v>77</v>
      </c>
      <c r="D5" s="30" t="s">
        <v>93</v>
      </c>
      <c r="E5" s="31" t="s">
        <v>79</v>
      </c>
      <c r="F5" s="32" t="s">
        <v>80</v>
      </c>
      <c r="G5" s="30" t="s">
        <v>81</v>
      </c>
      <c r="H5" s="30" t="s">
        <v>82</v>
      </c>
      <c r="I5" s="32">
        <v>45750</v>
      </c>
      <c r="J5" s="30" t="s">
        <v>83</v>
      </c>
      <c r="K5" s="30" t="s">
        <v>40</v>
      </c>
      <c r="L5" s="30" t="s">
        <v>84</v>
      </c>
      <c r="M5" s="30" t="s">
        <v>85</v>
      </c>
      <c r="N5" s="33"/>
      <c r="O5" s="34" t="s">
        <v>86</v>
      </c>
      <c r="P5" s="35">
        <v>45759</v>
      </c>
      <c r="Q5" s="29" t="s">
        <v>87</v>
      </c>
    </row>
    <row r="6" spans="1:17" ht="14.25" customHeight="1" x14ac:dyDescent="0.3">
      <c r="A6" s="28">
        <v>45751</v>
      </c>
      <c r="B6" s="29" t="s">
        <v>76</v>
      </c>
      <c r="C6" s="30" t="s">
        <v>77</v>
      </c>
      <c r="D6" s="30" t="s">
        <v>94</v>
      </c>
      <c r="E6" s="31" t="s">
        <v>79</v>
      </c>
      <c r="F6" s="32" t="s">
        <v>80</v>
      </c>
      <c r="G6" s="30" t="s">
        <v>81</v>
      </c>
      <c r="H6" s="30" t="s">
        <v>82</v>
      </c>
      <c r="I6" s="32">
        <v>45750</v>
      </c>
      <c r="J6" s="30" t="s">
        <v>83</v>
      </c>
      <c r="K6" s="30" t="s">
        <v>40</v>
      </c>
      <c r="L6" s="30" t="s">
        <v>84</v>
      </c>
      <c r="M6" s="30" t="s">
        <v>85</v>
      </c>
      <c r="N6" s="33"/>
      <c r="O6" s="34" t="s">
        <v>86</v>
      </c>
      <c r="P6" s="35">
        <v>45759</v>
      </c>
      <c r="Q6" s="29" t="s">
        <v>87</v>
      </c>
    </row>
    <row r="7" spans="1:17" ht="14.25" customHeight="1" x14ac:dyDescent="0.3">
      <c r="A7" s="28">
        <v>45751</v>
      </c>
      <c r="B7" s="29" t="s">
        <v>76</v>
      </c>
      <c r="C7" s="30" t="s">
        <v>77</v>
      </c>
      <c r="D7" s="30" t="s">
        <v>95</v>
      </c>
      <c r="E7" s="31" t="s">
        <v>79</v>
      </c>
      <c r="F7" s="32" t="s">
        <v>80</v>
      </c>
      <c r="G7" s="30" t="s">
        <v>81</v>
      </c>
      <c r="H7" s="30" t="s">
        <v>82</v>
      </c>
      <c r="I7" s="32">
        <v>45750</v>
      </c>
      <c r="J7" s="30" t="s">
        <v>83</v>
      </c>
      <c r="K7" s="30" t="s">
        <v>40</v>
      </c>
      <c r="L7" s="30" t="s">
        <v>84</v>
      </c>
      <c r="M7" s="30" t="s">
        <v>85</v>
      </c>
      <c r="N7" s="33"/>
      <c r="O7" s="34" t="s">
        <v>86</v>
      </c>
      <c r="P7" s="35">
        <v>45759</v>
      </c>
      <c r="Q7" s="29" t="s">
        <v>87</v>
      </c>
    </row>
    <row r="8" spans="1:17" ht="14.25" customHeight="1" x14ac:dyDescent="0.3">
      <c r="A8" s="28">
        <v>45762</v>
      </c>
      <c r="B8" s="29" t="s">
        <v>76</v>
      </c>
      <c r="C8" s="30" t="s">
        <v>96</v>
      </c>
      <c r="D8" s="30" t="s">
        <v>97</v>
      </c>
      <c r="E8" s="31" t="s">
        <v>98</v>
      </c>
      <c r="F8" s="32" t="s">
        <v>99</v>
      </c>
      <c r="G8" s="30" t="s">
        <v>81</v>
      </c>
      <c r="H8" s="30" t="s">
        <v>100</v>
      </c>
      <c r="I8" s="32">
        <v>45761</v>
      </c>
      <c r="J8" s="30" t="s">
        <v>83</v>
      </c>
      <c r="K8" s="30" t="s">
        <v>25</v>
      </c>
      <c r="L8" s="30" t="s">
        <v>84</v>
      </c>
      <c r="M8" s="30" t="s">
        <v>101</v>
      </c>
      <c r="N8" s="33"/>
      <c r="O8" s="34" t="s">
        <v>86</v>
      </c>
      <c r="P8" s="35">
        <v>45763</v>
      </c>
      <c r="Q8" s="29" t="s">
        <v>87</v>
      </c>
    </row>
    <row r="9" spans="1:17" ht="14.25" customHeight="1" x14ac:dyDescent="0.3">
      <c r="A9" s="28">
        <v>45762</v>
      </c>
      <c r="B9" s="29" t="s">
        <v>76</v>
      </c>
      <c r="C9" s="30" t="s">
        <v>96</v>
      </c>
      <c r="D9" s="30" t="s">
        <v>102</v>
      </c>
      <c r="E9" s="31" t="s">
        <v>98</v>
      </c>
      <c r="F9" s="32" t="s">
        <v>99</v>
      </c>
      <c r="G9" s="30" t="s">
        <v>81</v>
      </c>
      <c r="H9" s="30" t="s">
        <v>100</v>
      </c>
      <c r="I9" s="32">
        <v>45761</v>
      </c>
      <c r="J9" s="30" t="s">
        <v>83</v>
      </c>
      <c r="K9" s="30" t="s">
        <v>25</v>
      </c>
      <c r="L9" s="30" t="s">
        <v>84</v>
      </c>
      <c r="M9" s="30" t="s">
        <v>101</v>
      </c>
      <c r="N9" s="33"/>
      <c r="O9" s="34" t="s">
        <v>86</v>
      </c>
      <c r="P9" s="35">
        <v>45766</v>
      </c>
      <c r="Q9" s="29" t="s">
        <v>87</v>
      </c>
    </row>
    <row r="10" spans="1:17" ht="14.25" customHeight="1" x14ac:dyDescent="0.3">
      <c r="A10" s="28">
        <v>45769</v>
      </c>
      <c r="B10" s="29" t="s">
        <v>76</v>
      </c>
      <c r="C10" s="30" t="s">
        <v>103</v>
      </c>
      <c r="D10" s="30" t="s">
        <v>104</v>
      </c>
      <c r="E10" s="31" t="s">
        <v>105</v>
      </c>
      <c r="F10" s="31" t="s">
        <v>106</v>
      </c>
      <c r="G10" s="30" t="s">
        <v>81</v>
      </c>
      <c r="H10" s="30" t="s">
        <v>107</v>
      </c>
      <c r="I10" s="32">
        <v>45769</v>
      </c>
      <c r="J10" s="30" t="s">
        <v>108</v>
      </c>
      <c r="K10" s="30" t="s">
        <v>34</v>
      </c>
      <c r="L10" s="30" t="s">
        <v>108</v>
      </c>
      <c r="M10" s="30" t="s">
        <v>109</v>
      </c>
      <c r="N10" s="33">
        <v>1325</v>
      </c>
      <c r="O10" s="34" t="s">
        <v>86</v>
      </c>
      <c r="P10" s="35">
        <v>45768</v>
      </c>
      <c r="Q10" s="29" t="s">
        <v>87</v>
      </c>
    </row>
    <row r="11" spans="1:17" ht="14.25" customHeight="1" x14ac:dyDescent="0.3">
      <c r="A11" s="28">
        <v>45768</v>
      </c>
      <c r="B11" s="29" t="s">
        <v>76</v>
      </c>
      <c r="C11" s="30" t="s">
        <v>96</v>
      </c>
      <c r="D11" s="30" t="s">
        <v>110</v>
      </c>
      <c r="E11" s="31" t="s">
        <v>98</v>
      </c>
      <c r="F11" s="32" t="s">
        <v>111</v>
      </c>
      <c r="G11" s="30" t="s">
        <v>112</v>
      </c>
      <c r="H11" s="30" t="s">
        <v>113</v>
      </c>
      <c r="I11" s="32">
        <v>45766</v>
      </c>
      <c r="J11" s="30" t="s">
        <v>83</v>
      </c>
      <c r="K11" s="30" t="s">
        <v>32</v>
      </c>
      <c r="L11" s="30" t="s">
        <v>114</v>
      </c>
      <c r="M11" s="30" t="s">
        <v>115</v>
      </c>
      <c r="N11" s="33">
        <v>3350</v>
      </c>
      <c r="O11" s="34" t="s">
        <v>86</v>
      </c>
      <c r="P11" s="35">
        <v>45768</v>
      </c>
      <c r="Q11" s="29" t="s">
        <v>87</v>
      </c>
    </row>
    <row r="12" spans="1:17" ht="14.25" customHeight="1" x14ac:dyDescent="0.3">
      <c r="A12" s="28">
        <v>45767</v>
      </c>
      <c r="B12" s="29" t="s">
        <v>76</v>
      </c>
      <c r="C12" s="30" t="s">
        <v>103</v>
      </c>
      <c r="D12" s="30" t="s">
        <v>116</v>
      </c>
      <c r="E12" s="31" t="s">
        <v>117</v>
      </c>
      <c r="F12" s="32" t="s">
        <v>118</v>
      </c>
      <c r="G12" s="30" t="s">
        <v>81</v>
      </c>
      <c r="H12" s="30" t="s">
        <v>119</v>
      </c>
      <c r="I12" s="32">
        <v>45765</v>
      </c>
      <c r="J12" s="30" t="s">
        <v>83</v>
      </c>
      <c r="K12" s="30" t="s">
        <v>38</v>
      </c>
      <c r="L12" s="30" t="s">
        <v>84</v>
      </c>
      <c r="M12" s="30" t="s">
        <v>120</v>
      </c>
      <c r="N12" s="33"/>
      <c r="O12" s="34" t="s">
        <v>86</v>
      </c>
      <c r="P12" s="35">
        <v>45768</v>
      </c>
      <c r="Q12" s="29" t="s">
        <v>87</v>
      </c>
    </row>
    <row r="13" spans="1:17" ht="14.25" customHeight="1" x14ac:dyDescent="0.3">
      <c r="A13" s="28">
        <v>45768</v>
      </c>
      <c r="B13" s="29" t="s">
        <v>76</v>
      </c>
      <c r="C13" s="30" t="s">
        <v>77</v>
      </c>
      <c r="D13" s="30" t="s">
        <v>121</v>
      </c>
      <c r="E13" s="31" t="s">
        <v>122</v>
      </c>
      <c r="F13" s="31" t="s">
        <v>123</v>
      </c>
      <c r="G13" s="30" t="s">
        <v>112</v>
      </c>
      <c r="H13" s="30" t="s">
        <v>124</v>
      </c>
      <c r="I13" s="32">
        <v>45766</v>
      </c>
      <c r="J13" s="30" t="s">
        <v>83</v>
      </c>
      <c r="K13" s="30" t="s">
        <v>54</v>
      </c>
      <c r="L13" s="30" t="s">
        <v>84</v>
      </c>
      <c r="M13" s="30" t="s">
        <v>125</v>
      </c>
      <c r="N13" s="33">
        <v>2050</v>
      </c>
      <c r="O13" s="34" t="s">
        <v>86</v>
      </c>
      <c r="P13" s="35">
        <v>45769</v>
      </c>
      <c r="Q13" s="29" t="s">
        <v>87</v>
      </c>
    </row>
    <row r="14" spans="1:17" ht="14.25" customHeight="1" x14ac:dyDescent="0.3">
      <c r="A14" s="28">
        <v>45768</v>
      </c>
      <c r="B14" s="29" t="s">
        <v>76</v>
      </c>
      <c r="C14" s="30" t="s">
        <v>77</v>
      </c>
      <c r="D14" s="30" t="s">
        <v>126</v>
      </c>
      <c r="E14" s="31" t="s">
        <v>122</v>
      </c>
      <c r="F14" s="31" t="s">
        <v>123</v>
      </c>
      <c r="G14" s="30" t="s">
        <v>112</v>
      </c>
      <c r="H14" s="30" t="s">
        <v>124</v>
      </c>
      <c r="I14" s="32">
        <v>45766</v>
      </c>
      <c r="J14" s="30" t="s">
        <v>83</v>
      </c>
      <c r="K14" s="30" t="s">
        <v>54</v>
      </c>
      <c r="L14" s="30" t="s">
        <v>84</v>
      </c>
      <c r="M14" s="30" t="s">
        <v>125</v>
      </c>
      <c r="N14" s="33">
        <v>2050</v>
      </c>
      <c r="O14" s="34" t="s">
        <v>86</v>
      </c>
      <c r="P14" s="35">
        <v>45769</v>
      </c>
      <c r="Q14" s="29" t="s">
        <v>87</v>
      </c>
    </row>
    <row r="15" spans="1:17" ht="14.25" customHeight="1" x14ac:dyDescent="0.3">
      <c r="A15" s="28">
        <v>45768</v>
      </c>
      <c r="B15" s="29" t="s">
        <v>76</v>
      </c>
      <c r="C15" s="30" t="s">
        <v>77</v>
      </c>
      <c r="D15" s="30" t="s">
        <v>127</v>
      </c>
      <c r="E15" s="31" t="s">
        <v>122</v>
      </c>
      <c r="F15" s="31" t="s">
        <v>123</v>
      </c>
      <c r="G15" s="30" t="s">
        <v>112</v>
      </c>
      <c r="H15" s="30" t="s">
        <v>124</v>
      </c>
      <c r="I15" s="32">
        <v>45766</v>
      </c>
      <c r="J15" s="30" t="s">
        <v>83</v>
      </c>
      <c r="K15" s="30" t="s">
        <v>54</v>
      </c>
      <c r="L15" s="30" t="s">
        <v>84</v>
      </c>
      <c r="M15" s="30" t="s">
        <v>125</v>
      </c>
      <c r="N15" s="33">
        <v>2050</v>
      </c>
      <c r="O15" s="34" t="s">
        <v>86</v>
      </c>
      <c r="P15" s="35">
        <v>45769</v>
      </c>
      <c r="Q15" s="29" t="s">
        <v>87</v>
      </c>
    </row>
    <row r="16" spans="1:17" ht="14.25" customHeight="1" x14ac:dyDescent="0.3">
      <c r="A16" s="28">
        <v>45768</v>
      </c>
      <c r="B16" s="29" t="s">
        <v>76</v>
      </c>
      <c r="C16" s="30" t="s">
        <v>77</v>
      </c>
      <c r="D16" s="30" t="s">
        <v>128</v>
      </c>
      <c r="E16" s="31" t="s">
        <v>122</v>
      </c>
      <c r="F16" s="31" t="s">
        <v>123</v>
      </c>
      <c r="G16" s="30" t="s">
        <v>112</v>
      </c>
      <c r="H16" s="30" t="s">
        <v>124</v>
      </c>
      <c r="I16" s="32">
        <v>45766</v>
      </c>
      <c r="J16" s="30" t="s">
        <v>83</v>
      </c>
      <c r="K16" s="30" t="s">
        <v>54</v>
      </c>
      <c r="L16" s="30" t="s">
        <v>84</v>
      </c>
      <c r="M16" s="30" t="s">
        <v>125</v>
      </c>
      <c r="N16" s="33">
        <v>2050</v>
      </c>
      <c r="O16" s="34" t="s">
        <v>86</v>
      </c>
      <c r="P16" s="35">
        <v>45769</v>
      </c>
      <c r="Q16" s="29" t="s">
        <v>87</v>
      </c>
    </row>
    <row r="17" spans="1:17" ht="14.25" customHeight="1" x14ac:dyDescent="0.3">
      <c r="A17" s="28">
        <v>45769</v>
      </c>
      <c r="B17" s="29" t="s">
        <v>76</v>
      </c>
      <c r="C17" s="30" t="s">
        <v>103</v>
      </c>
      <c r="D17" s="30" t="s">
        <v>129</v>
      </c>
      <c r="E17" s="31" t="s">
        <v>105</v>
      </c>
      <c r="F17" s="31" t="s">
        <v>106</v>
      </c>
      <c r="G17" s="30" t="s">
        <v>81</v>
      </c>
      <c r="H17" s="30" t="s">
        <v>107</v>
      </c>
      <c r="I17" s="32">
        <v>45769</v>
      </c>
      <c r="J17" s="30" t="s">
        <v>108</v>
      </c>
      <c r="K17" s="30" t="s">
        <v>34</v>
      </c>
      <c r="L17" s="30" t="s">
        <v>108</v>
      </c>
      <c r="M17" s="30" t="s">
        <v>109</v>
      </c>
      <c r="N17" s="33">
        <v>1325</v>
      </c>
      <c r="O17" s="34" t="s">
        <v>86</v>
      </c>
      <c r="P17" s="35">
        <v>45769</v>
      </c>
      <c r="Q17" s="29" t="s">
        <v>87</v>
      </c>
    </row>
    <row r="18" spans="1:17" ht="14.25" customHeight="1" x14ac:dyDescent="0.3">
      <c r="A18" s="28">
        <v>45769</v>
      </c>
      <c r="B18" s="29" t="s">
        <v>76</v>
      </c>
      <c r="C18" s="30" t="s">
        <v>103</v>
      </c>
      <c r="D18" s="30" t="s">
        <v>130</v>
      </c>
      <c r="E18" s="31" t="s">
        <v>105</v>
      </c>
      <c r="F18" s="31" t="s">
        <v>106</v>
      </c>
      <c r="G18" s="30" t="s">
        <v>81</v>
      </c>
      <c r="H18" s="30" t="s">
        <v>107</v>
      </c>
      <c r="I18" s="32">
        <v>45769</v>
      </c>
      <c r="J18" s="30" t="s">
        <v>108</v>
      </c>
      <c r="K18" s="30" t="s">
        <v>34</v>
      </c>
      <c r="L18" s="30" t="s">
        <v>108</v>
      </c>
      <c r="M18" s="30" t="s">
        <v>109</v>
      </c>
      <c r="N18" s="33">
        <v>1325</v>
      </c>
      <c r="O18" s="34" t="s">
        <v>86</v>
      </c>
      <c r="P18" s="35">
        <v>45769</v>
      </c>
      <c r="Q18" s="29" t="s">
        <v>87</v>
      </c>
    </row>
    <row r="19" spans="1:17" ht="14.25" customHeight="1" x14ac:dyDescent="0.3">
      <c r="A19" s="28">
        <v>45769</v>
      </c>
      <c r="B19" s="29" t="s">
        <v>76</v>
      </c>
      <c r="C19" s="30" t="s">
        <v>103</v>
      </c>
      <c r="D19" s="30" t="s">
        <v>131</v>
      </c>
      <c r="E19" s="31" t="s">
        <v>105</v>
      </c>
      <c r="F19" s="31" t="s">
        <v>106</v>
      </c>
      <c r="G19" s="30" t="s">
        <v>81</v>
      </c>
      <c r="H19" s="30" t="s">
        <v>107</v>
      </c>
      <c r="I19" s="32">
        <v>45772</v>
      </c>
      <c r="J19" s="30" t="s">
        <v>108</v>
      </c>
      <c r="K19" s="30" t="s">
        <v>34</v>
      </c>
      <c r="L19" s="30" t="s">
        <v>108</v>
      </c>
      <c r="M19" s="30" t="s">
        <v>109</v>
      </c>
      <c r="N19" s="33">
        <v>1325</v>
      </c>
      <c r="O19" s="34" t="s">
        <v>86</v>
      </c>
      <c r="P19" s="35">
        <v>45770</v>
      </c>
      <c r="Q19" s="29" t="s">
        <v>87</v>
      </c>
    </row>
    <row r="20" spans="1:17" ht="14.25" customHeight="1" x14ac:dyDescent="0.3">
      <c r="A20" s="28">
        <v>45771</v>
      </c>
      <c r="B20" s="29" t="s">
        <v>76</v>
      </c>
      <c r="C20" s="30" t="s">
        <v>96</v>
      </c>
      <c r="D20" s="30" t="s">
        <v>132</v>
      </c>
      <c r="E20" s="31" t="s">
        <v>133</v>
      </c>
      <c r="F20" s="31" t="s">
        <v>134</v>
      </c>
      <c r="G20" s="30" t="s">
        <v>81</v>
      </c>
      <c r="H20" s="30" t="s">
        <v>135</v>
      </c>
      <c r="I20" s="32">
        <v>45770</v>
      </c>
      <c r="J20" s="30" t="s">
        <v>136</v>
      </c>
      <c r="K20" s="30" t="s">
        <v>44</v>
      </c>
      <c r="L20" s="30" t="s">
        <v>137</v>
      </c>
      <c r="M20" s="30" t="s">
        <v>138</v>
      </c>
      <c r="N20" s="33"/>
      <c r="O20" s="34" t="s">
        <v>86</v>
      </c>
      <c r="P20" s="35">
        <v>45771</v>
      </c>
      <c r="Q20" s="29" t="s">
        <v>87</v>
      </c>
    </row>
    <row r="21" spans="1:17" ht="14.25" customHeight="1" x14ac:dyDescent="0.3">
      <c r="A21" s="28">
        <v>45772</v>
      </c>
      <c r="B21" s="29" t="s">
        <v>76</v>
      </c>
      <c r="C21" s="30" t="s">
        <v>96</v>
      </c>
      <c r="D21" s="30" t="s">
        <v>139</v>
      </c>
      <c r="E21" s="31" t="s">
        <v>140</v>
      </c>
      <c r="F21" s="32" t="s">
        <v>134</v>
      </c>
      <c r="G21" s="30" t="s">
        <v>81</v>
      </c>
      <c r="H21" s="30" t="s">
        <v>135</v>
      </c>
      <c r="I21" s="32">
        <v>45771</v>
      </c>
      <c r="J21" s="30" t="s">
        <v>83</v>
      </c>
      <c r="K21" s="30" t="s">
        <v>44</v>
      </c>
      <c r="L21" s="30" t="s">
        <v>114</v>
      </c>
      <c r="M21" s="30" t="s">
        <v>141</v>
      </c>
      <c r="N21" s="33"/>
      <c r="O21" s="34" t="s">
        <v>86</v>
      </c>
      <c r="P21" s="35">
        <v>45773</v>
      </c>
      <c r="Q21" s="29" t="s">
        <v>87</v>
      </c>
    </row>
    <row r="22" spans="1:17" ht="14.25" customHeight="1" x14ac:dyDescent="0.3">
      <c r="A22" s="28">
        <v>45772</v>
      </c>
      <c r="B22" s="29" t="s">
        <v>76</v>
      </c>
      <c r="C22" s="30" t="s">
        <v>96</v>
      </c>
      <c r="D22" s="30" t="s">
        <v>142</v>
      </c>
      <c r="E22" s="31" t="s">
        <v>140</v>
      </c>
      <c r="F22" s="32" t="s">
        <v>134</v>
      </c>
      <c r="G22" s="30" t="s">
        <v>81</v>
      </c>
      <c r="H22" s="30" t="s">
        <v>135</v>
      </c>
      <c r="I22" s="32">
        <v>45771</v>
      </c>
      <c r="J22" s="30" t="s">
        <v>83</v>
      </c>
      <c r="K22" s="30" t="s">
        <v>44</v>
      </c>
      <c r="L22" s="30" t="s">
        <v>114</v>
      </c>
      <c r="M22" s="30" t="s">
        <v>141</v>
      </c>
      <c r="N22" s="33"/>
      <c r="O22" s="34" t="s">
        <v>86</v>
      </c>
      <c r="P22" s="35">
        <v>45773</v>
      </c>
      <c r="Q22" s="29" t="s">
        <v>87</v>
      </c>
    </row>
    <row r="23" spans="1:17" ht="14.25" customHeight="1" x14ac:dyDescent="0.3">
      <c r="A23" s="28">
        <v>45772</v>
      </c>
      <c r="B23" s="29" t="s">
        <v>76</v>
      </c>
      <c r="C23" s="30" t="s">
        <v>96</v>
      </c>
      <c r="D23" s="30" t="s">
        <v>143</v>
      </c>
      <c r="E23" s="31" t="s">
        <v>140</v>
      </c>
      <c r="F23" s="32" t="s">
        <v>134</v>
      </c>
      <c r="G23" s="30" t="s">
        <v>81</v>
      </c>
      <c r="H23" s="30" t="s">
        <v>135</v>
      </c>
      <c r="I23" s="32">
        <v>45771</v>
      </c>
      <c r="J23" s="30" t="s">
        <v>83</v>
      </c>
      <c r="K23" s="30" t="s">
        <v>44</v>
      </c>
      <c r="L23" s="30" t="s">
        <v>114</v>
      </c>
      <c r="M23" s="30" t="s">
        <v>141</v>
      </c>
      <c r="N23" s="33"/>
      <c r="O23" s="34" t="s">
        <v>86</v>
      </c>
      <c r="P23" s="35">
        <v>45773</v>
      </c>
      <c r="Q23" s="29" t="s">
        <v>87</v>
      </c>
    </row>
    <row r="24" spans="1:17" ht="14.25" customHeight="1" x14ac:dyDescent="0.3">
      <c r="A24" s="28">
        <v>45773</v>
      </c>
      <c r="B24" s="29" t="s">
        <v>76</v>
      </c>
      <c r="C24" s="30" t="s">
        <v>103</v>
      </c>
      <c r="D24" s="30" t="s">
        <v>144</v>
      </c>
      <c r="E24" s="31" t="s">
        <v>145</v>
      </c>
      <c r="F24" s="32" t="s">
        <v>146</v>
      </c>
      <c r="G24" s="30" t="s">
        <v>81</v>
      </c>
      <c r="H24" s="30" t="s">
        <v>147</v>
      </c>
      <c r="I24" s="32">
        <v>45773</v>
      </c>
      <c r="J24" s="30" t="s">
        <v>108</v>
      </c>
      <c r="K24" s="30" t="s">
        <v>34</v>
      </c>
      <c r="L24" s="30" t="s">
        <v>108</v>
      </c>
      <c r="M24" s="30" t="s">
        <v>148</v>
      </c>
      <c r="N24" s="33">
        <v>1200</v>
      </c>
      <c r="O24" s="34" t="s">
        <v>86</v>
      </c>
      <c r="P24" s="35">
        <v>45774</v>
      </c>
      <c r="Q24" s="29" t="s">
        <v>87</v>
      </c>
    </row>
    <row r="25" spans="1:17" ht="14.25" customHeight="1" x14ac:dyDescent="0.3">
      <c r="A25" s="28">
        <v>45773</v>
      </c>
      <c r="B25" s="29" t="s">
        <v>76</v>
      </c>
      <c r="C25" s="30" t="s">
        <v>103</v>
      </c>
      <c r="D25" s="30" t="s">
        <v>149</v>
      </c>
      <c r="E25" s="31" t="s">
        <v>145</v>
      </c>
      <c r="F25" s="32" t="s">
        <v>146</v>
      </c>
      <c r="G25" s="30" t="s">
        <v>81</v>
      </c>
      <c r="H25" s="30" t="s">
        <v>147</v>
      </c>
      <c r="I25" s="32">
        <v>45773</v>
      </c>
      <c r="J25" s="30" t="s">
        <v>108</v>
      </c>
      <c r="K25" s="30" t="s">
        <v>34</v>
      </c>
      <c r="L25" s="30" t="s">
        <v>108</v>
      </c>
      <c r="M25" s="30" t="s">
        <v>148</v>
      </c>
      <c r="N25" s="33">
        <v>1200</v>
      </c>
      <c r="O25" s="34" t="s">
        <v>86</v>
      </c>
      <c r="P25" s="35">
        <v>45774</v>
      </c>
      <c r="Q25" s="29" t="s">
        <v>87</v>
      </c>
    </row>
    <row r="26" spans="1:17" ht="14.25" customHeight="1" x14ac:dyDescent="0.3">
      <c r="A26" s="28">
        <v>45773</v>
      </c>
      <c r="B26" s="29" t="s">
        <v>76</v>
      </c>
      <c r="C26" s="30" t="s">
        <v>103</v>
      </c>
      <c r="D26" s="30" t="s">
        <v>150</v>
      </c>
      <c r="E26" s="31" t="s">
        <v>145</v>
      </c>
      <c r="F26" s="32" t="s">
        <v>146</v>
      </c>
      <c r="G26" s="30" t="s">
        <v>81</v>
      </c>
      <c r="H26" s="30" t="s">
        <v>147</v>
      </c>
      <c r="I26" s="32">
        <v>45773</v>
      </c>
      <c r="J26" s="30" t="s">
        <v>108</v>
      </c>
      <c r="K26" s="30" t="s">
        <v>34</v>
      </c>
      <c r="L26" s="30" t="s">
        <v>108</v>
      </c>
      <c r="M26" s="30" t="s">
        <v>148</v>
      </c>
      <c r="N26" s="33">
        <v>1200</v>
      </c>
      <c r="O26" s="34" t="s">
        <v>86</v>
      </c>
      <c r="P26" s="35">
        <v>45774</v>
      </c>
      <c r="Q26" s="29" t="s">
        <v>87</v>
      </c>
    </row>
    <row r="27" spans="1:17" ht="14.25" customHeight="1" x14ac:dyDescent="0.3">
      <c r="A27" s="28">
        <v>45774</v>
      </c>
      <c r="B27" s="29" t="s">
        <v>76</v>
      </c>
      <c r="C27" s="30" t="s">
        <v>103</v>
      </c>
      <c r="D27" s="30" t="s">
        <v>151</v>
      </c>
      <c r="E27" s="31" t="s">
        <v>105</v>
      </c>
      <c r="F27" s="31" t="s">
        <v>106</v>
      </c>
      <c r="G27" s="30" t="s">
        <v>81</v>
      </c>
      <c r="H27" s="30" t="s">
        <v>107</v>
      </c>
      <c r="I27" s="32">
        <v>45774</v>
      </c>
      <c r="J27" s="30" t="s">
        <v>108</v>
      </c>
      <c r="K27" s="30" t="s">
        <v>34</v>
      </c>
      <c r="L27" s="30" t="s">
        <v>108</v>
      </c>
      <c r="M27" s="30" t="s">
        <v>109</v>
      </c>
      <c r="N27" s="33">
        <v>1325</v>
      </c>
      <c r="O27" s="34" t="s">
        <v>86</v>
      </c>
      <c r="P27" s="35">
        <v>45775</v>
      </c>
      <c r="Q27" s="29" t="s">
        <v>87</v>
      </c>
    </row>
    <row r="28" spans="1:17" ht="14.25" customHeight="1" x14ac:dyDescent="0.3">
      <c r="A28" s="28">
        <v>45774</v>
      </c>
      <c r="B28" s="29" t="s">
        <v>76</v>
      </c>
      <c r="C28" s="30" t="s">
        <v>103</v>
      </c>
      <c r="D28" s="30" t="s">
        <v>152</v>
      </c>
      <c r="E28" s="31" t="s">
        <v>105</v>
      </c>
      <c r="F28" s="31" t="s">
        <v>106</v>
      </c>
      <c r="G28" s="30" t="s">
        <v>81</v>
      </c>
      <c r="H28" s="30" t="s">
        <v>107</v>
      </c>
      <c r="I28" s="32">
        <v>45774</v>
      </c>
      <c r="J28" s="30" t="s">
        <v>108</v>
      </c>
      <c r="K28" s="30" t="s">
        <v>34</v>
      </c>
      <c r="L28" s="30" t="s">
        <v>108</v>
      </c>
      <c r="M28" s="30" t="s">
        <v>109</v>
      </c>
      <c r="N28" s="33">
        <v>1325</v>
      </c>
      <c r="O28" s="34" t="s">
        <v>86</v>
      </c>
      <c r="P28" s="35">
        <v>45775</v>
      </c>
      <c r="Q28" s="29" t="s">
        <v>87</v>
      </c>
    </row>
    <row r="29" spans="1:17" ht="14.25" customHeight="1" x14ac:dyDescent="0.3">
      <c r="A29" s="28">
        <v>45775</v>
      </c>
      <c r="B29" s="29" t="s">
        <v>76</v>
      </c>
      <c r="C29" s="30" t="s">
        <v>77</v>
      </c>
      <c r="D29" s="30" t="s">
        <v>153</v>
      </c>
      <c r="E29" s="31" t="s">
        <v>154</v>
      </c>
      <c r="F29" s="31" t="s">
        <v>155</v>
      </c>
      <c r="G29" s="30" t="s">
        <v>112</v>
      </c>
      <c r="H29" s="30" t="s">
        <v>156</v>
      </c>
      <c r="I29" s="32">
        <v>45775</v>
      </c>
      <c r="J29" s="30" t="s">
        <v>108</v>
      </c>
      <c r="K29" s="30" t="s">
        <v>34</v>
      </c>
      <c r="L29" s="36" t="s">
        <v>108</v>
      </c>
      <c r="M29" s="30" t="s">
        <v>157</v>
      </c>
      <c r="N29" s="33">
        <v>950</v>
      </c>
      <c r="O29" s="34" t="s">
        <v>86</v>
      </c>
      <c r="P29" s="35">
        <v>45776</v>
      </c>
      <c r="Q29" s="29" t="s">
        <v>87</v>
      </c>
    </row>
    <row r="30" spans="1:17" ht="14.25" customHeight="1" x14ac:dyDescent="0.3">
      <c r="A30" s="28">
        <v>45775</v>
      </c>
      <c r="B30" s="29" t="s">
        <v>76</v>
      </c>
      <c r="C30" s="30" t="s">
        <v>77</v>
      </c>
      <c r="D30" s="30" t="s">
        <v>158</v>
      </c>
      <c r="E30" s="31" t="s">
        <v>154</v>
      </c>
      <c r="F30" s="31" t="s">
        <v>155</v>
      </c>
      <c r="G30" s="30" t="s">
        <v>112</v>
      </c>
      <c r="H30" s="30" t="s">
        <v>156</v>
      </c>
      <c r="I30" s="32">
        <v>45775</v>
      </c>
      <c r="J30" s="30" t="s">
        <v>108</v>
      </c>
      <c r="K30" s="30" t="s">
        <v>34</v>
      </c>
      <c r="L30" s="36" t="s">
        <v>108</v>
      </c>
      <c r="M30" s="30" t="s">
        <v>157</v>
      </c>
      <c r="N30" s="33">
        <v>950</v>
      </c>
      <c r="O30" s="34" t="s">
        <v>86</v>
      </c>
      <c r="P30" s="35">
        <v>45776</v>
      </c>
      <c r="Q30" s="29" t="s">
        <v>87</v>
      </c>
    </row>
    <row r="31" spans="1:17" ht="14.25" customHeight="1" x14ac:dyDescent="0.3">
      <c r="A31" s="28">
        <v>45774</v>
      </c>
      <c r="B31" s="29" t="s">
        <v>76</v>
      </c>
      <c r="C31" s="30" t="s">
        <v>103</v>
      </c>
      <c r="D31" s="30" t="s">
        <v>159</v>
      </c>
      <c r="E31" s="31" t="s">
        <v>160</v>
      </c>
      <c r="F31" s="31" t="s">
        <v>146</v>
      </c>
      <c r="G31" s="30" t="s">
        <v>112</v>
      </c>
      <c r="H31" s="30" t="s">
        <v>147</v>
      </c>
      <c r="I31" s="32">
        <v>45775</v>
      </c>
      <c r="J31" s="30" t="s">
        <v>108</v>
      </c>
      <c r="K31" s="30" t="s">
        <v>34</v>
      </c>
      <c r="L31" s="30" t="s">
        <v>108</v>
      </c>
      <c r="M31" s="30" t="s">
        <v>161</v>
      </c>
      <c r="N31" s="33">
        <v>1650</v>
      </c>
      <c r="O31" s="34" t="s">
        <v>86</v>
      </c>
      <c r="P31" s="35">
        <v>45778</v>
      </c>
      <c r="Q31" s="29" t="s">
        <v>87</v>
      </c>
    </row>
    <row r="32" spans="1:17" ht="14.25" customHeight="1" x14ac:dyDescent="0.3">
      <c r="A32" s="28">
        <v>45779</v>
      </c>
      <c r="B32" s="29" t="s">
        <v>162</v>
      </c>
      <c r="C32" s="30" t="s">
        <v>103</v>
      </c>
      <c r="D32" s="30" t="s">
        <v>163</v>
      </c>
      <c r="E32" s="31" t="s">
        <v>164</v>
      </c>
      <c r="F32" s="31" t="s">
        <v>165</v>
      </c>
      <c r="G32" s="30" t="s">
        <v>81</v>
      </c>
      <c r="H32" s="30" t="s">
        <v>166</v>
      </c>
      <c r="I32" s="32">
        <v>45777</v>
      </c>
      <c r="J32" s="30" t="s">
        <v>83</v>
      </c>
      <c r="K32" s="30" t="s">
        <v>42</v>
      </c>
      <c r="L32" s="30" t="s">
        <v>114</v>
      </c>
      <c r="M32" s="30" t="s">
        <v>167</v>
      </c>
      <c r="N32" s="33"/>
      <c r="O32" s="34" t="s">
        <v>86</v>
      </c>
      <c r="P32" s="35">
        <v>45781</v>
      </c>
      <c r="Q32" s="29" t="s">
        <v>168</v>
      </c>
    </row>
    <row r="33" spans="1:17" ht="14.25" customHeight="1" x14ac:dyDescent="0.3">
      <c r="A33" s="28">
        <v>45779</v>
      </c>
      <c r="B33" s="29" t="s">
        <v>162</v>
      </c>
      <c r="C33" s="30" t="s">
        <v>103</v>
      </c>
      <c r="D33" s="30" t="s">
        <v>169</v>
      </c>
      <c r="E33" s="31" t="s">
        <v>164</v>
      </c>
      <c r="F33" s="31" t="s">
        <v>165</v>
      </c>
      <c r="G33" s="30" t="s">
        <v>81</v>
      </c>
      <c r="H33" s="30" t="s">
        <v>166</v>
      </c>
      <c r="I33" s="32">
        <v>45777</v>
      </c>
      <c r="J33" s="30" t="s">
        <v>83</v>
      </c>
      <c r="K33" s="30" t="s">
        <v>42</v>
      </c>
      <c r="L33" s="30" t="s">
        <v>114</v>
      </c>
      <c r="M33" s="30" t="s">
        <v>167</v>
      </c>
      <c r="N33" s="33"/>
      <c r="O33" s="34" t="s">
        <v>86</v>
      </c>
      <c r="P33" s="35">
        <v>45781</v>
      </c>
      <c r="Q33" s="29" t="s">
        <v>168</v>
      </c>
    </row>
    <row r="34" spans="1:17" ht="14.25" customHeight="1" x14ac:dyDescent="0.3">
      <c r="A34" s="28">
        <v>45785</v>
      </c>
      <c r="B34" s="29" t="s">
        <v>162</v>
      </c>
      <c r="C34" s="30" t="s">
        <v>170</v>
      </c>
      <c r="D34" s="30" t="s">
        <v>171</v>
      </c>
      <c r="E34" s="31" t="s">
        <v>172</v>
      </c>
      <c r="F34" s="32" t="s">
        <v>173</v>
      </c>
      <c r="G34" s="30" t="s">
        <v>81</v>
      </c>
      <c r="H34" s="30" t="s">
        <v>174</v>
      </c>
      <c r="I34" s="32">
        <v>45784</v>
      </c>
      <c r="J34" s="30" t="s">
        <v>83</v>
      </c>
      <c r="K34" s="32" t="s">
        <v>175</v>
      </c>
      <c r="L34" s="30" t="s">
        <v>114</v>
      </c>
      <c r="M34" s="30" t="s">
        <v>176</v>
      </c>
      <c r="N34" s="33"/>
      <c r="O34" s="34" t="s">
        <v>86</v>
      </c>
      <c r="P34" s="35">
        <v>45788</v>
      </c>
      <c r="Q34" s="29" t="s">
        <v>168</v>
      </c>
    </row>
    <row r="35" spans="1:17" ht="14.25" customHeight="1" x14ac:dyDescent="0.3">
      <c r="A35" s="28">
        <v>45785</v>
      </c>
      <c r="B35" s="29" t="s">
        <v>162</v>
      </c>
      <c r="C35" s="30" t="s">
        <v>103</v>
      </c>
      <c r="D35" s="30" t="s">
        <v>177</v>
      </c>
      <c r="E35" s="31" t="s">
        <v>178</v>
      </c>
      <c r="F35" s="32" t="s">
        <v>179</v>
      </c>
      <c r="G35" s="30" t="s">
        <v>81</v>
      </c>
      <c r="H35" s="30" t="s">
        <v>147</v>
      </c>
      <c r="I35" s="32">
        <v>45784</v>
      </c>
      <c r="J35" s="30" t="s">
        <v>108</v>
      </c>
      <c r="K35" s="30" t="s">
        <v>44</v>
      </c>
      <c r="L35" s="30" t="s">
        <v>108</v>
      </c>
      <c r="M35" s="30" t="s">
        <v>180</v>
      </c>
      <c r="N35" s="33"/>
      <c r="O35" s="34" t="s">
        <v>86</v>
      </c>
      <c r="P35" s="35">
        <v>45788</v>
      </c>
      <c r="Q35" s="29" t="s">
        <v>168</v>
      </c>
    </row>
    <row r="36" spans="1:17" ht="14.25" customHeight="1" x14ac:dyDescent="0.3">
      <c r="A36" s="28">
        <v>45788</v>
      </c>
      <c r="B36" s="29" t="s">
        <v>162</v>
      </c>
      <c r="C36" s="30" t="s">
        <v>77</v>
      </c>
      <c r="D36" s="30" t="s">
        <v>181</v>
      </c>
      <c r="E36" s="31" t="s">
        <v>182</v>
      </c>
      <c r="F36" s="31" t="s">
        <v>183</v>
      </c>
      <c r="G36" s="30" t="s">
        <v>81</v>
      </c>
      <c r="H36" s="30" t="s">
        <v>147</v>
      </c>
      <c r="I36" s="32">
        <v>45786</v>
      </c>
      <c r="J36" s="30" t="s">
        <v>83</v>
      </c>
      <c r="K36" s="30" t="s">
        <v>25</v>
      </c>
      <c r="L36" s="36" t="s">
        <v>84</v>
      </c>
      <c r="M36" s="30" t="s">
        <v>184</v>
      </c>
      <c r="N36" s="33">
        <v>989</v>
      </c>
      <c r="O36" s="34" t="s">
        <v>86</v>
      </c>
      <c r="P36" s="35">
        <v>45788</v>
      </c>
      <c r="Q36" s="29" t="s">
        <v>168</v>
      </c>
    </row>
    <row r="37" spans="1:17" ht="14.25" customHeight="1" x14ac:dyDescent="0.3">
      <c r="A37" s="28">
        <v>45794</v>
      </c>
      <c r="B37" s="29" t="s">
        <v>162</v>
      </c>
      <c r="C37" s="30" t="s">
        <v>103</v>
      </c>
      <c r="D37" s="30" t="s">
        <v>185</v>
      </c>
      <c r="E37" s="31" t="s">
        <v>186</v>
      </c>
      <c r="F37" s="32" t="s">
        <v>146</v>
      </c>
      <c r="G37" s="30" t="s">
        <v>187</v>
      </c>
      <c r="H37" s="30" t="s">
        <v>147</v>
      </c>
      <c r="I37" s="32">
        <v>45792</v>
      </c>
      <c r="J37" s="30" t="s">
        <v>83</v>
      </c>
      <c r="K37" s="30" t="s">
        <v>34</v>
      </c>
      <c r="L37" s="30" t="s">
        <v>84</v>
      </c>
      <c r="M37" s="32" t="s">
        <v>188</v>
      </c>
      <c r="N37" s="33">
        <v>1100</v>
      </c>
      <c r="O37" s="34" t="s">
        <v>86</v>
      </c>
      <c r="P37" s="35">
        <v>45794</v>
      </c>
      <c r="Q37" s="29" t="s">
        <v>168</v>
      </c>
    </row>
    <row r="38" spans="1:17" ht="14.25" customHeight="1" x14ac:dyDescent="0.3">
      <c r="A38" s="28">
        <v>45795</v>
      </c>
      <c r="B38" s="29" t="s">
        <v>162</v>
      </c>
      <c r="C38" s="30" t="s">
        <v>77</v>
      </c>
      <c r="D38" s="30" t="s">
        <v>189</v>
      </c>
      <c r="E38" s="31" t="s">
        <v>122</v>
      </c>
      <c r="F38" s="31" t="s">
        <v>123</v>
      </c>
      <c r="G38" s="30" t="s">
        <v>81</v>
      </c>
      <c r="H38" s="30" t="s">
        <v>190</v>
      </c>
      <c r="I38" s="32">
        <v>45793</v>
      </c>
      <c r="J38" s="30" t="s">
        <v>83</v>
      </c>
      <c r="K38" s="30" t="s">
        <v>48</v>
      </c>
      <c r="L38" s="30" t="s">
        <v>84</v>
      </c>
      <c r="M38" s="30" t="s">
        <v>191</v>
      </c>
      <c r="N38" s="33"/>
      <c r="O38" s="34" t="s">
        <v>86</v>
      </c>
      <c r="P38" s="35">
        <v>45795</v>
      </c>
      <c r="Q38" s="29" t="s">
        <v>168</v>
      </c>
    </row>
    <row r="39" spans="1:17" ht="14.25" customHeight="1" x14ac:dyDescent="0.3">
      <c r="A39" s="28">
        <v>45795</v>
      </c>
      <c r="B39" s="29" t="s">
        <v>162</v>
      </c>
      <c r="C39" s="30" t="s">
        <v>77</v>
      </c>
      <c r="D39" s="30" t="s">
        <v>192</v>
      </c>
      <c r="E39" s="31" t="s">
        <v>122</v>
      </c>
      <c r="F39" s="31" t="s">
        <v>123</v>
      </c>
      <c r="G39" s="30" t="s">
        <v>81</v>
      </c>
      <c r="H39" s="30" t="s">
        <v>190</v>
      </c>
      <c r="I39" s="32">
        <v>45793</v>
      </c>
      <c r="J39" s="30" t="s">
        <v>83</v>
      </c>
      <c r="K39" s="30" t="s">
        <v>48</v>
      </c>
      <c r="L39" s="30" t="s">
        <v>84</v>
      </c>
      <c r="M39" s="30" t="s">
        <v>191</v>
      </c>
      <c r="N39" s="33"/>
      <c r="O39" s="34" t="s">
        <v>86</v>
      </c>
      <c r="P39" s="35">
        <v>45795</v>
      </c>
      <c r="Q39" s="29" t="s">
        <v>168</v>
      </c>
    </row>
    <row r="40" spans="1:17" ht="14.25" customHeight="1" x14ac:dyDescent="0.3">
      <c r="A40" s="28">
        <v>45795</v>
      </c>
      <c r="B40" s="29" t="s">
        <v>162</v>
      </c>
      <c r="C40" s="30" t="s">
        <v>77</v>
      </c>
      <c r="D40" s="30" t="s">
        <v>193</v>
      </c>
      <c r="E40" s="31" t="s">
        <v>122</v>
      </c>
      <c r="F40" s="31" t="s">
        <v>123</v>
      </c>
      <c r="G40" s="30" t="s">
        <v>81</v>
      </c>
      <c r="H40" s="30" t="s">
        <v>190</v>
      </c>
      <c r="I40" s="32">
        <v>45793</v>
      </c>
      <c r="J40" s="30" t="s">
        <v>83</v>
      </c>
      <c r="K40" s="30" t="s">
        <v>48</v>
      </c>
      <c r="L40" s="30" t="s">
        <v>84</v>
      </c>
      <c r="M40" s="30" t="s">
        <v>191</v>
      </c>
      <c r="N40" s="33"/>
      <c r="O40" s="34" t="s">
        <v>86</v>
      </c>
      <c r="P40" s="35">
        <v>45795</v>
      </c>
      <c r="Q40" s="29" t="s">
        <v>168</v>
      </c>
    </row>
    <row r="41" spans="1:17" ht="14.25" customHeight="1" x14ac:dyDescent="0.3">
      <c r="A41" s="28">
        <v>45795</v>
      </c>
      <c r="B41" s="29" t="s">
        <v>162</v>
      </c>
      <c r="C41" s="30" t="s">
        <v>77</v>
      </c>
      <c r="D41" s="30" t="s">
        <v>194</v>
      </c>
      <c r="E41" s="31" t="s">
        <v>122</v>
      </c>
      <c r="F41" s="31" t="s">
        <v>123</v>
      </c>
      <c r="G41" s="30" t="s">
        <v>81</v>
      </c>
      <c r="H41" s="30" t="s">
        <v>190</v>
      </c>
      <c r="I41" s="32">
        <v>45793</v>
      </c>
      <c r="J41" s="30" t="s">
        <v>83</v>
      </c>
      <c r="K41" s="30" t="s">
        <v>48</v>
      </c>
      <c r="L41" s="30" t="s">
        <v>84</v>
      </c>
      <c r="M41" s="30" t="s">
        <v>191</v>
      </c>
      <c r="N41" s="33"/>
      <c r="O41" s="34" t="s">
        <v>86</v>
      </c>
      <c r="P41" s="35">
        <v>45795</v>
      </c>
      <c r="Q41" s="29" t="s">
        <v>168</v>
      </c>
    </row>
    <row r="42" spans="1:17" ht="14.25" customHeight="1" x14ac:dyDescent="0.3">
      <c r="A42" s="28">
        <v>45795</v>
      </c>
      <c r="B42" s="29" t="s">
        <v>162</v>
      </c>
      <c r="C42" s="30" t="s">
        <v>77</v>
      </c>
      <c r="D42" s="30" t="s">
        <v>195</v>
      </c>
      <c r="E42" s="31" t="s">
        <v>122</v>
      </c>
      <c r="F42" s="31" t="s">
        <v>123</v>
      </c>
      <c r="G42" s="30" t="s">
        <v>81</v>
      </c>
      <c r="H42" s="30" t="s">
        <v>190</v>
      </c>
      <c r="I42" s="32">
        <v>45793</v>
      </c>
      <c r="J42" s="30" t="s">
        <v>83</v>
      </c>
      <c r="K42" s="30" t="s">
        <v>48</v>
      </c>
      <c r="L42" s="30" t="s">
        <v>84</v>
      </c>
      <c r="M42" s="30" t="s">
        <v>191</v>
      </c>
      <c r="N42" s="33"/>
      <c r="O42" s="34" t="s">
        <v>86</v>
      </c>
      <c r="P42" s="35">
        <v>45795</v>
      </c>
      <c r="Q42" s="29" t="s">
        <v>168</v>
      </c>
    </row>
    <row r="43" spans="1:17" ht="14.25" customHeight="1" x14ac:dyDescent="0.3">
      <c r="A43" s="28">
        <v>45795</v>
      </c>
      <c r="B43" s="29" t="s">
        <v>162</v>
      </c>
      <c r="C43" s="30" t="s">
        <v>77</v>
      </c>
      <c r="D43" s="30" t="s">
        <v>196</v>
      </c>
      <c r="E43" s="31" t="s">
        <v>122</v>
      </c>
      <c r="F43" s="31" t="s">
        <v>123</v>
      </c>
      <c r="G43" s="30" t="s">
        <v>81</v>
      </c>
      <c r="H43" s="30" t="s">
        <v>190</v>
      </c>
      <c r="I43" s="32">
        <v>45793</v>
      </c>
      <c r="J43" s="30" t="s">
        <v>83</v>
      </c>
      <c r="K43" s="30" t="s">
        <v>48</v>
      </c>
      <c r="L43" s="30" t="s">
        <v>84</v>
      </c>
      <c r="M43" s="30" t="s">
        <v>191</v>
      </c>
      <c r="N43" s="33"/>
      <c r="O43" s="34" t="s">
        <v>86</v>
      </c>
      <c r="P43" s="35">
        <v>45795</v>
      </c>
      <c r="Q43" s="29" t="s">
        <v>168</v>
      </c>
    </row>
    <row r="44" spans="1:17" ht="14.25" customHeight="1" x14ac:dyDescent="0.3">
      <c r="A44" s="28">
        <v>45794</v>
      </c>
      <c r="B44" s="29" t="s">
        <v>162</v>
      </c>
      <c r="C44" s="30" t="s">
        <v>103</v>
      </c>
      <c r="D44" s="30" t="s">
        <v>197</v>
      </c>
      <c r="E44" s="31" t="s">
        <v>105</v>
      </c>
      <c r="F44" s="31" t="s">
        <v>106</v>
      </c>
      <c r="G44" s="30" t="s">
        <v>112</v>
      </c>
      <c r="H44" s="30" t="s">
        <v>113</v>
      </c>
      <c r="I44" s="32">
        <v>45794</v>
      </c>
      <c r="J44" s="30" t="s">
        <v>108</v>
      </c>
      <c r="K44" s="30" t="s">
        <v>34</v>
      </c>
      <c r="L44" s="30" t="s">
        <v>108</v>
      </c>
      <c r="M44" s="30" t="s">
        <v>109</v>
      </c>
      <c r="N44" s="33">
        <v>1050</v>
      </c>
      <c r="O44" s="34" t="s">
        <v>86</v>
      </c>
      <c r="P44" s="35">
        <v>45795</v>
      </c>
      <c r="Q44" s="29" t="s">
        <v>168</v>
      </c>
    </row>
    <row r="45" spans="1:17" ht="14.25" customHeight="1" x14ac:dyDescent="0.3">
      <c r="A45" s="28">
        <v>45795</v>
      </c>
      <c r="B45" s="29" t="s">
        <v>162</v>
      </c>
      <c r="C45" s="30" t="s">
        <v>77</v>
      </c>
      <c r="D45" s="30" t="s">
        <v>198</v>
      </c>
      <c r="E45" s="31" t="s">
        <v>122</v>
      </c>
      <c r="F45" s="31" t="s">
        <v>123</v>
      </c>
      <c r="G45" s="30" t="s">
        <v>81</v>
      </c>
      <c r="H45" s="30" t="s">
        <v>190</v>
      </c>
      <c r="I45" s="32">
        <v>45793</v>
      </c>
      <c r="J45" s="30" t="s">
        <v>83</v>
      </c>
      <c r="K45" s="30" t="s">
        <v>48</v>
      </c>
      <c r="L45" s="30" t="s">
        <v>84</v>
      </c>
      <c r="M45" s="30" t="s">
        <v>191</v>
      </c>
      <c r="N45" s="33"/>
      <c r="O45" s="34" t="s">
        <v>86</v>
      </c>
      <c r="P45" s="35">
        <v>45797</v>
      </c>
      <c r="Q45" s="29" t="s">
        <v>168</v>
      </c>
    </row>
    <row r="46" spans="1:17" ht="14.25" customHeight="1" x14ac:dyDescent="0.3">
      <c r="A46" s="28">
        <v>45803</v>
      </c>
      <c r="B46" s="29" t="s">
        <v>162</v>
      </c>
      <c r="C46" s="30" t="s">
        <v>103</v>
      </c>
      <c r="D46" s="30" t="s">
        <v>199</v>
      </c>
      <c r="E46" s="31" t="s">
        <v>105</v>
      </c>
      <c r="F46" s="31" t="s">
        <v>106</v>
      </c>
      <c r="G46" s="30" t="s">
        <v>112</v>
      </c>
      <c r="H46" s="30" t="s">
        <v>113</v>
      </c>
      <c r="I46" s="32">
        <v>45803</v>
      </c>
      <c r="J46" s="30" t="s">
        <v>136</v>
      </c>
      <c r="K46" s="30" t="s">
        <v>34</v>
      </c>
      <c r="L46" s="30" t="s">
        <v>137</v>
      </c>
      <c r="M46" s="30" t="s">
        <v>109</v>
      </c>
      <c r="N46" s="33">
        <v>1050</v>
      </c>
      <c r="O46" s="34" t="s">
        <v>86</v>
      </c>
      <c r="P46" s="35">
        <v>45804</v>
      </c>
      <c r="Q46" s="29" t="s">
        <v>168</v>
      </c>
    </row>
    <row r="47" spans="1:17" ht="14.25" customHeight="1" x14ac:dyDescent="0.3">
      <c r="A47" s="28">
        <v>45803</v>
      </c>
      <c r="B47" s="29" t="s">
        <v>162</v>
      </c>
      <c r="C47" s="30" t="s">
        <v>103</v>
      </c>
      <c r="D47" s="30" t="s">
        <v>200</v>
      </c>
      <c r="E47" s="31" t="s">
        <v>105</v>
      </c>
      <c r="F47" s="31" t="s">
        <v>106</v>
      </c>
      <c r="G47" s="30" t="s">
        <v>112</v>
      </c>
      <c r="H47" s="30" t="s">
        <v>113</v>
      </c>
      <c r="I47" s="32">
        <v>45805</v>
      </c>
      <c r="J47" s="30" t="s">
        <v>136</v>
      </c>
      <c r="K47" s="30" t="s">
        <v>34</v>
      </c>
      <c r="L47" s="30" t="s">
        <v>137</v>
      </c>
      <c r="M47" s="30" t="s">
        <v>109</v>
      </c>
      <c r="N47" s="33">
        <v>1050</v>
      </c>
      <c r="O47" s="34" t="s">
        <v>86</v>
      </c>
      <c r="P47" s="35">
        <v>45804</v>
      </c>
      <c r="Q47" s="29" t="s">
        <v>168</v>
      </c>
    </row>
    <row r="48" spans="1:17" ht="14.25" customHeight="1" x14ac:dyDescent="0.3">
      <c r="A48" s="28">
        <v>45805</v>
      </c>
      <c r="B48" s="29" t="s">
        <v>162</v>
      </c>
      <c r="C48" s="30" t="s">
        <v>103</v>
      </c>
      <c r="D48" s="30" t="s">
        <v>201</v>
      </c>
      <c r="E48" s="31" t="s">
        <v>105</v>
      </c>
      <c r="F48" s="31" t="s">
        <v>106</v>
      </c>
      <c r="G48" s="30" t="s">
        <v>112</v>
      </c>
      <c r="H48" s="30" t="s">
        <v>113</v>
      </c>
      <c r="I48" s="32">
        <v>45805</v>
      </c>
      <c r="J48" s="30" t="s">
        <v>83</v>
      </c>
      <c r="K48" s="30" t="s">
        <v>34</v>
      </c>
      <c r="L48" s="30" t="s">
        <v>114</v>
      </c>
      <c r="M48" s="30" t="s">
        <v>109</v>
      </c>
      <c r="N48" s="33">
        <v>1050</v>
      </c>
      <c r="O48" s="34" t="s">
        <v>86</v>
      </c>
      <c r="P48" s="35">
        <v>45805</v>
      </c>
      <c r="Q48" s="29" t="s">
        <v>168</v>
      </c>
    </row>
    <row r="49" spans="1:17" ht="14.25" customHeight="1" x14ac:dyDescent="0.3">
      <c r="A49" s="28">
        <v>45805</v>
      </c>
      <c r="B49" s="29" t="s">
        <v>162</v>
      </c>
      <c r="C49" s="30" t="s">
        <v>103</v>
      </c>
      <c r="D49" s="30" t="s">
        <v>202</v>
      </c>
      <c r="E49" s="31" t="s">
        <v>105</v>
      </c>
      <c r="F49" s="31" t="s">
        <v>106</v>
      </c>
      <c r="G49" s="30" t="s">
        <v>112</v>
      </c>
      <c r="H49" s="30" t="s">
        <v>113</v>
      </c>
      <c r="I49" s="32">
        <v>45805</v>
      </c>
      <c r="J49" s="30" t="s">
        <v>83</v>
      </c>
      <c r="K49" s="30" t="s">
        <v>34</v>
      </c>
      <c r="L49" s="30" t="s">
        <v>114</v>
      </c>
      <c r="M49" s="30" t="s">
        <v>109</v>
      </c>
      <c r="N49" s="33">
        <v>1050</v>
      </c>
      <c r="O49" s="34" t="s">
        <v>86</v>
      </c>
      <c r="P49" s="35">
        <v>45805</v>
      </c>
      <c r="Q49" s="29" t="s">
        <v>168</v>
      </c>
    </row>
    <row r="50" spans="1:17" ht="14.25" customHeight="1" x14ac:dyDescent="0.3">
      <c r="A50" s="28">
        <v>45805</v>
      </c>
      <c r="B50" s="29" t="s">
        <v>162</v>
      </c>
      <c r="C50" s="30" t="s">
        <v>103</v>
      </c>
      <c r="D50" s="30" t="s">
        <v>203</v>
      </c>
      <c r="E50" s="31" t="s">
        <v>105</v>
      </c>
      <c r="F50" s="31" t="s">
        <v>106</v>
      </c>
      <c r="G50" s="30" t="s">
        <v>112</v>
      </c>
      <c r="H50" s="30" t="s">
        <v>113</v>
      </c>
      <c r="I50" s="32">
        <v>45803</v>
      </c>
      <c r="J50" s="30" t="s">
        <v>83</v>
      </c>
      <c r="K50" s="30" t="s">
        <v>34</v>
      </c>
      <c r="L50" s="30" t="s">
        <v>114</v>
      </c>
      <c r="M50" s="30" t="s">
        <v>109</v>
      </c>
      <c r="N50" s="33">
        <v>1050</v>
      </c>
      <c r="O50" s="34" t="s">
        <v>86</v>
      </c>
      <c r="P50" s="35">
        <v>45806</v>
      </c>
      <c r="Q50" s="29" t="s">
        <v>168</v>
      </c>
    </row>
    <row r="51" spans="1:17" ht="14.25" customHeight="1" x14ac:dyDescent="0.3">
      <c r="A51" s="28">
        <v>45807</v>
      </c>
      <c r="B51" s="29" t="s">
        <v>162</v>
      </c>
      <c r="C51" s="30" t="s">
        <v>103</v>
      </c>
      <c r="D51" s="30" t="s">
        <v>204</v>
      </c>
      <c r="E51" s="31" t="s">
        <v>164</v>
      </c>
      <c r="F51" s="32" t="s">
        <v>165</v>
      </c>
      <c r="G51" s="30" t="s">
        <v>81</v>
      </c>
      <c r="H51" s="30" t="s">
        <v>205</v>
      </c>
      <c r="I51" s="32">
        <v>45805</v>
      </c>
      <c r="J51" s="30" t="s">
        <v>83</v>
      </c>
      <c r="K51" s="30" t="s">
        <v>45</v>
      </c>
      <c r="L51" s="30" t="s">
        <v>84</v>
      </c>
      <c r="M51" s="30" t="s">
        <v>206</v>
      </c>
      <c r="N51" s="33"/>
      <c r="O51" s="34" t="s">
        <v>86</v>
      </c>
      <c r="P51" s="35">
        <v>45807</v>
      </c>
      <c r="Q51" s="29" t="s">
        <v>168</v>
      </c>
    </row>
    <row r="52" spans="1:17" ht="14.25" customHeight="1" x14ac:dyDescent="0.3">
      <c r="A52" s="28">
        <v>45808</v>
      </c>
      <c r="B52" s="29" t="s">
        <v>162</v>
      </c>
      <c r="C52" s="30" t="s">
        <v>103</v>
      </c>
      <c r="D52" s="30" t="s">
        <v>207</v>
      </c>
      <c r="E52" s="31" t="s">
        <v>208</v>
      </c>
      <c r="F52" s="31" t="s">
        <v>209</v>
      </c>
      <c r="G52" s="30" t="s">
        <v>81</v>
      </c>
      <c r="H52" s="30" t="s">
        <v>210</v>
      </c>
      <c r="I52" s="32">
        <v>45806</v>
      </c>
      <c r="J52" s="30" t="s">
        <v>83</v>
      </c>
      <c r="K52" s="30" t="s">
        <v>25</v>
      </c>
      <c r="L52" s="30" t="s">
        <v>84</v>
      </c>
      <c r="M52" s="30" t="s">
        <v>211</v>
      </c>
      <c r="N52" s="33"/>
      <c r="O52" s="34" t="s">
        <v>86</v>
      </c>
      <c r="P52" s="35">
        <v>45808</v>
      </c>
      <c r="Q52" s="29" t="s">
        <v>168</v>
      </c>
    </row>
    <row r="53" spans="1:17" ht="14.25" customHeight="1" x14ac:dyDescent="0.3">
      <c r="A53" s="28">
        <v>45807</v>
      </c>
      <c r="B53" s="29" t="s">
        <v>162</v>
      </c>
      <c r="C53" s="30" t="s">
        <v>103</v>
      </c>
      <c r="D53" s="30" t="s">
        <v>212</v>
      </c>
      <c r="E53" s="31" t="s">
        <v>164</v>
      </c>
      <c r="F53" s="32" t="s">
        <v>165</v>
      </c>
      <c r="G53" s="30" t="s">
        <v>81</v>
      </c>
      <c r="H53" s="30" t="s">
        <v>205</v>
      </c>
      <c r="I53" s="32">
        <v>45805</v>
      </c>
      <c r="J53" s="30" t="s">
        <v>83</v>
      </c>
      <c r="K53" s="30" t="s">
        <v>45</v>
      </c>
      <c r="L53" s="30" t="s">
        <v>84</v>
      </c>
      <c r="M53" s="30" t="s">
        <v>206</v>
      </c>
      <c r="N53" s="33"/>
      <c r="O53" s="34" t="s">
        <v>86</v>
      </c>
      <c r="P53" s="35">
        <v>45808</v>
      </c>
      <c r="Q53" s="29" t="s">
        <v>168</v>
      </c>
    </row>
    <row r="54" spans="1:17" ht="14.25" customHeight="1" x14ac:dyDescent="0.3">
      <c r="A54" s="28">
        <v>45806</v>
      </c>
      <c r="B54" s="29" t="s">
        <v>162</v>
      </c>
      <c r="C54" s="30" t="s">
        <v>77</v>
      </c>
      <c r="D54" s="30" t="s">
        <v>213</v>
      </c>
      <c r="E54" s="31" t="s">
        <v>79</v>
      </c>
      <c r="F54" s="32" t="s">
        <v>80</v>
      </c>
      <c r="G54" s="30" t="s">
        <v>81</v>
      </c>
      <c r="H54" s="30" t="s">
        <v>214</v>
      </c>
      <c r="I54" s="32">
        <v>45804</v>
      </c>
      <c r="J54" s="30" t="s">
        <v>83</v>
      </c>
      <c r="K54" s="30" t="s">
        <v>56</v>
      </c>
      <c r="L54" s="30" t="s">
        <v>114</v>
      </c>
      <c r="M54" s="30" t="s">
        <v>85</v>
      </c>
      <c r="N54" s="33"/>
      <c r="O54" s="34" t="s">
        <v>86</v>
      </c>
      <c r="P54" s="35">
        <v>45808</v>
      </c>
      <c r="Q54" s="29" t="s">
        <v>168</v>
      </c>
    </row>
    <row r="55" spans="1:17" ht="14.25" customHeight="1" x14ac:dyDescent="0.3">
      <c r="A55" s="28">
        <v>45806</v>
      </c>
      <c r="B55" s="29" t="s">
        <v>162</v>
      </c>
      <c r="C55" s="30" t="s">
        <v>77</v>
      </c>
      <c r="D55" s="30" t="s">
        <v>215</v>
      </c>
      <c r="E55" s="31" t="s">
        <v>79</v>
      </c>
      <c r="F55" s="32" t="s">
        <v>80</v>
      </c>
      <c r="G55" s="30" t="s">
        <v>81</v>
      </c>
      <c r="H55" s="30" t="s">
        <v>214</v>
      </c>
      <c r="I55" s="32">
        <v>45804</v>
      </c>
      <c r="J55" s="30" t="s">
        <v>83</v>
      </c>
      <c r="K55" s="30" t="s">
        <v>56</v>
      </c>
      <c r="L55" s="30" t="s">
        <v>114</v>
      </c>
      <c r="M55" s="30" t="s">
        <v>85</v>
      </c>
      <c r="N55" s="33"/>
      <c r="O55" s="34" t="s">
        <v>86</v>
      </c>
      <c r="P55" s="35">
        <v>45808</v>
      </c>
      <c r="Q55" s="29" t="s">
        <v>168</v>
      </c>
    </row>
    <row r="56" spans="1:17" ht="14.25" customHeight="1" x14ac:dyDescent="0.3">
      <c r="A56" s="28">
        <v>45806</v>
      </c>
      <c r="B56" s="29" t="s">
        <v>162</v>
      </c>
      <c r="C56" s="30" t="s">
        <v>77</v>
      </c>
      <c r="D56" s="30" t="s">
        <v>216</v>
      </c>
      <c r="E56" s="31" t="s">
        <v>79</v>
      </c>
      <c r="F56" s="32" t="s">
        <v>80</v>
      </c>
      <c r="G56" s="30" t="s">
        <v>81</v>
      </c>
      <c r="H56" s="30" t="s">
        <v>214</v>
      </c>
      <c r="I56" s="32">
        <v>45804</v>
      </c>
      <c r="J56" s="30" t="s">
        <v>83</v>
      </c>
      <c r="K56" s="30" t="s">
        <v>56</v>
      </c>
      <c r="L56" s="30" t="s">
        <v>114</v>
      </c>
      <c r="M56" s="30" t="s">
        <v>85</v>
      </c>
      <c r="N56" s="33"/>
      <c r="O56" s="34" t="s">
        <v>86</v>
      </c>
      <c r="P56" s="35">
        <v>45808</v>
      </c>
      <c r="Q56" s="29" t="s">
        <v>168</v>
      </c>
    </row>
    <row r="57" spans="1:17" ht="14.25" customHeight="1" x14ac:dyDescent="0.3">
      <c r="A57" s="28">
        <v>45806</v>
      </c>
      <c r="B57" s="29" t="s">
        <v>162</v>
      </c>
      <c r="C57" s="30" t="s">
        <v>77</v>
      </c>
      <c r="D57" s="30" t="s">
        <v>217</v>
      </c>
      <c r="E57" s="31" t="s">
        <v>79</v>
      </c>
      <c r="F57" s="32" t="s">
        <v>80</v>
      </c>
      <c r="G57" s="30" t="s">
        <v>81</v>
      </c>
      <c r="H57" s="30" t="s">
        <v>214</v>
      </c>
      <c r="I57" s="32">
        <v>45804</v>
      </c>
      <c r="J57" s="30" t="s">
        <v>83</v>
      </c>
      <c r="K57" s="30" t="s">
        <v>56</v>
      </c>
      <c r="L57" s="30" t="s">
        <v>114</v>
      </c>
      <c r="M57" s="30" t="s">
        <v>85</v>
      </c>
      <c r="N57" s="33"/>
      <c r="O57" s="34" t="s">
        <v>86</v>
      </c>
      <c r="P57" s="35">
        <v>45808</v>
      </c>
      <c r="Q57" s="29" t="s">
        <v>168</v>
      </c>
    </row>
    <row r="58" spans="1:17" ht="14.25" customHeight="1" x14ac:dyDescent="0.3">
      <c r="A58" s="28">
        <v>45818</v>
      </c>
      <c r="B58" s="29" t="s">
        <v>218</v>
      </c>
      <c r="C58" s="30" t="s">
        <v>219</v>
      </c>
      <c r="D58" s="30" t="s">
        <v>220</v>
      </c>
      <c r="E58" s="31" t="s">
        <v>221</v>
      </c>
      <c r="F58" s="31" t="s">
        <v>222</v>
      </c>
      <c r="G58" s="30" t="s">
        <v>112</v>
      </c>
      <c r="H58" s="30" t="s">
        <v>135</v>
      </c>
      <c r="I58" s="32">
        <v>45817</v>
      </c>
      <c r="J58" s="30" t="s">
        <v>108</v>
      </c>
      <c r="K58" s="32" t="s">
        <v>42</v>
      </c>
      <c r="L58" s="30" t="s">
        <v>223</v>
      </c>
      <c r="M58" s="30" t="s">
        <v>101</v>
      </c>
      <c r="N58" s="37">
        <v>2450</v>
      </c>
      <c r="O58" s="34" t="s">
        <v>86</v>
      </c>
      <c r="P58" s="35">
        <v>45818</v>
      </c>
      <c r="Q58" s="29" t="s">
        <v>224</v>
      </c>
    </row>
    <row r="59" spans="1:17" ht="14.25" customHeight="1" x14ac:dyDescent="0.3">
      <c r="A59" s="28">
        <v>45818</v>
      </c>
      <c r="B59" s="29" t="s">
        <v>218</v>
      </c>
      <c r="C59" s="30" t="s">
        <v>219</v>
      </c>
      <c r="D59" s="30" t="s">
        <v>225</v>
      </c>
      <c r="E59" s="31" t="s">
        <v>226</v>
      </c>
      <c r="F59" s="31" t="s">
        <v>222</v>
      </c>
      <c r="G59" s="30" t="s">
        <v>81</v>
      </c>
      <c r="H59" s="30" t="s">
        <v>227</v>
      </c>
      <c r="I59" s="32">
        <v>45815</v>
      </c>
      <c r="J59" s="30" t="s">
        <v>108</v>
      </c>
      <c r="K59" s="32" t="s">
        <v>25</v>
      </c>
      <c r="L59" s="30" t="s">
        <v>223</v>
      </c>
      <c r="M59" s="30" t="s">
        <v>101</v>
      </c>
      <c r="N59" s="37"/>
      <c r="O59" s="34" t="s">
        <v>86</v>
      </c>
      <c r="P59" s="35">
        <v>45818</v>
      </c>
      <c r="Q59" s="29" t="s">
        <v>224</v>
      </c>
    </row>
    <row r="60" spans="1:17" ht="14.25" customHeight="1" x14ac:dyDescent="0.3">
      <c r="A60" s="28">
        <v>45819</v>
      </c>
      <c r="B60" s="29" t="s">
        <v>218</v>
      </c>
      <c r="C60" s="30" t="s">
        <v>170</v>
      </c>
      <c r="D60" s="30" t="s">
        <v>228</v>
      </c>
      <c r="E60" s="31" t="s">
        <v>229</v>
      </c>
      <c r="F60" s="31" t="s">
        <v>173</v>
      </c>
      <c r="G60" s="30" t="s">
        <v>81</v>
      </c>
      <c r="H60" s="30" t="s">
        <v>230</v>
      </c>
      <c r="I60" s="32">
        <v>45817</v>
      </c>
      <c r="J60" s="30" t="s">
        <v>83</v>
      </c>
      <c r="K60" s="32" t="s">
        <v>43</v>
      </c>
      <c r="L60" s="30" t="s">
        <v>114</v>
      </c>
      <c r="M60" s="30" t="s">
        <v>176</v>
      </c>
      <c r="N60" s="37"/>
      <c r="O60" s="34" t="s">
        <v>86</v>
      </c>
      <c r="P60" s="35">
        <v>45819</v>
      </c>
      <c r="Q60" s="29" t="s">
        <v>224</v>
      </c>
    </row>
    <row r="61" spans="1:17" ht="14.25" customHeight="1" x14ac:dyDescent="0.3">
      <c r="A61" s="28">
        <v>45819</v>
      </c>
      <c r="B61" s="29" t="s">
        <v>218</v>
      </c>
      <c r="C61" s="30" t="s">
        <v>103</v>
      </c>
      <c r="D61" s="30" t="s">
        <v>231</v>
      </c>
      <c r="E61" s="31" t="s">
        <v>232</v>
      </c>
      <c r="F61" s="31" t="s">
        <v>233</v>
      </c>
      <c r="G61" s="30" t="s">
        <v>112</v>
      </c>
      <c r="H61" s="30" t="s">
        <v>147</v>
      </c>
      <c r="I61" s="32">
        <v>45818</v>
      </c>
      <c r="J61" s="30" t="s">
        <v>108</v>
      </c>
      <c r="K61" s="32" t="s">
        <v>34</v>
      </c>
      <c r="L61" s="30" t="s">
        <v>223</v>
      </c>
      <c r="M61" s="30" t="s">
        <v>234</v>
      </c>
      <c r="N61" s="37">
        <v>1235</v>
      </c>
      <c r="O61" s="34" t="s">
        <v>86</v>
      </c>
      <c r="P61" s="35">
        <v>45819</v>
      </c>
      <c r="Q61" s="29" t="s">
        <v>224</v>
      </c>
    </row>
    <row r="62" spans="1:17" ht="14.25" customHeight="1" x14ac:dyDescent="0.3">
      <c r="A62" s="28">
        <v>45819</v>
      </c>
      <c r="B62" s="29" t="s">
        <v>218</v>
      </c>
      <c r="C62" s="30" t="s">
        <v>103</v>
      </c>
      <c r="D62" s="30" t="s">
        <v>235</v>
      </c>
      <c r="E62" s="31" t="s">
        <v>236</v>
      </c>
      <c r="F62" s="31" t="s">
        <v>237</v>
      </c>
      <c r="G62" s="30" t="s">
        <v>81</v>
      </c>
      <c r="H62" s="30" t="s">
        <v>238</v>
      </c>
      <c r="I62" s="32">
        <v>45819</v>
      </c>
      <c r="J62" s="30" t="s">
        <v>108</v>
      </c>
      <c r="K62" s="32" t="s">
        <v>44</v>
      </c>
      <c r="L62" s="30" t="s">
        <v>223</v>
      </c>
      <c r="M62" s="30" t="s">
        <v>239</v>
      </c>
      <c r="N62" s="37" t="s">
        <v>81</v>
      </c>
      <c r="O62" s="34" t="s">
        <v>86</v>
      </c>
      <c r="P62" s="35">
        <v>45820</v>
      </c>
      <c r="Q62" s="29" t="s">
        <v>224</v>
      </c>
    </row>
    <row r="63" spans="1:17" ht="14.25" customHeight="1" x14ac:dyDescent="0.3">
      <c r="A63" s="28">
        <v>45819</v>
      </c>
      <c r="B63" s="29" t="s">
        <v>218</v>
      </c>
      <c r="C63" s="30" t="s">
        <v>103</v>
      </c>
      <c r="D63" s="30" t="s">
        <v>240</v>
      </c>
      <c r="E63" s="31" t="s">
        <v>241</v>
      </c>
      <c r="F63" s="31" t="s">
        <v>242</v>
      </c>
      <c r="G63" s="30" t="s">
        <v>81</v>
      </c>
      <c r="H63" s="30" t="s">
        <v>243</v>
      </c>
      <c r="I63" s="32">
        <v>45819</v>
      </c>
      <c r="J63" s="30" t="s">
        <v>108</v>
      </c>
      <c r="K63" s="32" t="s">
        <v>44</v>
      </c>
      <c r="L63" s="30" t="s">
        <v>223</v>
      </c>
      <c r="M63" s="30" t="s">
        <v>244</v>
      </c>
      <c r="N63" s="37" t="s">
        <v>81</v>
      </c>
      <c r="O63" s="34" t="s">
        <v>86</v>
      </c>
      <c r="P63" s="35">
        <v>45820</v>
      </c>
      <c r="Q63" s="29" t="s">
        <v>224</v>
      </c>
    </row>
    <row r="64" spans="1:17" ht="14.25" customHeight="1" x14ac:dyDescent="0.3">
      <c r="A64" s="28">
        <v>45822</v>
      </c>
      <c r="B64" s="29" t="s">
        <v>218</v>
      </c>
      <c r="C64" s="30" t="s">
        <v>103</v>
      </c>
      <c r="D64" s="30" t="s">
        <v>245</v>
      </c>
      <c r="E64" s="31" t="s">
        <v>246</v>
      </c>
      <c r="F64" s="31" t="s">
        <v>247</v>
      </c>
      <c r="G64" s="30" t="s">
        <v>81</v>
      </c>
      <c r="H64" s="30" t="s">
        <v>248</v>
      </c>
      <c r="I64" s="32">
        <v>45820</v>
      </c>
      <c r="J64" s="30" t="s">
        <v>83</v>
      </c>
      <c r="K64" s="32" t="s">
        <v>25</v>
      </c>
      <c r="L64" s="30" t="s">
        <v>114</v>
      </c>
      <c r="M64" s="30" t="s">
        <v>249</v>
      </c>
      <c r="N64" s="37" t="s">
        <v>81</v>
      </c>
      <c r="O64" s="34" t="s">
        <v>86</v>
      </c>
      <c r="P64" s="35">
        <v>45822</v>
      </c>
      <c r="Q64" s="29" t="s">
        <v>224</v>
      </c>
    </row>
    <row r="65" spans="1:17" ht="14.25" customHeight="1" x14ac:dyDescent="0.3">
      <c r="A65" s="28">
        <v>45824</v>
      </c>
      <c r="B65" s="29" t="s">
        <v>218</v>
      </c>
      <c r="C65" s="30" t="s">
        <v>219</v>
      </c>
      <c r="D65" s="30" t="s">
        <v>250</v>
      </c>
      <c r="E65" s="31" t="s">
        <v>221</v>
      </c>
      <c r="F65" s="31" t="s">
        <v>222</v>
      </c>
      <c r="G65" s="30" t="s">
        <v>112</v>
      </c>
      <c r="H65" s="30" t="s">
        <v>135</v>
      </c>
      <c r="I65" s="32"/>
      <c r="J65" s="30" t="s">
        <v>83</v>
      </c>
      <c r="K65" s="32" t="s">
        <v>42</v>
      </c>
      <c r="L65" s="30" t="s">
        <v>84</v>
      </c>
      <c r="M65" s="30" t="s">
        <v>101</v>
      </c>
      <c r="N65" s="37">
        <v>2450</v>
      </c>
      <c r="O65" s="34" t="s">
        <v>86</v>
      </c>
      <c r="P65" s="35">
        <v>45824</v>
      </c>
      <c r="Q65" s="29" t="s">
        <v>224</v>
      </c>
    </row>
    <row r="66" spans="1:17" ht="14.25" customHeight="1" x14ac:dyDescent="0.3">
      <c r="A66" s="28">
        <v>45824</v>
      </c>
      <c r="B66" s="29" t="s">
        <v>218</v>
      </c>
      <c r="C66" s="30" t="s">
        <v>77</v>
      </c>
      <c r="D66" s="30" t="s">
        <v>251</v>
      </c>
      <c r="E66" s="31" t="s">
        <v>252</v>
      </c>
      <c r="F66" s="31" t="s">
        <v>253</v>
      </c>
      <c r="G66" s="30" t="s">
        <v>81</v>
      </c>
      <c r="H66" s="30" t="s">
        <v>190</v>
      </c>
      <c r="I66" s="32">
        <v>45822</v>
      </c>
      <c r="J66" s="30" t="s">
        <v>83</v>
      </c>
      <c r="K66" s="32" t="s">
        <v>42</v>
      </c>
      <c r="L66" s="30" t="s">
        <v>84</v>
      </c>
      <c r="M66" s="30" t="s">
        <v>254</v>
      </c>
      <c r="N66" s="37"/>
      <c r="O66" s="34" t="s">
        <v>86</v>
      </c>
      <c r="P66" s="35">
        <v>45825</v>
      </c>
      <c r="Q66" s="29" t="s">
        <v>224</v>
      </c>
    </row>
    <row r="67" spans="1:17" ht="14.25" customHeight="1" x14ac:dyDescent="0.3">
      <c r="A67" s="28">
        <v>45824</v>
      </c>
      <c r="B67" s="29" t="s">
        <v>218</v>
      </c>
      <c r="C67" s="30" t="s">
        <v>77</v>
      </c>
      <c r="D67" s="30" t="s">
        <v>255</v>
      </c>
      <c r="E67" s="31" t="s">
        <v>252</v>
      </c>
      <c r="F67" s="31" t="s">
        <v>253</v>
      </c>
      <c r="G67" s="30" t="s">
        <v>81</v>
      </c>
      <c r="H67" s="30" t="s">
        <v>190</v>
      </c>
      <c r="I67" s="32">
        <v>45822</v>
      </c>
      <c r="J67" s="30" t="s">
        <v>83</v>
      </c>
      <c r="K67" s="32" t="s">
        <v>42</v>
      </c>
      <c r="L67" s="30" t="s">
        <v>84</v>
      </c>
      <c r="M67" s="30" t="s">
        <v>254</v>
      </c>
      <c r="N67" s="37"/>
      <c r="O67" s="34" t="s">
        <v>86</v>
      </c>
      <c r="P67" s="35">
        <v>45825</v>
      </c>
      <c r="Q67" s="29" t="s">
        <v>224</v>
      </c>
    </row>
    <row r="68" spans="1:17" ht="14.25" customHeight="1" x14ac:dyDescent="0.3">
      <c r="A68" s="28">
        <v>45824</v>
      </c>
      <c r="B68" s="29" t="s">
        <v>218</v>
      </c>
      <c r="C68" s="30" t="s">
        <v>77</v>
      </c>
      <c r="D68" s="30" t="s">
        <v>256</v>
      </c>
      <c r="E68" s="31" t="s">
        <v>252</v>
      </c>
      <c r="F68" s="31" t="s">
        <v>253</v>
      </c>
      <c r="G68" s="30" t="s">
        <v>81</v>
      </c>
      <c r="H68" s="30" t="s">
        <v>190</v>
      </c>
      <c r="I68" s="32">
        <v>45822</v>
      </c>
      <c r="J68" s="30" t="s">
        <v>83</v>
      </c>
      <c r="K68" s="32" t="s">
        <v>42</v>
      </c>
      <c r="L68" s="30" t="s">
        <v>84</v>
      </c>
      <c r="M68" s="30" t="s">
        <v>254</v>
      </c>
      <c r="N68" s="37"/>
      <c r="O68" s="34" t="s">
        <v>86</v>
      </c>
      <c r="P68" s="35">
        <v>45825</v>
      </c>
      <c r="Q68" s="29" t="s">
        <v>224</v>
      </c>
    </row>
    <row r="69" spans="1:17" ht="14.25" customHeight="1" x14ac:dyDescent="0.3">
      <c r="A69" s="28">
        <v>45826</v>
      </c>
      <c r="B69" s="29" t="s">
        <v>218</v>
      </c>
      <c r="C69" s="30" t="s">
        <v>103</v>
      </c>
      <c r="D69" s="30" t="s">
        <v>257</v>
      </c>
      <c r="E69" s="31" t="s">
        <v>164</v>
      </c>
      <c r="F69" s="31" t="s">
        <v>165</v>
      </c>
      <c r="G69" s="30" t="s">
        <v>81</v>
      </c>
      <c r="H69" s="30" t="s">
        <v>258</v>
      </c>
      <c r="I69" s="32">
        <v>45824</v>
      </c>
      <c r="J69" s="30" t="s">
        <v>83</v>
      </c>
      <c r="K69" s="32" t="s">
        <v>45</v>
      </c>
      <c r="L69" s="30" t="s">
        <v>84</v>
      </c>
      <c r="M69" s="30" t="s">
        <v>206</v>
      </c>
      <c r="N69" s="37" t="s">
        <v>81</v>
      </c>
      <c r="O69" s="34" t="s">
        <v>86</v>
      </c>
      <c r="P69" s="35">
        <v>45826</v>
      </c>
      <c r="Q69" s="29" t="s">
        <v>224</v>
      </c>
    </row>
    <row r="70" spans="1:17" ht="14.25" customHeight="1" x14ac:dyDescent="0.3">
      <c r="A70" s="28">
        <v>45824</v>
      </c>
      <c r="B70" s="29" t="s">
        <v>218</v>
      </c>
      <c r="C70" s="30" t="s">
        <v>77</v>
      </c>
      <c r="D70" s="30" t="s">
        <v>259</v>
      </c>
      <c r="E70" s="31" t="s">
        <v>252</v>
      </c>
      <c r="F70" s="31" t="s">
        <v>253</v>
      </c>
      <c r="G70" s="30" t="s">
        <v>81</v>
      </c>
      <c r="H70" s="30" t="s">
        <v>190</v>
      </c>
      <c r="I70" s="32">
        <v>45822</v>
      </c>
      <c r="J70" s="30" t="s">
        <v>83</v>
      </c>
      <c r="K70" s="32" t="s">
        <v>42</v>
      </c>
      <c r="L70" s="30" t="s">
        <v>84</v>
      </c>
      <c r="M70" s="30" t="s">
        <v>254</v>
      </c>
      <c r="N70" s="37"/>
      <c r="O70" s="34" t="s">
        <v>86</v>
      </c>
      <c r="P70" s="35">
        <v>45826</v>
      </c>
      <c r="Q70" s="29" t="s">
        <v>224</v>
      </c>
    </row>
    <row r="71" spans="1:17" ht="14.25" customHeight="1" x14ac:dyDescent="0.3">
      <c r="A71" s="28">
        <v>45824</v>
      </c>
      <c r="B71" s="29" t="s">
        <v>218</v>
      </c>
      <c r="C71" s="30" t="s">
        <v>77</v>
      </c>
      <c r="D71" s="30" t="s">
        <v>260</v>
      </c>
      <c r="E71" s="31" t="s">
        <v>252</v>
      </c>
      <c r="F71" s="31" t="s">
        <v>253</v>
      </c>
      <c r="G71" s="30" t="s">
        <v>81</v>
      </c>
      <c r="H71" s="30" t="s">
        <v>190</v>
      </c>
      <c r="I71" s="32">
        <v>45822</v>
      </c>
      <c r="J71" s="30" t="s">
        <v>83</v>
      </c>
      <c r="K71" s="32" t="s">
        <v>42</v>
      </c>
      <c r="L71" s="30" t="s">
        <v>84</v>
      </c>
      <c r="M71" s="30" t="s">
        <v>254</v>
      </c>
      <c r="N71" s="37"/>
      <c r="O71" s="34" t="s">
        <v>86</v>
      </c>
      <c r="P71" s="35">
        <v>45826</v>
      </c>
      <c r="Q71" s="29" t="s">
        <v>224</v>
      </c>
    </row>
    <row r="72" spans="1:17" ht="14.25" customHeight="1" x14ac:dyDescent="0.3">
      <c r="A72" s="28">
        <v>45824</v>
      </c>
      <c r="B72" s="29" t="s">
        <v>218</v>
      </c>
      <c r="C72" s="30" t="s">
        <v>77</v>
      </c>
      <c r="D72" s="30" t="s">
        <v>261</v>
      </c>
      <c r="E72" s="31" t="s">
        <v>252</v>
      </c>
      <c r="F72" s="31" t="s">
        <v>253</v>
      </c>
      <c r="G72" s="30" t="s">
        <v>81</v>
      </c>
      <c r="H72" s="30" t="s">
        <v>190</v>
      </c>
      <c r="I72" s="32">
        <v>45822</v>
      </c>
      <c r="J72" s="30" t="s">
        <v>83</v>
      </c>
      <c r="K72" s="32" t="s">
        <v>42</v>
      </c>
      <c r="L72" s="30" t="s">
        <v>84</v>
      </c>
      <c r="M72" s="30" t="s">
        <v>254</v>
      </c>
      <c r="N72" s="37"/>
      <c r="O72" s="34" t="s">
        <v>86</v>
      </c>
      <c r="P72" s="35">
        <v>45826</v>
      </c>
      <c r="Q72" s="29" t="s">
        <v>224</v>
      </c>
    </row>
    <row r="73" spans="1:17" ht="14.25" customHeight="1" x14ac:dyDescent="0.3">
      <c r="A73" s="28">
        <v>45826</v>
      </c>
      <c r="B73" s="29" t="s">
        <v>218</v>
      </c>
      <c r="C73" s="30" t="s">
        <v>103</v>
      </c>
      <c r="D73" s="30" t="s">
        <v>262</v>
      </c>
      <c r="E73" s="31" t="s">
        <v>164</v>
      </c>
      <c r="F73" s="31" t="s">
        <v>165</v>
      </c>
      <c r="G73" s="30" t="s">
        <v>81</v>
      </c>
      <c r="H73" s="30" t="s">
        <v>258</v>
      </c>
      <c r="I73" s="32">
        <v>45824</v>
      </c>
      <c r="J73" s="30" t="s">
        <v>83</v>
      </c>
      <c r="K73" s="32" t="s">
        <v>45</v>
      </c>
      <c r="L73" s="30" t="s">
        <v>84</v>
      </c>
      <c r="M73" s="30" t="s">
        <v>206</v>
      </c>
      <c r="N73" s="37" t="s">
        <v>81</v>
      </c>
      <c r="O73" s="34" t="s">
        <v>86</v>
      </c>
      <c r="P73" s="35">
        <v>45827</v>
      </c>
      <c r="Q73" s="29" t="s">
        <v>224</v>
      </c>
    </row>
    <row r="74" spans="1:17" ht="14.25" customHeight="1" x14ac:dyDescent="0.3">
      <c r="A74" s="28">
        <v>45826</v>
      </c>
      <c r="B74" s="29" t="s">
        <v>218</v>
      </c>
      <c r="C74" s="30" t="s">
        <v>103</v>
      </c>
      <c r="D74" s="30" t="s">
        <v>263</v>
      </c>
      <c r="E74" s="31" t="s">
        <v>164</v>
      </c>
      <c r="F74" s="31" t="s">
        <v>165</v>
      </c>
      <c r="G74" s="30" t="s">
        <v>81</v>
      </c>
      <c r="H74" s="30" t="s">
        <v>258</v>
      </c>
      <c r="I74" s="32">
        <v>45824</v>
      </c>
      <c r="J74" s="30" t="s">
        <v>83</v>
      </c>
      <c r="K74" s="32" t="s">
        <v>45</v>
      </c>
      <c r="L74" s="30" t="s">
        <v>84</v>
      </c>
      <c r="M74" s="30" t="s">
        <v>206</v>
      </c>
      <c r="N74" s="37" t="s">
        <v>81</v>
      </c>
      <c r="O74" s="34" t="s">
        <v>86</v>
      </c>
      <c r="P74" s="35">
        <v>45828</v>
      </c>
      <c r="Q74" s="29" t="s">
        <v>224</v>
      </c>
    </row>
    <row r="75" spans="1:17" ht="14.25" customHeight="1" x14ac:dyDescent="0.3">
      <c r="A75" s="28">
        <v>45826</v>
      </c>
      <c r="B75" s="29" t="s">
        <v>218</v>
      </c>
      <c r="C75" s="30" t="s">
        <v>103</v>
      </c>
      <c r="D75" s="30" t="s">
        <v>264</v>
      </c>
      <c r="E75" s="31" t="s">
        <v>164</v>
      </c>
      <c r="F75" s="31" t="s">
        <v>165</v>
      </c>
      <c r="G75" s="30" t="s">
        <v>81</v>
      </c>
      <c r="H75" s="30" t="s">
        <v>258</v>
      </c>
      <c r="I75" s="32">
        <v>45824</v>
      </c>
      <c r="J75" s="30" t="s">
        <v>83</v>
      </c>
      <c r="K75" s="32" t="s">
        <v>45</v>
      </c>
      <c r="L75" s="30" t="s">
        <v>84</v>
      </c>
      <c r="M75" s="30" t="s">
        <v>206</v>
      </c>
      <c r="N75" s="37" t="s">
        <v>81</v>
      </c>
      <c r="O75" s="34" t="s">
        <v>86</v>
      </c>
      <c r="P75" s="35">
        <v>45828</v>
      </c>
      <c r="Q75" s="29" t="s">
        <v>224</v>
      </c>
    </row>
    <row r="76" spans="1:17" ht="14.25" customHeight="1" x14ac:dyDescent="0.3">
      <c r="A76" s="28">
        <v>45829</v>
      </c>
      <c r="B76" s="29" t="s">
        <v>218</v>
      </c>
      <c r="C76" s="30" t="s">
        <v>103</v>
      </c>
      <c r="D76" s="30" t="s">
        <v>265</v>
      </c>
      <c r="E76" s="31" t="s">
        <v>160</v>
      </c>
      <c r="F76" s="31" t="s">
        <v>266</v>
      </c>
      <c r="G76" s="30" t="s">
        <v>81</v>
      </c>
      <c r="H76" s="30" t="s">
        <v>124</v>
      </c>
      <c r="I76" s="32">
        <v>45827</v>
      </c>
      <c r="J76" s="30" t="s">
        <v>83</v>
      </c>
      <c r="K76" s="32" t="s">
        <v>175</v>
      </c>
      <c r="L76" s="30" t="s">
        <v>84</v>
      </c>
      <c r="M76" s="30" t="s">
        <v>161</v>
      </c>
      <c r="N76" s="37">
        <v>1500</v>
      </c>
      <c r="O76" s="34" t="s">
        <v>86</v>
      </c>
      <c r="P76" s="35">
        <v>45829</v>
      </c>
      <c r="Q76" s="29" t="s">
        <v>224</v>
      </c>
    </row>
    <row r="77" spans="1:17" ht="14.25" customHeight="1" x14ac:dyDescent="0.3">
      <c r="A77" s="28">
        <v>45828</v>
      </c>
      <c r="B77" s="29" t="s">
        <v>218</v>
      </c>
      <c r="C77" s="30" t="s">
        <v>77</v>
      </c>
      <c r="D77" s="30" t="s">
        <v>267</v>
      </c>
      <c r="E77" s="31" t="s">
        <v>268</v>
      </c>
      <c r="F77" s="31" t="s">
        <v>269</v>
      </c>
      <c r="G77" s="30" t="s">
        <v>112</v>
      </c>
      <c r="H77" s="30" t="s">
        <v>156</v>
      </c>
      <c r="I77" s="32">
        <v>45827</v>
      </c>
      <c r="J77" s="30" t="s">
        <v>108</v>
      </c>
      <c r="K77" s="32" t="s">
        <v>42</v>
      </c>
      <c r="L77" s="30" t="s">
        <v>223</v>
      </c>
      <c r="M77" s="30" t="s">
        <v>270</v>
      </c>
      <c r="N77" s="37">
        <v>485</v>
      </c>
      <c r="O77" s="34" t="s">
        <v>86</v>
      </c>
      <c r="P77" s="35">
        <v>45831</v>
      </c>
      <c r="Q77" s="29" t="s">
        <v>224</v>
      </c>
    </row>
    <row r="78" spans="1:17" ht="14.25" customHeight="1" x14ac:dyDescent="0.3">
      <c r="A78" s="28">
        <v>45828</v>
      </c>
      <c r="B78" s="29" t="s">
        <v>218</v>
      </c>
      <c r="C78" s="30" t="s">
        <v>77</v>
      </c>
      <c r="D78" s="30" t="s">
        <v>271</v>
      </c>
      <c r="E78" s="31" t="s">
        <v>268</v>
      </c>
      <c r="F78" s="31" t="s">
        <v>269</v>
      </c>
      <c r="G78" s="30" t="s">
        <v>112</v>
      </c>
      <c r="H78" s="30" t="s">
        <v>156</v>
      </c>
      <c r="I78" s="32">
        <v>45827</v>
      </c>
      <c r="J78" s="30" t="s">
        <v>108</v>
      </c>
      <c r="K78" s="32" t="s">
        <v>42</v>
      </c>
      <c r="L78" s="30" t="s">
        <v>223</v>
      </c>
      <c r="M78" s="30" t="s">
        <v>270</v>
      </c>
      <c r="N78" s="37">
        <v>485</v>
      </c>
      <c r="O78" s="34" t="s">
        <v>86</v>
      </c>
      <c r="P78" s="35">
        <v>45831</v>
      </c>
      <c r="Q78" s="29" t="s">
        <v>224</v>
      </c>
    </row>
    <row r="79" spans="1:17" ht="14.25" customHeight="1" x14ac:dyDescent="0.3">
      <c r="A79" s="28">
        <v>45830</v>
      </c>
      <c r="B79" s="29" t="s">
        <v>218</v>
      </c>
      <c r="C79" s="30" t="s">
        <v>77</v>
      </c>
      <c r="D79" s="30" t="s">
        <v>272</v>
      </c>
      <c r="E79" s="31" t="s">
        <v>122</v>
      </c>
      <c r="F79" s="31" t="s">
        <v>123</v>
      </c>
      <c r="G79" s="30" t="s">
        <v>81</v>
      </c>
      <c r="H79" s="30" t="s">
        <v>190</v>
      </c>
      <c r="I79" s="32">
        <v>45828</v>
      </c>
      <c r="J79" s="30" t="s">
        <v>83</v>
      </c>
      <c r="K79" s="32" t="s">
        <v>48</v>
      </c>
      <c r="L79" s="30" t="s">
        <v>114</v>
      </c>
      <c r="M79" s="30" t="s">
        <v>191</v>
      </c>
      <c r="N79" s="37"/>
      <c r="O79" s="34" t="s">
        <v>86</v>
      </c>
      <c r="P79" s="35">
        <v>45831</v>
      </c>
      <c r="Q79" s="29" t="s">
        <v>224</v>
      </c>
    </row>
    <row r="80" spans="1:17" ht="14.25" customHeight="1" x14ac:dyDescent="0.3">
      <c r="A80" s="28">
        <v>45830</v>
      </c>
      <c r="B80" s="29" t="s">
        <v>218</v>
      </c>
      <c r="C80" s="30" t="s">
        <v>77</v>
      </c>
      <c r="D80" s="30" t="s">
        <v>273</v>
      </c>
      <c r="E80" s="31" t="s">
        <v>122</v>
      </c>
      <c r="F80" s="31" t="s">
        <v>123</v>
      </c>
      <c r="G80" s="30" t="s">
        <v>81</v>
      </c>
      <c r="H80" s="30" t="s">
        <v>190</v>
      </c>
      <c r="I80" s="32">
        <v>45828</v>
      </c>
      <c r="J80" s="30" t="s">
        <v>83</v>
      </c>
      <c r="K80" s="32" t="s">
        <v>48</v>
      </c>
      <c r="L80" s="30" t="s">
        <v>114</v>
      </c>
      <c r="M80" s="30" t="s">
        <v>191</v>
      </c>
      <c r="N80" s="37"/>
      <c r="O80" s="34" t="s">
        <v>86</v>
      </c>
      <c r="P80" s="35">
        <v>45831</v>
      </c>
      <c r="Q80" s="29" t="s">
        <v>224</v>
      </c>
    </row>
    <row r="81" spans="1:17" ht="14.25" customHeight="1" x14ac:dyDescent="0.3">
      <c r="A81" s="28">
        <v>45834</v>
      </c>
      <c r="B81" s="29" t="s">
        <v>218</v>
      </c>
      <c r="C81" s="30" t="s">
        <v>103</v>
      </c>
      <c r="D81" s="30" t="s">
        <v>274</v>
      </c>
      <c r="E81" s="31" t="s">
        <v>145</v>
      </c>
      <c r="F81" s="31" t="s">
        <v>146</v>
      </c>
      <c r="G81" s="30" t="s">
        <v>81</v>
      </c>
      <c r="H81" s="30" t="s">
        <v>275</v>
      </c>
      <c r="I81" s="32">
        <v>45832</v>
      </c>
      <c r="J81" s="30" t="s">
        <v>136</v>
      </c>
      <c r="K81" s="32" t="s">
        <v>35</v>
      </c>
      <c r="L81" s="30" t="s">
        <v>137</v>
      </c>
      <c r="M81" s="30" t="s">
        <v>188</v>
      </c>
      <c r="N81" s="37">
        <v>1200</v>
      </c>
      <c r="O81" s="34" t="s">
        <v>86</v>
      </c>
      <c r="P81" s="35">
        <v>45834</v>
      </c>
      <c r="Q81" s="29" t="s">
        <v>224</v>
      </c>
    </row>
    <row r="82" spans="1:17" ht="14.25" customHeight="1" x14ac:dyDescent="0.3">
      <c r="A82" s="28">
        <v>45834</v>
      </c>
      <c r="B82" s="29" t="s">
        <v>218</v>
      </c>
      <c r="C82" s="30" t="s">
        <v>103</v>
      </c>
      <c r="D82" s="30" t="s">
        <v>276</v>
      </c>
      <c r="E82" s="31" t="s">
        <v>145</v>
      </c>
      <c r="F82" s="31" t="s">
        <v>146</v>
      </c>
      <c r="G82" s="30" t="s">
        <v>81</v>
      </c>
      <c r="H82" s="30" t="s">
        <v>275</v>
      </c>
      <c r="I82" s="32">
        <v>45832</v>
      </c>
      <c r="J82" s="30" t="s">
        <v>136</v>
      </c>
      <c r="K82" s="32" t="s">
        <v>35</v>
      </c>
      <c r="L82" s="30" t="s">
        <v>137</v>
      </c>
      <c r="M82" s="30" t="s">
        <v>188</v>
      </c>
      <c r="N82" s="37">
        <v>1200</v>
      </c>
      <c r="O82" s="34" t="s">
        <v>86</v>
      </c>
      <c r="P82" s="35">
        <v>45834</v>
      </c>
      <c r="Q82" s="29" t="s">
        <v>224</v>
      </c>
    </row>
    <row r="83" spans="1:17" ht="14.25" customHeight="1" x14ac:dyDescent="0.3">
      <c r="A83" s="28">
        <v>45833</v>
      </c>
      <c r="B83" s="29" t="s">
        <v>218</v>
      </c>
      <c r="C83" s="30" t="s">
        <v>103</v>
      </c>
      <c r="D83" s="30" t="s">
        <v>277</v>
      </c>
      <c r="E83" s="31" t="s">
        <v>145</v>
      </c>
      <c r="F83" s="31" t="s">
        <v>146</v>
      </c>
      <c r="G83" s="30" t="s">
        <v>81</v>
      </c>
      <c r="H83" s="30" t="s">
        <v>275</v>
      </c>
      <c r="I83" s="32">
        <v>45832</v>
      </c>
      <c r="J83" s="30" t="s">
        <v>136</v>
      </c>
      <c r="K83" s="32" t="s">
        <v>35</v>
      </c>
      <c r="L83" s="30" t="s">
        <v>137</v>
      </c>
      <c r="M83" s="30" t="s">
        <v>188</v>
      </c>
      <c r="N83" s="37">
        <v>1200</v>
      </c>
      <c r="O83" s="34" t="s">
        <v>86</v>
      </c>
      <c r="P83" s="35">
        <v>45834</v>
      </c>
      <c r="Q83" s="29" t="s">
        <v>224</v>
      </c>
    </row>
    <row r="84" spans="1:17" ht="14.25" customHeight="1" x14ac:dyDescent="0.3">
      <c r="A84" s="28">
        <v>45833</v>
      </c>
      <c r="B84" s="29" t="s">
        <v>218</v>
      </c>
      <c r="C84" s="30" t="s">
        <v>103</v>
      </c>
      <c r="D84" s="30" t="s">
        <v>278</v>
      </c>
      <c r="E84" s="31" t="s">
        <v>145</v>
      </c>
      <c r="F84" s="31" t="s">
        <v>146</v>
      </c>
      <c r="G84" s="30" t="s">
        <v>81</v>
      </c>
      <c r="H84" s="30" t="s">
        <v>275</v>
      </c>
      <c r="I84" s="32">
        <v>45832</v>
      </c>
      <c r="J84" s="30" t="s">
        <v>136</v>
      </c>
      <c r="K84" s="32" t="s">
        <v>35</v>
      </c>
      <c r="L84" s="30" t="s">
        <v>137</v>
      </c>
      <c r="M84" s="30" t="s">
        <v>188</v>
      </c>
      <c r="N84" s="37">
        <v>1200</v>
      </c>
      <c r="O84" s="34" t="s">
        <v>86</v>
      </c>
      <c r="P84" s="35">
        <v>45834</v>
      </c>
      <c r="Q84" s="29" t="s">
        <v>224</v>
      </c>
    </row>
    <row r="85" spans="1:17" ht="14.25" customHeight="1" x14ac:dyDescent="0.3">
      <c r="A85" s="28">
        <v>45833</v>
      </c>
      <c r="B85" s="29" t="s">
        <v>218</v>
      </c>
      <c r="C85" s="30" t="s">
        <v>103</v>
      </c>
      <c r="D85" s="30" t="s">
        <v>279</v>
      </c>
      <c r="E85" s="31" t="s">
        <v>145</v>
      </c>
      <c r="F85" s="31" t="s">
        <v>146</v>
      </c>
      <c r="G85" s="30" t="s">
        <v>81</v>
      </c>
      <c r="H85" s="30" t="s">
        <v>275</v>
      </c>
      <c r="I85" s="32">
        <v>45832</v>
      </c>
      <c r="J85" s="30" t="s">
        <v>136</v>
      </c>
      <c r="K85" s="32" t="s">
        <v>35</v>
      </c>
      <c r="L85" s="30" t="s">
        <v>137</v>
      </c>
      <c r="M85" s="30" t="s">
        <v>188</v>
      </c>
      <c r="N85" s="37">
        <v>1200</v>
      </c>
      <c r="O85" s="34" t="s">
        <v>86</v>
      </c>
      <c r="P85" s="35">
        <v>45834</v>
      </c>
      <c r="Q85" s="29" t="s">
        <v>224</v>
      </c>
    </row>
    <row r="86" spans="1:17" ht="14.25" customHeight="1" x14ac:dyDescent="0.3">
      <c r="A86" s="28">
        <v>45834</v>
      </c>
      <c r="B86" s="29" t="s">
        <v>218</v>
      </c>
      <c r="C86" s="30" t="s">
        <v>103</v>
      </c>
      <c r="D86" s="30" t="s">
        <v>280</v>
      </c>
      <c r="E86" s="31" t="s">
        <v>145</v>
      </c>
      <c r="F86" s="31" t="s">
        <v>146</v>
      </c>
      <c r="G86" s="30" t="s">
        <v>81</v>
      </c>
      <c r="H86" s="30" t="s">
        <v>275</v>
      </c>
      <c r="I86" s="32">
        <v>45832</v>
      </c>
      <c r="J86" s="30" t="s">
        <v>136</v>
      </c>
      <c r="K86" s="32" t="s">
        <v>35</v>
      </c>
      <c r="L86" s="30" t="s">
        <v>137</v>
      </c>
      <c r="M86" s="30" t="s">
        <v>188</v>
      </c>
      <c r="N86" s="37">
        <v>1200</v>
      </c>
      <c r="O86" s="34" t="s">
        <v>86</v>
      </c>
      <c r="P86" s="35">
        <v>45834</v>
      </c>
      <c r="Q86" s="29" t="s">
        <v>224</v>
      </c>
    </row>
    <row r="87" spans="1:17" ht="14.25" customHeight="1" x14ac:dyDescent="0.3">
      <c r="A87" s="28">
        <v>45834</v>
      </c>
      <c r="B87" s="29" t="s">
        <v>218</v>
      </c>
      <c r="C87" s="30" t="s">
        <v>103</v>
      </c>
      <c r="D87" s="30" t="s">
        <v>281</v>
      </c>
      <c r="E87" s="31" t="s">
        <v>145</v>
      </c>
      <c r="F87" s="31" t="s">
        <v>146</v>
      </c>
      <c r="G87" s="30" t="s">
        <v>81</v>
      </c>
      <c r="H87" s="30" t="s">
        <v>275</v>
      </c>
      <c r="I87" s="32">
        <v>45832</v>
      </c>
      <c r="J87" s="30" t="s">
        <v>136</v>
      </c>
      <c r="K87" s="32" t="s">
        <v>35</v>
      </c>
      <c r="L87" s="30" t="s">
        <v>137</v>
      </c>
      <c r="M87" s="30" t="s">
        <v>188</v>
      </c>
      <c r="N87" s="37">
        <v>1200</v>
      </c>
      <c r="O87" s="34" t="s">
        <v>86</v>
      </c>
      <c r="P87" s="35">
        <v>45835</v>
      </c>
      <c r="Q87" s="29" t="s">
        <v>224</v>
      </c>
    </row>
    <row r="88" spans="1:17" ht="14.25" customHeight="1" x14ac:dyDescent="0.3">
      <c r="A88" s="28">
        <v>45834</v>
      </c>
      <c r="B88" s="29" t="s">
        <v>218</v>
      </c>
      <c r="C88" s="30" t="s">
        <v>219</v>
      </c>
      <c r="D88" s="30" t="s">
        <v>282</v>
      </c>
      <c r="E88" s="31" t="s">
        <v>283</v>
      </c>
      <c r="F88" s="31" t="s">
        <v>284</v>
      </c>
      <c r="G88" s="30" t="s">
        <v>81</v>
      </c>
      <c r="H88" s="30" t="s">
        <v>285</v>
      </c>
      <c r="I88" s="32">
        <v>45832</v>
      </c>
      <c r="J88" s="30" t="s">
        <v>83</v>
      </c>
      <c r="K88" s="32" t="s">
        <v>25</v>
      </c>
      <c r="L88" s="30" t="s">
        <v>114</v>
      </c>
      <c r="M88" s="30" t="s">
        <v>286</v>
      </c>
      <c r="N88" s="37"/>
      <c r="O88" s="34" t="s">
        <v>86</v>
      </c>
      <c r="P88" s="35">
        <v>45836</v>
      </c>
      <c r="Q88" s="29" t="s">
        <v>224</v>
      </c>
    </row>
    <row r="89" spans="1:17" ht="14.25" customHeight="1" x14ac:dyDescent="0.3">
      <c r="A89" s="28">
        <v>45836</v>
      </c>
      <c r="B89" s="29" t="s">
        <v>218</v>
      </c>
      <c r="C89" s="30" t="s">
        <v>219</v>
      </c>
      <c r="D89" s="30" t="s">
        <v>287</v>
      </c>
      <c r="E89" s="31" t="s">
        <v>226</v>
      </c>
      <c r="F89" s="31" t="s">
        <v>222</v>
      </c>
      <c r="G89" s="30" t="s">
        <v>81</v>
      </c>
      <c r="H89" s="30" t="s">
        <v>227</v>
      </c>
      <c r="I89" s="32">
        <v>45835</v>
      </c>
      <c r="J89" s="30" t="s">
        <v>108</v>
      </c>
      <c r="K89" s="32" t="s">
        <v>25</v>
      </c>
      <c r="L89" s="30" t="s">
        <v>223</v>
      </c>
      <c r="M89" s="30" t="s">
        <v>101</v>
      </c>
      <c r="N89" s="37"/>
      <c r="O89" s="34" t="s">
        <v>86</v>
      </c>
      <c r="P89" s="35">
        <v>45836</v>
      </c>
      <c r="Q89" s="29" t="s">
        <v>224</v>
      </c>
    </row>
    <row r="90" spans="1:17" ht="14.25" customHeight="1" x14ac:dyDescent="0.3">
      <c r="A90" s="28">
        <v>45835</v>
      </c>
      <c r="B90" s="29" t="s">
        <v>218</v>
      </c>
      <c r="C90" s="30" t="s">
        <v>77</v>
      </c>
      <c r="D90" s="30" t="s">
        <v>288</v>
      </c>
      <c r="E90" s="31" t="s">
        <v>252</v>
      </c>
      <c r="F90" s="31" t="s">
        <v>253</v>
      </c>
      <c r="G90" s="30" t="s">
        <v>81</v>
      </c>
      <c r="H90" s="30" t="s">
        <v>190</v>
      </c>
      <c r="I90" s="32">
        <v>45835</v>
      </c>
      <c r="J90" s="30" t="s">
        <v>108</v>
      </c>
      <c r="K90" s="32" t="s">
        <v>42</v>
      </c>
      <c r="L90" s="30" t="s">
        <v>223</v>
      </c>
      <c r="M90" s="30" t="s">
        <v>85</v>
      </c>
      <c r="N90" s="37"/>
      <c r="O90" s="34" t="s">
        <v>86</v>
      </c>
      <c r="P90" s="35">
        <v>45836</v>
      </c>
      <c r="Q90" s="29" t="s">
        <v>224</v>
      </c>
    </row>
    <row r="91" spans="1:17" ht="14.25" customHeight="1" x14ac:dyDescent="0.3">
      <c r="A91" s="28">
        <v>45835</v>
      </c>
      <c r="B91" s="29" t="s">
        <v>218</v>
      </c>
      <c r="C91" s="30" t="s">
        <v>77</v>
      </c>
      <c r="D91" s="30" t="s">
        <v>289</v>
      </c>
      <c r="E91" s="31" t="s">
        <v>252</v>
      </c>
      <c r="F91" s="31" t="s">
        <v>253</v>
      </c>
      <c r="G91" s="30" t="s">
        <v>81</v>
      </c>
      <c r="H91" s="30" t="s">
        <v>190</v>
      </c>
      <c r="I91" s="32">
        <v>45835</v>
      </c>
      <c r="J91" s="30" t="s">
        <v>108</v>
      </c>
      <c r="K91" s="32" t="s">
        <v>42</v>
      </c>
      <c r="L91" s="30" t="s">
        <v>223</v>
      </c>
      <c r="M91" s="30" t="s">
        <v>85</v>
      </c>
      <c r="N91" s="37"/>
      <c r="O91" s="34" t="s">
        <v>86</v>
      </c>
      <c r="P91" s="35">
        <v>45836</v>
      </c>
      <c r="Q91" s="29" t="s">
        <v>224</v>
      </c>
    </row>
    <row r="92" spans="1:17" ht="14.25" customHeight="1" x14ac:dyDescent="0.3">
      <c r="A92" s="28">
        <v>45835</v>
      </c>
      <c r="B92" s="29" t="s">
        <v>218</v>
      </c>
      <c r="C92" s="30" t="s">
        <v>77</v>
      </c>
      <c r="D92" s="30" t="s">
        <v>290</v>
      </c>
      <c r="E92" s="31" t="s">
        <v>252</v>
      </c>
      <c r="F92" s="31" t="s">
        <v>253</v>
      </c>
      <c r="G92" s="30" t="s">
        <v>81</v>
      </c>
      <c r="H92" s="30" t="s">
        <v>190</v>
      </c>
      <c r="I92" s="32">
        <v>45835</v>
      </c>
      <c r="J92" s="30" t="s">
        <v>108</v>
      </c>
      <c r="K92" s="32" t="s">
        <v>42</v>
      </c>
      <c r="L92" s="30" t="s">
        <v>223</v>
      </c>
      <c r="M92" s="30" t="s">
        <v>85</v>
      </c>
      <c r="N92" s="37"/>
      <c r="O92" s="34" t="s">
        <v>86</v>
      </c>
      <c r="P92" s="35">
        <v>45836</v>
      </c>
      <c r="Q92" s="29" t="s">
        <v>224</v>
      </c>
    </row>
    <row r="93" spans="1:17" ht="14.25" customHeight="1" x14ac:dyDescent="0.3">
      <c r="A93" s="28">
        <v>45836</v>
      </c>
      <c r="B93" s="29" t="s">
        <v>218</v>
      </c>
      <c r="C93" s="30" t="s">
        <v>219</v>
      </c>
      <c r="D93" s="30" t="s">
        <v>291</v>
      </c>
      <c r="E93" s="31" t="s">
        <v>292</v>
      </c>
      <c r="F93" s="31" t="s">
        <v>293</v>
      </c>
      <c r="G93" s="30" t="s">
        <v>112</v>
      </c>
      <c r="H93" s="30" t="s">
        <v>107</v>
      </c>
      <c r="I93" s="32">
        <v>45836</v>
      </c>
      <c r="J93" s="30" t="s">
        <v>108</v>
      </c>
      <c r="K93" s="32" t="s">
        <v>34</v>
      </c>
      <c r="L93" s="30" t="s">
        <v>223</v>
      </c>
      <c r="M93" s="30"/>
      <c r="N93" s="37">
        <v>3600</v>
      </c>
      <c r="O93" s="34" t="s">
        <v>86</v>
      </c>
      <c r="P93" s="35">
        <v>45838</v>
      </c>
      <c r="Q93" s="29" t="s">
        <v>224</v>
      </c>
    </row>
    <row r="94" spans="1:17" ht="14.25" customHeight="1" x14ac:dyDescent="0.3">
      <c r="A94" s="28">
        <v>45838</v>
      </c>
      <c r="B94" s="29" t="s">
        <v>218</v>
      </c>
      <c r="C94" s="30" t="s">
        <v>219</v>
      </c>
      <c r="D94" s="30" t="s">
        <v>294</v>
      </c>
      <c r="E94" s="31" t="s">
        <v>295</v>
      </c>
      <c r="F94" s="31" t="s">
        <v>134</v>
      </c>
      <c r="G94" s="30" t="s">
        <v>81</v>
      </c>
      <c r="H94" s="30" t="s">
        <v>296</v>
      </c>
      <c r="I94" s="32">
        <v>45836</v>
      </c>
      <c r="J94" s="30" t="s">
        <v>83</v>
      </c>
      <c r="K94" s="32" t="s">
        <v>44</v>
      </c>
      <c r="L94" s="30" t="s">
        <v>84</v>
      </c>
      <c r="M94" s="30" t="s">
        <v>141</v>
      </c>
      <c r="N94" s="37"/>
      <c r="O94" s="34" t="s">
        <v>86</v>
      </c>
      <c r="P94" s="35">
        <v>45838</v>
      </c>
      <c r="Q94" s="29" t="s">
        <v>224</v>
      </c>
    </row>
    <row r="95" spans="1:17" ht="14.25" customHeight="1" x14ac:dyDescent="0.3">
      <c r="A95" s="28">
        <v>45838</v>
      </c>
      <c r="B95" s="29" t="s">
        <v>218</v>
      </c>
      <c r="C95" s="30" t="s">
        <v>103</v>
      </c>
      <c r="D95" s="30" t="s">
        <v>297</v>
      </c>
      <c r="E95" s="31" t="s">
        <v>164</v>
      </c>
      <c r="F95" s="31" t="s">
        <v>165</v>
      </c>
      <c r="G95" s="30" t="s">
        <v>81</v>
      </c>
      <c r="H95" s="30" t="s">
        <v>298</v>
      </c>
      <c r="I95" s="32">
        <v>45836</v>
      </c>
      <c r="J95" s="30" t="s">
        <v>83</v>
      </c>
      <c r="K95" s="32" t="s">
        <v>42</v>
      </c>
      <c r="L95" s="30" t="s">
        <v>114</v>
      </c>
      <c r="M95" s="30" t="s">
        <v>167</v>
      </c>
      <c r="N95" s="37" t="s">
        <v>81</v>
      </c>
      <c r="O95" s="34" t="s">
        <v>86</v>
      </c>
      <c r="P95" s="35">
        <v>45838</v>
      </c>
      <c r="Q95" s="29" t="s">
        <v>224</v>
      </c>
    </row>
    <row r="96" spans="1:17" ht="14.25" customHeight="1" x14ac:dyDescent="0.3">
      <c r="A96" s="28">
        <v>45838</v>
      </c>
      <c r="B96" s="29" t="s">
        <v>218</v>
      </c>
      <c r="C96" s="30" t="s">
        <v>103</v>
      </c>
      <c r="D96" s="30" t="s">
        <v>299</v>
      </c>
      <c r="E96" s="31" t="s">
        <v>164</v>
      </c>
      <c r="F96" s="31" t="s">
        <v>165</v>
      </c>
      <c r="G96" s="30" t="s">
        <v>81</v>
      </c>
      <c r="H96" s="30" t="s">
        <v>298</v>
      </c>
      <c r="I96" s="32">
        <v>45836</v>
      </c>
      <c r="J96" s="30" t="s">
        <v>83</v>
      </c>
      <c r="K96" s="32" t="s">
        <v>42</v>
      </c>
      <c r="L96" s="30" t="s">
        <v>114</v>
      </c>
      <c r="M96" s="30" t="s">
        <v>167</v>
      </c>
      <c r="N96" s="37" t="s">
        <v>81</v>
      </c>
      <c r="O96" s="34" t="s">
        <v>86</v>
      </c>
      <c r="P96" s="35">
        <v>45838</v>
      </c>
      <c r="Q96" s="29" t="s">
        <v>224</v>
      </c>
    </row>
    <row r="97" spans="1:17" ht="14.25" customHeight="1" x14ac:dyDescent="0.3">
      <c r="A97" s="28">
        <v>45838</v>
      </c>
      <c r="B97" s="29" t="s">
        <v>218</v>
      </c>
      <c r="C97" s="30" t="s">
        <v>103</v>
      </c>
      <c r="D97" s="30" t="s">
        <v>300</v>
      </c>
      <c r="E97" s="31" t="s">
        <v>164</v>
      </c>
      <c r="F97" s="31" t="s">
        <v>165</v>
      </c>
      <c r="G97" s="30" t="s">
        <v>81</v>
      </c>
      <c r="H97" s="30" t="s">
        <v>298</v>
      </c>
      <c r="I97" s="32">
        <v>45836</v>
      </c>
      <c r="J97" s="30" t="s">
        <v>83</v>
      </c>
      <c r="K97" s="32" t="s">
        <v>42</v>
      </c>
      <c r="L97" s="30" t="s">
        <v>114</v>
      </c>
      <c r="M97" s="30" t="s">
        <v>167</v>
      </c>
      <c r="N97" s="37" t="s">
        <v>81</v>
      </c>
      <c r="O97" s="34" t="s">
        <v>86</v>
      </c>
      <c r="P97" s="35">
        <v>45838</v>
      </c>
      <c r="Q97" s="29" t="s">
        <v>224</v>
      </c>
    </row>
    <row r="98" spans="1:17" ht="14.25" customHeight="1" x14ac:dyDescent="0.3">
      <c r="A98" s="28">
        <v>45838</v>
      </c>
      <c r="B98" s="29" t="s">
        <v>218</v>
      </c>
      <c r="C98" s="30" t="s">
        <v>103</v>
      </c>
      <c r="D98" s="30" t="s">
        <v>301</v>
      </c>
      <c r="E98" s="31" t="s">
        <v>164</v>
      </c>
      <c r="F98" s="31" t="s">
        <v>165</v>
      </c>
      <c r="G98" s="30" t="s">
        <v>81</v>
      </c>
      <c r="H98" s="30" t="s">
        <v>298</v>
      </c>
      <c r="I98" s="32">
        <v>45836</v>
      </c>
      <c r="J98" s="30" t="s">
        <v>83</v>
      </c>
      <c r="K98" s="32" t="s">
        <v>42</v>
      </c>
      <c r="L98" s="30" t="s">
        <v>114</v>
      </c>
      <c r="M98" s="30" t="s">
        <v>167</v>
      </c>
      <c r="N98" s="37" t="s">
        <v>81</v>
      </c>
      <c r="O98" s="34" t="s">
        <v>86</v>
      </c>
      <c r="P98" s="35">
        <v>45838</v>
      </c>
      <c r="Q98" s="29" t="s">
        <v>224</v>
      </c>
    </row>
    <row r="99" spans="1:17" ht="14.25" customHeight="1" x14ac:dyDescent="0.3">
      <c r="A99" s="28">
        <v>45840</v>
      </c>
      <c r="B99" s="29" t="s">
        <v>302</v>
      </c>
      <c r="C99" s="30" t="s">
        <v>219</v>
      </c>
      <c r="D99" s="30" t="s">
        <v>303</v>
      </c>
      <c r="E99" s="31" t="s">
        <v>295</v>
      </c>
      <c r="F99" s="31" t="s">
        <v>134</v>
      </c>
      <c r="G99" s="30" t="s">
        <v>81</v>
      </c>
      <c r="H99" s="30" t="s">
        <v>296</v>
      </c>
      <c r="I99" s="32">
        <v>45838</v>
      </c>
      <c r="J99" s="30" t="s">
        <v>83</v>
      </c>
      <c r="K99" s="32" t="s">
        <v>44</v>
      </c>
      <c r="L99" s="30" t="s">
        <v>84</v>
      </c>
      <c r="M99" s="30" t="s">
        <v>141</v>
      </c>
      <c r="N99" s="37"/>
      <c r="O99" s="34" t="s">
        <v>86</v>
      </c>
      <c r="P99" s="35" t="s">
        <v>304</v>
      </c>
      <c r="Q99" s="29" t="s">
        <v>305</v>
      </c>
    </row>
    <row r="100" spans="1:17" ht="14.25" customHeight="1" x14ac:dyDescent="0.3">
      <c r="A100" s="28">
        <v>45847</v>
      </c>
      <c r="B100" s="29" t="s">
        <v>302</v>
      </c>
      <c r="C100" s="30" t="s">
        <v>103</v>
      </c>
      <c r="D100" s="30" t="s">
        <v>306</v>
      </c>
      <c r="E100" s="31" t="s">
        <v>164</v>
      </c>
      <c r="F100" s="31" t="s">
        <v>165</v>
      </c>
      <c r="G100" s="30" t="s">
        <v>81</v>
      </c>
      <c r="H100" s="30" t="s">
        <v>258</v>
      </c>
      <c r="I100" s="32">
        <v>45845</v>
      </c>
      <c r="J100" s="30" t="s">
        <v>83</v>
      </c>
      <c r="K100" s="32" t="s">
        <v>45</v>
      </c>
      <c r="L100" s="30" t="s">
        <v>84</v>
      </c>
      <c r="M100" s="30" t="s">
        <v>307</v>
      </c>
      <c r="N100" s="37" t="s">
        <v>81</v>
      </c>
      <c r="O100" s="34" t="s">
        <v>86</v>
      </c>
      <c r="P100" s="35" t="s">
        <v>304</v>
      </c>
      <c r="Q100" s="29" t="s">
        <v>305</v>
      </c>
    </row>
    <row r="101" spans="1:17" ht="14.25" customHeight="1" x14ac:dyDescent="0.3">
      <c r="A101" s="28">
        <v>45847</v>
      </c>
      <c r="B101" s="29" t="s">
        <v>302</v>
      </c>
      <c r="C101" s="30" t="s">
        <v>103</v>
      </c>
      <c r="D101" s="30" t="s">
        <v>308</v>
      </c>
      <c r="E101" s="31" t="s">
        <v>164</v>
      </c>
      <c r="F101" s="31" t="s">
        <v>165</v>
      </c>
      <c r="G101" s="30" t="s">
        <v>81</v>
      </c>
      <c r="H101" s="30" t="s">
        <v>258</v>
      </c>
      <c r="I101" s="32">
        <v>45845</v>
      </c>
      <c r="J101" s="30" t="s">
        <v>83</v>
      </c>
      <c r="K101" s="32" t="s">
        <v>45</v>
      </c>
      <c r="L101" s="30" t="s">
        <v>84</v>
      </c>
      <c r="M101" s="30" t="s">
        <v>307</v>
      </c>
      <c r="N101" s="37" t="s">
        <v>81</v>
      </c>
      <c r="O101" s="34" t="s">
        <v>86</v>
      </c>
      <c r="P101" s="35" t="s">
        <v>304</v>
      </c>
      <c r="Q101" s="29" t="s">
        <v>305</v>
      </c>
    </row>
    <row r="102" spans="1:17" ht="14.25" customHeight="1" x14ac:dyDescent="0.3">
      <c r="A102" s="28">
        <v>45847</v>
      </c>
      <c r="B102" s="29" t="s">
        <v>302</v>
      </c>
      <c r="C102" s="30" t="s">
        <v>103</v>
      </c>
      <c r="D102" s="30" t="s">
        <v>309</v>
      </c>
      <c r="E102" s="31" t="s">
        <v>164</v>
      </c>
      <c r="F102" s="31" t="s">
        <v>165</v>
      </c>
      <c r="G102" s="30" t="s">
        <v>81</v>
      </c>
      <c r="H102" s="30" t="s">
        <v>258</v>
      </c>
      <c r="I102" s="32">
        <v>45845</v>
      </c>
      <c r="J102" s="30" t="s">
        <v>83</v>
      </c>
      <c r="K102" s="32" t="s">
        <v>45</v>
      </c>
      <c r="L102" s="30" t="s">
        <v>84</v>
      </c>
      <c r="M102" s="30" t="s">
        <v>307</v>
      </c>
      <c r="N102" s="37" t="s">
        <v>81</v>
      </c>
      <c r="O102" s="34" t="s">
        <v>86</v>
      </c>
      <c r="P102" s="35" t="s">
        <v>304</v>
      </c>
      <c r="Q102" s="29" t="s">
        <v>305</v>
      </c>
    </row>
    <row r="103" spans="1:17" ht="14.25" customHeight="1" x14ac:dyDescent="0.3">
      <c r="A103" s="28">
        <v>45849</v>
      </c>
      <c r="B103" s="29" t="s">
        <v>302</v>
      </c>
      <c r="C103" s="30" t="s">
        <v>103</v>
      </c>
      <c r="D103" s="30" t="s">
        <v>310</v>
      </c>
      <c r="E103" s="31" t="s">
        <v>241</v>
      </c>
      <c r="F103" s="31" t="s">
        <v>242</v>
      </c>
      <c r="G103" s="30" t="s">
        <v>81</v>
      </c>
      <c r="H103" s="30" t="s">
        <v>243</v>
      </c>
      <c r="I103" s="32">
        <v>45849</v>
      </c>
      <c r="J103" s="30" t="s">
        <v>108</v>
      </c>
      <c r="K103" s="32" t="s">
        <v>25</v>
      </c>
      <c r="L103" s="30" t="s">
        <v>223</v>
      </c>
      <c r="M103" s="30" t="s">
        <v>244</v>
      </c>
      <c r="N103" s="37" t="s">
        <v>81</v>
      </c>
      <c r="O103" s="34" t="s">
        <v>86</v>
      </c>
      <c r="P103" s="35" t="s">
        <v>304</v>
      </c>
      <c r="Q103" s="29" t="s">
        <v>305</v>
      </c>
    </row>
    <row r="104" spans="1:17" ht="14.25" customHeight="1" x14ac:dyDescent="0.3">
      <c r="A104" s="28">
        <v>45849</v>
      </c>
      <c r="B104" s="29" t="s">
        <v>302</v>
      </c>
      <c r="C104" s="30" t="s">
        <v>103</v>
      </c>
      <c r="D104" s="30" t="s">
        <v>311</v>
      </c>
      <c r="E104" s="31" t="s">
        <v>241</v>
      </c>
      <c r="F104" s="31" t="s">
        <v>242</v>
      </c>
      <c r="G104" s="30" t="s">
        <v>81</v>
      </c>
      <c r="H104" s="30" t="s">
        <v>243</v>
      </c>
      <c r="I104" s="32">
        <v>45849</v>
      </c>
      <c r="J104" s="30" t="s">
        <v>108</v>
      </c>
      <c r="K104" s="32" t="s">
        <v>25</v>
      </c>
      <c r="L104" s="30" t="s">
        <v>223</v>
      </c>
      <c r="M104" s="30" t="s">
        <v>244</v>
      </c>
      <c r="N104" s="37" t="s">
        <v>81</v>
      </c>
      <c r="O104" s="34" t="s">
        <v>86</v>
      </c>
      <c r="P104" s="35" t="s">
        <v>304</v>
      </c>
      <c r="Q104" s="29" t="s">
        <v>305</v>
      </c>
    </row>
    <row r="105" spans="1:17" ht="14.25" customHeight="1" x14ac:dyDescent="0.3">
      <c r="A105" s="28">
        <v>45849</v>
      </c>
      <c r="B105" s="29" t="s">
        <v>302</v>
      </c>
      <c r="C105" s="30" t="s">
        <v>103</v>
      </c>
      <c r="D105" s="30" t="s">
        <v>312</v>
      </c>
      <c r="E105" s="31" t="s">
        <v>313</v>
      </c>
      <c r="F105" s="31" t="s">
        <v>314</v>
      </c>
      <c r="G105" s="30" t="s">
        <v>81</v>
      </c>
      <c r="H105" s="30" t="s">
        <v>315</v>
      </c>
      <c r="I105" s="32">
        <v>45847</v>
      </c>
      <c r="J105" s="30" t="s">
        <v>83</v>
      </c>
      <c r="K105" s="32" t="s">
        <v>34</v>
      </c>
      <c r="L105" s="30" t="s">
        <v>114</v>
      </c>
      <c r="M105" s="30" t="s">
        <v>316</v>
      </c>
      <c r="N105" s="37" t="s">
        <v>81</v>
      </c>
      <c r="O105" s="34" t="s">
        <v>86</v>
      </c>
      <c r="P105" s="35" t="s">
        <v>304</v>
      </c>
      <c r="Q105" s="29" t="s">
        <v>305</v>
      </c>
    </row>
    <row r="106" spans="1:17" ht="14.25" customHeight="1" x14ac:dyDescent="0.3">
      <c r="A106" s="28">
        <v>45849</v>
      </c>
      <c r="B106" s="29" t="s">
        <v>302</v>
      </c>
      <c r="C106" s="30" t="s">
        <v>103</v>
      </c>
      <c r="D106" s="30" t="s">
        <v>317</v>
      </c>
      <c r="E106" s="31" t="s">
        <v>313</v>
      </c>
      <c r="F106" s="31" t="s">
        <v>314</v>
      </c>
      <c r="G106" s="30" t="s">
        <v>81</v>
      </c>
      <c r="H106" s="30" t="s">
        <v>315</v>
      </c>
      <c r="I106" s="32">
        <v>45847</v>
      </c>
      <c r="J106" s="30" t="s">
        <v>83</v>
      </c>
      <c r="K106" s="32" t="s">
        <v>34</v>
      </c>
      <c r="L106" s="30" t="s">
        <v>114</v>
      </c>
      <c r="M106" s="30" t="s">
        <v>316</v>
      </c>
      <c r="N106" s="37" t="s">
        <v>81</v>
      </c>
      <c r="O106" s="34" t="s">
        <v>86</v>
      </c>
      <c r="P106" s="35" t="s">
        <v>304</v>
      </c>
      <c r="Q106" s="29" t="s">
        <v>305</v>
      </c>
    </row>
    <row r="107" spans="1:17" ht="14.25" customHeight="1" x14ac:dyDescent="0.3">
      <c r="A107" s="28">
        <v>45851</v>
      </c>
      <c r="B107" s="29" t="s">
        <v>302</v>
      </c>
      <c r="C107" s="30" t="s">
        <v>77</v>
      </c>
      <c r="D107" s="30" t="s">
        <v>318</v>
      </c>
      <c r="E107" s="31" t="s">
        <v>182</v>
      </c>
      <c r="F107" s="31" t="s">
        <v>183</v>
      </c>
      <c r="G107" s="30" t="s">
        <v>112</v>
      </c>
      <c r="H107" s="30" t="s">
        <v>275</v>
      </c>
      <c r="I107" s="32">
        <v>45851</v>
      </c>
      <c r="J107" s="30" t="s">
        <v>108</v>
      </c>
      <c r="K107" s="32" t="s">
        <v>42</v>
      </c>
      <c r="L107" s="30" t="s">
        <v>223</v>
      </c>
      <c r="M107" s="30" t="s">
        <v>184</v>
      </c>
      <c r="N107" s="37">
        <v>695</v>
      </c>
      <c r="O107" s="34" t="s">
        <v>86</v>
      </c>
      <c r="P107" s="35" t="s">
        <v>304</v>
      </c>
      <c r="Q107" s="29" t="s">
        <v>305</v>
      </c>
    </row>
    <row r="108" spans="1:17" ht="14.25" customHeight="1" x14ac:dyDescent="0.3">
      <c r="A108" s="28">
        <v>45856</v>
      </c>
      <c r="B108" s="29" t="s">
        <v>302</v>
      </c>
      <c r="C108" s="30" t="s">
        <v>103</v>
      </c>
      <c r="D108" s="30" t="s">
        <v>319</v>
      </c>
      <c r="E108" s="31" t="s">
        <v>105</v>
      </c>
      <c r="F108" s="31" t="s">
        <v>320</v>
      </c>
      <c r="G108" s="30" t="s">
        <v>112</v>
      </c>
      <c r="H108" s="30" t="s">
        <v>275</v>
      </c>
      <c r="I108" s="32">
        <v>45854</v>
      </c>
      <c r="J108" s="30" t="s">
        <v>83</v>
      </c>
      <c r="K108" s="32" t="s">
        <v>42</v>
      </c>
      <c r="L108" s="30" t="s">
        <v>114</v>
      </c>
      <c r="M108" s="30" t="s">
        <v>109</v>
      </c>
      <c r="N108" s="37">
        <v>1550</v>
      </c>
      <c r="O108" s="34" t="s">
        <v>86</v>
      </c>
      <c r="P108" s="35" t="s">
        <v>304</v>
      </c>
      <c r="Q108" s="29" t="s">
        <v>305</v>
      </c>
    </row>
    <row r="109" spans="1:17" ht="14.25" customHeight="1" x14ac:dyDescent="0.3">
      <c r="A109" s="28">
        <v>45856</v>
      </c>
      <c r="B109" s="29" t="s">
        <v>302</v>
      </c>
      <c r="C109" s="30" t="s">
        <v>219</v>
      </c>
      <c r="D109" s="30" t="s">
        <v>321</v>
      </c>
      <c r="E109" s="31" t="s">
        <v>322</v>
      </c>
      <c r="F109" s="31" t="s">
        <v>99</v>
      </c>
      <c r="G109" s="30" t="s">
        <v>81</v>
      </c>
      <c r="H109" s="30" t="s">
        <v>323</v>
      </c>
      <c r="I109" s="32">
        <v>45854</v>
      </c>
      <c r="J109" s="30" t="s">
        <v>83</v>
      </c>
      <c r="K109" s="32" t="s">
        <v>32</v>
      </c>
      <c r="L109" s="30" t="s">
        <v>84</v>
      </c>
      <c r="M109" s="30" t="s">
        <v>101</v>
      </c>
      <c r="N109" s="37"/>
      <c r="O109" s="34" t="s">
        <v>86</v>
      </c>
      <c r="P109" s="35" t="s">
        <v>304</v>
      </c>
      <c r="Q109" s="29" t="s">
        <v>305</v>
      </c>
    </row>
    <row r="110" spans="1:17" ht="14.25" customHeight="1" x14ac:dyDescent="0.3">
      <c r="A110" s="28">
        <v>45856</v>
      </c>
      <c r="B110" s="29" t="s">
        <v>302</v>
      </c>
      <c r="C110" s="30" t="s">
        <v>219</v>
      </c>
      <c r="D110" s="30" t="s">
        <v>324</v>
      </c>
      <c r="E110" s="31" t="s">
        <v>322</v>
      </c>
      <c r="F110" s="31" t="s">
        <v>99</v>
      </c>
      <c r="G110" s="30" t="s">
        <v>81</v>
      </c>
      <c r="H110" s="30" t="s">
        <v>323</v>
      </c>
      <c r="I110" s="32">
        <v>45854</v>
      </c>
      <c r="J110" s="30" t="s">
        <v>83</v>
      </c>
      <c r="K110" s="32" t="s">
        <v>32</v>
      </c>
      <c r="L110" s="30" t="s">
        <v>84</v>
      </c>
      <c r="M110" s="30" t="s">
        <v>101</v>
      </c>
      <c r="N110" s="37"/>
      <c r="O110" s="34" t="s">
        <v>86</v>
      </c>
      <c r="P110" s="35" t="s">
        <v>304</v>
      </c>
      <c r="Q110" s="29" t="s">
        <v>305</v>
      </c>
    </row>
    <row r="111" spans="1:17" ht="14.25" customHeight="1" x14ac:dyDescent="0.3">
      <c r="A111" s="28">
        <v>45857</v>
      </c>
      <c r="B111" s="29" t="s">
        <v>302</v>
      </c>
      <c r="C111" s="30" t="s">
        <v>219</v>
      </c>
      <c r="D111" s="30" t="s">
        <v>325</v>
      </c>
      <c r="E111" s="31" t="s">
        <v>326</v>
      </c>
      <c r="F111" s="31" t="s">
        <v>327</v>
      </c>
      <c r="G111" s="30" t="s">
        <v>81</v>
      </c>
      <c r="H111" s="30" t="s">
        <v>135</v>
      </c>
      <c r="I111" s="32">
        <v>45856</v>
      </c>
      <c r="J111" s="30" t="s">
        <v>136</v>
      </c>
      <c r="K111" s="32" t="s">
        <v>42</v>
      </c>
      <c r="L111" s="30" t="s">
        <v>137</v>
      </c>
      <c r="M111" s="30" t="s">
        <v>328</v>
      </c>
      <c r="N111" s="37">
        <v>2650</v>
      </c>
      <c r="O111" s="34" t="s">
        <v>86</v>
      </c>
      <c r="P111" s="35" t="s">
        <v>304</v>
      </c>
      <c r="Q111" s="29" t="s">
        <v>305</v>
      </c>
    </row>
    <row r="112" spans="1:17" ht="14.25" customHeight="1" x14ac:dyDescent="0.3">
      <c r="A112" s="28">
        <v>45857</v>
      </c>
      <c r="B112" s="29" t="s">
        <v>302</v>
      </c>
      <c r="C112" s="30" t="s">
        <v>77</v>
      </c>
      <c r="D112" s="30" t="s">
        <v>329</v>
      </c>
      <c r="E112" s="31" t="s">
        <v>330</v>
      </c>
      <c r="F112" s="31" t="s">
        <v>269</v>
      </c>
      <c r="G112" s="30" t="s">
        <v>112</v>
      </c>
      <c r="H112" s="30" t="s">
        <v>275</v>
      </c>
      <c r="I112" s="32">
        <v>45856</v>
      </c>
      <c r="J112" s="30" t="s">
        <v>83</v>
      </c>
      <c r="K112" s="32" t="s">
        <v>46</v>
      </c>
      <c r="L112" s="30" t="s">
        <v>84</v>
      </c>
      <c r="M112" s="30" t="s">
        <v>331</v>
      </c>
      <c r="N112" s="37">
        <v>648</v>
      </c>
      <c r="O112" s="34" t="s">
        <v>86</v>
      </c>
      <c r="P112" s="35" t="s">
        <v>304</v>
      </c>
      <c r="Q112" s="29" t="s">
        <v>305</v>
      </c>
    </row>
    <row r="113" spans="1:17" ht="14.25" customHeight="1" x14ac:dyDescent="0.3">
      <c r="A113" s="28">
        <v>45857</v>
      </c>
      <c r="B113" s="29" t="s">
        <v>302</v>
      </c>
      <c r="C113" s="30" t="s">
        <v>219</v>
      </c>
      <c r="D113" s="30" t="s">
        <v>332</v>
      </c>
      <c r="E113" s="31" t="s">
        <v>333</v>
      </c>
      <c r="F113" s="31" t="s">
        <v>209</v>
      </c>
      <c r="G113" s="30" t="s">
        <v>334</v>
      </c>
      <c r="H113" s="30" t="s">
        <v>335</v>
      </c>
      <c r="I113" s="32">
        <v>45856</v>
      </c>
      <c r="J113" s="30" t="s">
        <v>108</v>
      </c>
      <c r="K113" s="32" t="s">
        <v>34</v>
      </c>
      <c r="L113" s="30" t="s">
        <v>223</v>
      </c>
      <c r="M113" s="30" t="s">
        <v>336</v>
      </c>
      <c r="N113" s="37">
        <v>2150</v>
      </c>
      <c r="O113" s="34" t="s">
        <v>86</v>
      </c>
      <c r="P113" s="35" t="s">
        <v>304</v>
      </c>
      <c r="Q113" s="29" t="s">
        <v>305</v>
      </c>
    </row>
    <row r="114" spans="1:17" ht="14.25" customHeight="1" x14ac:dyDescent="0.3">
      <c r="A114" s="28">
        <v>45857</v>
      </c>
      <c r="B114" s="29" t="s">
        <v>302</v>
      </c>
      <c r="C114" s="30" t="s">
        <v>337</v>
      </c>
      <c r="D114" s="30" t="s">
        <v>338</v>
      </c>
      <c r="E114" s="31" t="s">
        <v>339</v>
      </c>
      <c r="F114" s="31" t="s">
        <v>340</v>
      </c>
      <c r="G114" s="30" t="s">
        <v>81</v>
      </c>
      <c r="H114" s="30" t="s">
        <v>341</v>
      </c>
      <c r="I114" s="32">
        <v>45856</v>
      </c>
      <c r="J114" s="30" t="s">
        <v>83</v>
      </c>
      <c r="K114" s="32" t="s">
        <v>36</v>
      </c>
      <c r="L114" s="30" t="s">
        <v>114</v>
      </c>
      <c r="M114" s="30" t="s">
        <v>342</v>
      </c>
      <c r="N114" s="37"/>
      <c r="O114" s="34" t="s">
        <v>86</v>
      </c>
      <c r="P114" s="35" t="s">
        <v>304</v>
      </c>
      <c r="Q114" s="29" t="s">
        <v>305</v>
      </c>
    </row>
    <row r="115" spans="1:17" ht="14.25" customHeight="1" x14ac:dyDescent="0.3">
      <c r="A115" s="28">
        <v>45857</v>
      </c>
      <c r="B115" s="29" t="s">
        <v>302</v>
      </c>
      <c r="C115" s="30" t="s">
        <v>337</v>
      </c>
      <c r="D115" s="30" t="s">
        <v>343</v>
      </c>
      <c r="E115" s="31" t="s">
        <v>339</v>
      </c>
      <c r="F115" s="31" t="s">
        <v>340</v>
      </c>
      <c r="G115" s="30" t="s">
        <v>81</v>
      </c>
      <c r="H115" s="30" t="s">
        <v>341</v>
      </c>
      <c r="I115" s="32">
        <v>45856</v>
      </c>
      <c r="J115" s="30" t="s">
        <v>83</v>
      </c>
      <c r="K115" s="32" t="s">
        <v>36</v>
      </c>
      <c r="L115" s="30" t="s">
        <v>114</v>
      </c>
      <c r="M115" s="30" t="s">
        <v>342</v>
      </c>
      <c r="N115" s="37"/>
      <c r="O115" s="34" t="s">
        <v>86</v>
      </c>
      <c r="P115" s="35" t="s">
        <v>304</v>
      </c>
      <c r="Q115" s="29" t="s">
        <v>305</v>
      </c>
    </row>
    <row r="116" spans="1:17" ht="14.25" customHeight="1" x14ac:dyDescent="0.3">
      <c r="A116" s="28">
        <v>45857</v>
      </c>
      <c r="B116" s="29" t="s">
        <v>302</v>
      </c>
      <c r="C116" s="30" t="s">
        <v>337</v>
      </c>
      <c r="D116" s="30" t="s">
        <v>344</v>
      </c>
      <c r="E116" s="31" t="s">
        <v>339</v>
      </c>
      <c r="F116" s="31" t="s">
        <v>340</v>
      </c>
      <c r="G116" s="30" t="s">
        <v>81</v>
      </c>
      <c r="H116" s="30" t="s">
        <v>341</v>
      </c>
      <c r="I116" s="32">
        <v>45856</v>
      </c>
      <c r="J116" s="30" t="s">
        <v>83</v>
      </c>
      <c r="K116" s="32" t="s">
        <v>36</v>
      </c>
      <c r="L116" s="30" t="s">
        <v>114</v>
      </c>
      <c r="M116" s="30" t="s">
        <v>342</v>
      </c>
      <c r="N116" s="37"/>
      <c r="O116" s="34" t="s">
        <v>86</v>
      </c>
      <c r="P116" s="35" t="s">
        <v>304</v>
      </c>
      <c r="Q116" s="29" t="s">
        <v>305</v>
      </c>
    </row>
    <row r="117" spans="1:17" ht="14.25" customHeight="1" x14ac:dyDescent="0.3">
      <c r="A117" s="28">
        <v>45859</v>
      </c>
      <c r="B117" s="29" t="s">
        <v>302</v>
      </c>
      <c r="C117" s="30" t="s">
        <v>219</v>
      </c>
      <c r="D117" s="30" t="s">
        <v>345</v>
      </c>
      <c r="E117" s="31" t="s">
        <v>295</v>
      </c>
      <c r="F117" s="31" t="s">
        <v>134</v>
      </c>
      <c r="G117" s="30" t="s">
        <v>81</v>
      </c>
      <c r="H117" s="30" t="s">
        <v>346</v>
      </c>
      <c r="I117" s="32">
        <v>45857</v>
      </c>
      <c r="J117" s="30" t="s">
        <v>108</v>
      </c>
      <c r="K117" s="32" t="s">
        <v>44</v>
      </c>
      <c r="L117" s="30" t="s">
        <v>114</v>
      </c>
      <c r="M117" s="30" t="s">
        <v>141</v>
      </c>
      <c r="N117" s="37"/>
      <c r="O117" s="34" t="s">
        <v>86</v>
      </c>
      <c r="P117" s="35" t="s">
        <v>304</v>
      </c>
      <c r="Q117" s="29" t="s">
        <v>305</v>
      </c>
    </row>
    <row r="118" spans="1:17" ht="14.25" customHeight="1" x14ac:dyDescent="0.3">
      <c r="A118" s="28">
        <v>45860</v>
      </c>
      <c r="B118" s="29" t="s">
        <v>302</v>
      </c>
      <c r="C118" s="30" t="s">
        <v>77</v>
      </c>
      <c r="D118" s="30" t="s">
        <v>347</v>
      </c>
      <c r="E118" s="31" t="s">
        <v>154</v>
      </c>
      <c r="F118" s="31" t="s">
        <v>155</v>
      </c>
      <c r="G118" s="30" t="s">
        <v>112</v>
      </c>
      <c r="H118" s="30" t="s">
        <v>275</v>
      </c>
      <c r="I118" s="32">
        <v>45855</v>
      </c>
      <c r="J118" s="30" t="s">
        <v>108</v>
      </c>
      <c r="K118" s="32" t="s">
        <v>34</v>
      </c>
      <c r="L118" s="30" t="s">
        <v>223</v>
      </c>
      <c r="M118" s="30" t="s">
        <v>157</v>
      </c>
      <c r="N118" s="37"/>
      <c r="O118" s="34" t="s">
        <v>86</v>
      </c>
      <c r="P118" s="35" t="s">
        <v>304</v>
      </c>
      <c r="Q118" s="29" t="s">
        <v>305</v>
      </c>
    </row>
    <row r="119" spans="1:17" ht="14.25" customHeight="1" x14ac:dyDescent="0.3">
      <c r="A119" s="28">
        <v>45861</v>
      </c>
      <c r="B119" s="29" t="s">
        <v>302</v>
      </c>
      <c r="C119" s="30" t="s">
        <v>219</v>
      </c>
      <c r="D119" s="30" t="s">
        <v>348</v>
      </c>
      <c r="E119" s="31" t="s">
        <v>326</v>
      </c>
      <c r="F119" s="31" t="s">
        <v>327</v>
      </c>
      <c r="G119" s="30" t="s">
        <v>112</v>
      </c>
      <c r="H119" s="30" t="s">
        <v>135</v>
      </c>
      <c r="I119" s="32">
        <v>45861</v>
      </c>
      <c r="J119" s="30" t="s">
        <v>83</v>
      </c>
      <c r="K119" s="32" t="s">
        <v>32</v>
      </c>
      <c r="L119" s="30" t="s">
        <v>114</v>
      </c>
      <c r="M119" s="30" t="s">
        <v>328</v>
      </c>
      <c r="N119" s="37">
        <v>2650</v>
      </c>
      <c r="O119" s="34" t="s">
        <v>86</v>
      </c>
      <c r="P119" s="35" t="s">
        <v>304</v>
      </c>
      <c r="Q119" s="29" t="s">
        <v>305</v>
      </c>
    </row>
    <row r="120" spans="1:17" ht="14.25" customHeight="1" x14ac:dyDescent="0.3">
      <c r="A120" s="28">
        <v>45862</v>
      </c>
      <c r="B120" s="29" t="s">
        <v>302</v>
      </c>
      <c r="C120" s="30" t="s">
        <v>103</v>
      </c>
      <c r="D120" s="30" t="s">
        <v>349</v>
      </c>
      <c r="E120" s="31" t="s">
        <v>350</v>
      </c>
      <c r="F120" s="31" t="s">
        <v>351</v>
      </c>
      <c r="G120" s="30" t="s">
        <v>81</v>
      </c>
      <c r="H120" s="30" t="s">
        <v>352</v>
      </c>
      <c r="I120" s="32">
        <v>45860</v>
      </c>
      <c r="J120" s="30" t="s">
        <v>83</v>
      </c>
      <c r="K120" s="32" t="s">
        <v>34</v>
      </c>
      <c r="L120" s="30" t="s">
        <v>84</v>
      </c>
      <c r="M120" s="30" t="s">
        <v>353</v>
      </c>
      <c r="N120" s="37" t="s">
        <v>81</v>
      </c>
      <c r="O120" s="34" t="s">
        <v>86</v>
      </c>
      <c r="P120" s="35" t="s">
        <v>304</v>
      </c>
      <c r="Q120" s="29" t="s">
        <v>305</v>
      </c>
    </row>
    <row r="121" spans="1:17" ht="14.25" customHeight="1" x14ac:dyDescent="0.3">
      <c r="A121" s="28">
        <v>45862</v>
      </c>
      <c r="B121" s="29" t="s">
        <v>302</v>
      </c>
      <c r="C121" s="30" t="s">
        <v>103</v>
      </c>
      <c r="D121" s="30" t="s">
        <v>354</v>
      </c>
      <c r="E121" s="31" t="s">
        <v>350</v>
      </c>
      <c r="F121" s="31" t="s">
        <v>351</v>
      </c>
      <c r="G121" s="30" t="s">
        <v>81</v>
      </c>
      <c r="H121" s="30" t="s">
        <v>352</v>
      </c>
      <c r="I121" s="32">
        <v>45860</v>
      </c>
      <c r="J121" s="30" t="s">
        <v>83</v>
      </c>
      <c r="K121" s="32" t="s">
        <v>34</v>
      </c>
      <c r="L121" s="30" t="s">
        <v>84</v>
      </c>
      <c r="M121" s="30" t="s">
        <v>353</v>
      </c>
      <c r="N121" s="37" t="s">
        <v>81</v>
      </c>
      <c r="O121" s="34" t="s">
        <v>86</v>
      </c>
      <c r="P121" s="35" t="s">
        <v>304</v>
      </c>
      <c r="Q121" s="29" t="s">
        <v>305</v>
      </c>
    </row>
    <row r="122" spans="1:17" ht="14.25" customHeight="1" x14ac:dyDescent="0.3">
      <c r="A122" s="28">
        <v>45862</v>
      </c>
      <c r="B122" s="29" t="s">
        <v>302</v>
      </c>
      <c r="C122" s="30" t="s">
        <v>77</v>
      </c>
      <c r="D122" s="30" t="s">
        <v>355</v>
      </c>
      <c r="E122" s="31" t="s">
        <v>182</v>
      </c>
      <c r="F122" s="31" t="s">
        <v>183</v>
      </c>
      <c r="G122" s="30" t="s">
        <v>81</v>
      </c>
      <c r="H122" s="30" t="s">
        <v>275</v>
      </c>
      <c r="I122" s="32">
        <v>45862</v>
      </c>
      <c r="J122" s="30" t="s">
        <v>108</v>
      </c>
      <c r="K122" s="32" t="s">
        <v>42</v>
      </c>
      <c r="L122" s="30" t="s">
        <v>223</v>
      </c>
      <c r="M122" s="30" t="s">
        <v>184</v>
      </c>
      <c r="N122" s="37">
        <v>675</v>
      </c>
      <c r="O122" s="34" t="s">
        <v>86</v>
      </c>
      <c r="P122" s="35" t="s">
        <v>304</v>
      </c>
      <c r="Q122" s="29" t="s">
        <v>305</v>
      </c>
    </row>
    <row r="123" spans="1:17" ht="14.25" customHeight="1" x14ac:dyDescent="0.3">
      <c r="A123" s="28">
        <v>45863</v>
      </c>
      <c r="B123" s="29" t="s">
        <v>302</v>
      </c>
      <c r="C123" s="30" t="s">
        <v>103</v>
      </c>
      <c r="D123" s="30" t="s">
        <v>356</v>
      </c>
      <c r="E123" s="31" t="s">
        <v>105</v>
      </c>
      <c r="F123" s="31" t="s">
        <v>320</v>
      </c>
      <c r="G123" s="30" t="s">
        <v>112</v>
      </c>
      <c r="H123" s="30" t="s">
        <v>147</v>
      </c>
      <c r="I123" s="32">
        <v>45861</v>
      </c>
      <c r="J123" s="30" t="s">
        <v>83</v>
      </c>
      <c r="K123" s="32" t="s">
        <v>34</v>
      </c>
      <c r="L123" s="30" t="s">
        <v>114</v>
      </c>
      <c r="M123" s="30" t="s">
        <v>109</v>
      </c>
      <c r="N123" s="37">
        <v>1640</v>
      </c>
      <c r="O123" s="34" t="s">
        <v>86</v>
      </c>
      <c r="P123" s="35" t="s">
        <v>304</v>
      </c>
      <c r="Q123" s="29" t="s">
        <v>305</v>
      </c>
    </row>
    <row r="124" spans="1:17" ht="14.25" customHeight="1" x14ac:dyDescent="0.3">
      <c r="A124" s="28">
        <v>45863</v>
      </c>
      <c r="B124" s="29" t="s">
        <v>302</v>
      </c>
      <c r="C124" s="30" t="s">
        <v>219</v>
      </c>
      <c r="D124" s="30" t="s">
        <v>357</v>
      </c>
      <c r="E124" s="31" t="s">
        <v>283</v>
      </c>
      <c r="F124" s="31" t="s">
        <v>284</v>
      </c>
      <c r="G124" s="30" t="s">
        <v>81</v>
      </c>
      <c r="H124" s="30" t="s">
        <v>285</v>
      </c>
      <c r="I124" s="32">
        <v>45863</v>
      </c>
      <c r="J124" s="30" t="s">
        <v>108</v>
      </c>
      <c r="K124" s="32" t="s">
        <v>44</v>
      </c>
      <c r="L124" s="30" t="s">
        <v>223</v>
      </c>
      <c r="M124" s="30" t="s">
        <v>358</v>
      </c>
      <c r="N124" s="37"/>
      <c r="O124" s="34" t="s">
        <v>86</v>
      </c>
      <c r="P124" s="35" t="s">
        <v>304</v>
      </c>
      <c r="Q124" s="29" t="s">
        <v>305</v>
      </c>
    </row>
    <row r="125" spans="1:17" ht="14.25" customHeight="1" x14ac:dyDescent="0.3">
      <c r="A125" s="28">
        <v>45863</v>
      </c>
      <c r="B125" s="29" t="s">
        <v>302</v>
      </c>
      <c r="C125" s="30" t="s">
        <v>219</v>
      </c>
      <c r="D125" s="30" t="s">
        <v>359</v>
      </c>
      <c r="E125" s="31" t="s">
        <v>283</v>
      </c>
      <c r="F125" s="31" t="s">
        <v>284</v>
      </c>
      <c r="G125" s="30" t="s">
        <v>81</v>
      </c>
      <c r="H125" s="30" t="s">
        <v>285</v>
      </c>
      <c r="I125" s="32">
        <v>45863</v>
      </c>
      <c r="J125" s="30" t="s">
        <v>108</v>
      </c>
      <c r="K125" s="32" t="s">
        <v>44</v>
      </c>
      <c r="L125" s="30" t="s">
        <v>223</v>
      </c>
      <c r="M125" s="30" t="s">
        <v>358</v>
      </c>
      <c r="N125" s="37"/>
      <c r="O125" s="34" t="s">
        <v>86</v>
      </c>
      <c r="P125" s="35" t="s">
        <v>304</v>
      </c>
      <c r="Q125" s="29" t="s">
        <v>305</v>
      </c>
    </row>
    <row r="126" spans="1:17" ht="14.25" customHeight="1" x14ac:dyDescent="0.3">
      <c r="A126" s="28">
        <v>45863</v>
      </c>
      <c r="B126" s="29" t="s">
        <v>302</v>
      </c>
      <c r="C126" s="30" t="s">
        <v>219</v>
      </c>
      <c r="D126" s="30" t="s">
        <v>360</v>
      </c>
      <c r="E126" s="31" t="s">
        <v>283</v>
      </c>
      <c r="F126" s="31" t="s">
        <v>284</v>
      </c>
      <c r="G126" s="30" t="s">
        <v>81</v>
      </c>
      <c r="H126" s="30" t="s">
        <v>285</v>
      </c>
      <c r="I126" s="32">
        <v>45863</v>
      </c>
      <c r="J126" s="30" t="s">
        <v>108</v>
      </c>
      <c r="K126" s="32" t="s">
        <v>44</v>
      </c>
      <c r="L126" s="30" t="s">
        <v>223</v>
      </c>
      <c r="M126" s="30" t="s">
        <v>358</v>
      </c>
      <c r="N126" s="37"/>
      <c r="O126" s="34" t="s">
        <v>86</v>
      </c>
      <c r="P126" s="35" t="s">
        <v>304</v>
      </c>
      <c r="Q126" s="29" t="s">
        <v>305</v>
      </c>
    </row>
    <row r="127" spans="1:17" ht="14.25" customHeight="1" x14ac:dyDescent="0.3">
      <c r="A127" s="28">
        <v>45863</v>
      </c>
      <c r="B127" s="29" t="s">
        <v>302</v>
      </c>
      <c r="C127" s="30" t="s">
        <v>219</v>
      </c>
      <c r="D127" s="30" t="s">
        <v>361</v>
      </c>
      <c r="E127" s="31" t="s">
        <v>283</v>
      </c>
      <c r="F127" s="31" t="s">
        <v>284</v>
      </c>
      <c r="G127" s="30" t="s">
        <v>81</v>
      </c>
      <c r="H127" s="30" t="s">
        <v>285</v>
      </c>
      <c r="I127" s="32">
        <v>45863</v>
      </c>
      <c r="J127" s="30" t="s">
        <v>108</v>
      </c>
      <c r="K127" s="32" t="s">
        <v>44</v>
      </c>
      <c r="L127" s="30" t="s">
        <v>223</v>
      </c>
      <c r="M127" s="30" t="s">
        <v>358</v>
      </c>
      <c r="N127" s="37"/>
      <c r="O127" s="34" t="s">
        <v>86</v>
      </c>
      <c r="P127" s="35" t="s">
        <v>304</v>
      </c>
      <c r="Q127" s="29" t="s">
        <v>305</v>
      </c>
    </row>
    <row r="128" spans="1:17" ht="14.25" customHeight="1" x14ac:dyDescent="0.3">
      <c r="A128" s="28">
        <v>45864</v>
      </c>
      <c r="B128" s="29" t="s">
        <v>302</v>
      </c>
      <c r="C128" s="30" t="s">
        <v>103</v>
      </c>
      <c r="D128" s="30" t="s">
        <v>362</v>
      </c>
      <c r="E128" s="31" t="s">
        <v>160</v>
      </c>
      <c r="F128" s="31" t="s">
        <v>266</v>
      </c>
      <c r="G128" s="30" t="s">
        <v>334</v>
      </c>
      <c r="H128" s="30" t="s">
        <v>147</v>
      </c>
      <c r="I128" s="32">
        <v>45862</v>
      </c>
      <c r="J128" s="30" t="s">
        <v>83</v>
      </c>
      <c r="K128" s="32" t="s">
        <v>34</v>
      </c>
      <c r="L128" s="30" t="s">
        <v>114</v>
      </c>
      <c r="M128" s="30" t="s">
        <v>161</v>
      </c>
      <c r="N128" s="37">
        <v>1100</v>
      </c>
      <c r="O128" s="34" t="s">
        <v>86</v>
      </c>
      <c r="P128" s="35" t="s">
        <v>304</v>
      </c>
      <c r="Q128" s="29" t="s">
        <v>305</v>
      </c>
    </row>
    <row r="129" spans="1:17" ht="14.25" customHeight="1" x14ac:dyDescent="0.3">
      <c r="A129" s="28">
        <v>45864</v>
      </c>
      <c r="B129" s="29" t="s">
        <v>302</v>
      </c>
      <c r="C129" s="30" t="s">
        <v>219</v>
      </c>
      <c r="D129" s="30" t="s">
        <v>363</v>
      </c>
      <c r="E129" s="31" t="s">
        <v>1111</v>
      </c>
      <c r="F129" s="31" t="s">
        <v>365</v>
      </c>
      <c r="G129" s="30" t="s">
        <v>334</v>
      </c>
      <c r="H129" s="30" t="s">
        <v>275</v>
      </c>
      <c r="I129" s="32">
        <v>45862</v>
      </c>
      <c r="J129" s="30" t="s">
        <v>83</v>
      </c>
      <c r="K129" s="32" t="s">
        <v>32</v>
      </c>
      <c r="L129" s="30" t="s">
        <v>84</v>
      </c>
      <c r="M129" s="30" t="s">
        <v>366</v>
      </c>
      <c r="N129" s="37">
        <v>2495</v>
      </c>
      <c r="O129" s="34" t="s">
        <v>86</v>
      </c>
      <c r="P129" s="35" t="s">
        <v>304</v>
      </c>
      <c r="Q129" s="29" t="s">
        <v>305</v>
      </c>
    </row>
    <row r="130" spans="1:17" ht="14.25" customHeight="1" x14ac:dyDescent="0.3">
      <c r="A130" s="28">
        <v>45864</v>
      </c>
      <c r="B130" s="29" t="s">
        <v>302</v>
      </c>
      <c r="C130" s="30" t="s">
        <v>219</v>
      </c>
      <c r="D130" s="30" t="s">
        <v>367</v>
      </c>
      <c r="E130" s="31" t="s">
        <v>364</v>
      </c>
      <c r="F130" s="31" t="s">
        <v>365</v>
      </c>
      <c r="G130" s="30" t="s">
        <v>334</v>
      </c>
      <c r="H130" s="30" t="s">
        <v>275</v>
      </c>
      <c r="I130" s="32">
        <v>45862</v>
      </c>
      <c r="J130" s="30" t="s">
        <v>83</v>
      </c>
      <c r="K130" s="32" t="s">
        <v>32</v>
      </c>
      <c r="L130" s="30" t="s">
        <v>84</v>
      </c>
      <c r="M130" s="30" t="s">
        <v>366</v>
      </c>
      <c r="N130" s="37">
        <v>2495</v>
      </c>
      <c r="O130" s="34" t="s">
        <v>86</v>
      </c>
      <c r="P130" s="35" t="s">
        <v>304</v>
      </c>
      <c r="Q130" s="29" t="s">
        <v>305</v>
      </c>
    </row>
    <row r="131" spans="1:17" ht="14.25" customHeight="1" x14ac:dyDescent="0.3">
      <c r="A131" s="28">
        <v>45866</v>
      </c>
      <c r="B131" s="29" t="s">
        <v>302</v>
      </c>
      <c r="C131" s="30" t="s">
        <v>77</v>
      </c>
      <c r="D131" s="30" t="s">
        <v>368</v>
      </c>
      <c r="E131" s="31" t="s">
        <v>369</v>
      </c>
      <c r="F131" s="31" t="s">
        <v>370</v>
      </c>
      <c r="G131" s="30" t="s">
        <v>81</v>
      </c>
      <c r="H131" s="30" t="s">
        <v>371</v>
      </c>
      <c r="I131" s="32">
        <v>45864</v>
      </c>
      <c r="J131" s="30" t="s">
        <v>83</v>
      </c>
      <c r="K131" s="32" t="s">
        <v>25</v>
      </c>
      <c r="L131" s="30" t="s">
        <v>114</v>
      </c>
      <c r="M131" s="30" t="s">
        <v>372</v>
      </c>
      <c r="N131" s="37"/>
      <c r="O131" s="34" t="s">
        <v>86</v>
      </c>
      <c r="P131" s="35" t="s">
        <v>304</v>
      </c>
      <c r="Q131" s="29" t="s">
        <v>305</v>
      </c>
    </row>
    <row r="132" spans="1:17" ht="14.25" customHeight="1" x14ac:dyDescent="0.3">
      <c r="A132" s="28">
        <v>45866</v>
      </c>
      <c r="B132" s="29" t="s">
        <v>302</v>
      </c>
      <c r="C132" s="30" t="s">
        <v>77</v>
      </c>
      <c r="D132" s="30" t="s">
        <v>373</v>
      </c>
      <c r="E132" s="31" t="s">
        <v>369</v>
      </c>
      <c r="F132" s="31" t="s">
        <v>370</v>
      </c>
      <c r="G132" s="30" t="s">
        <v>81</v>
      </c>
      <c r="H132" s="30" t="s">
        <v>371</v>
      </c>
      <c r="I132" s="32">
        <v>45864</v>
      </c>
      <c r="J132" s="30" t="s">
        <v>83</v>
      </c>
      <c r="K132" s="32" t="s">
        <v>25</v>
      </c>
      <c r="L132" s="30" t="s">
        <v>114</v>
      </c>
      <c r="M132" s="30" t="s">
        <v>372</v>
      </c>
      <c r="N132" s="37"/>
      <c r="O132" s="34" t="s">
        <v>86</v>
      </c>
      <c r="P132" s="35" t="s">
        <v>304</v>
      </c>
      <c r="Q132" s="29" t="s">
        <v>305</v>
      </c>
    </row>
    <row r="133" spans="1:17" ht="14.25" customHeight="1" x14ac:dyDescent="0.3">
      <c r="A133" s="28">
        <v>45867</v>
      </c>
      <c r="B133" s="29" t="s">
        <v>302</v>
      </c>
      <c r="C133" s="30" t="s">
        <v>219</v>
      </c>
      <c r="D133" s="30" t="s">
        <v>374</v>
      </c>
      <c r="E133" s="31" t="s">
        <v>295</v>
      </c>
      <c r="F133" s="31" t="s">
        <v>134</v>
      </c>
      <c r="G133" s="30" t="s">
        <v>81</v>
      </c>
      <c r="H133" s="30" t="s">
        <v>346</v>
      </c>
      <c r="I133" s="32">
        <v>45867</v>
      </c>
      <c r="J133" s="30" t="s">
        <v>108</v>
      </c>
      <c r="K133" s="32" t="s">
        <v>44</v>
      </c>
      <c r="L133" s="30" t="s">
        <v>223</v>
      </c>
      <c r="M133" s="30" t="s">
        <v>141</v>
      </c>
      <c r="N133" s="37"/>
      <c r="O133" s="34" t="s">
        <v>86</v>
      </c>
      <c r="P133" s="35" t="s">
        <v>304</v>
      </c>
      <c r="Q133" s="29" t="s">
        <v>305</v>
      </c>
    </row>
    <row r="134" spans="1:17" ht="14.25" customHeight="1" x14ac:dyDescent="0.3">
      <c r="A134" s="28">
        <v>45867</v>
      </c>
      <c r="B134" s="29" t="s">
        <v>302</v>
      </c>
      <c r="C134" s="30" t="s">
        <v>219</v>
      </c>
      <c r="D134" s="30" t="s">
        <v>375</v>
      </c>
      <c r="E134" s="31" t="s">
        <v>295</v>
      </c>
      <c r="F134" s="31" t="s">
        <v>134</v>
      </c>
      <c r="G134" s="30" t="s">
        <v>81</v>
      </c>
      <c r="H134" s="30" t="s">
        <v>346</v>
      </c>
      <c r="I134" s="32">
        <v>45867</v>
      </c>
      <c r="J134" s="30" t="s">
        <v>108</v>
      </c>
      <c r="K134" s="32" t="s">
        <v>44</v>
      </c>
      <c r="L134" s="30" t="s">
        <v>223</v>
      </c>
      <c r="M134" s="30" t="s">
        <v>141</v>
      </c>
      <c r="N134" s="37"/>
      <c r="O134" s="34" t="s">
        <v>86</v>
      </c>
      <c r="P134" s="35" t="s">
        <v>304</v>
      </c>
      <c r="Q134" s="29" t="s">
        <v>305</v>
      </c>
    </row>
    <row r="135" spans="1:17" ht="14.25" customHeight="1" x14ac:dyDescent="0.3">
      <c r="A135" s="28">
        <v>45867</v>
      </c>
      <c r="B135" s="29" t="s">
        <v>302</v>
      </c>
      <c r="C135" s="30" t="s">
        <v>219</v>
      </c>
      <c r="D135" s="30" t="s">
        <v>376</v>
      </c>
      <c r="E135" s="31" t="s">
        <v>295</v>
      </c>
      <c r="F135" s="31" t="s">
        <v>134</v>
      </c>
      <c r="G135" s="30" t="s">
        <v>81</v>
      </c>
      <c r="H135" s="30" t="s">
        <v>346</v>
      </c>
      <c r="I135" s="32">
        <v>45867</v>
      </c>
      <c r="J135" s="30" t="s">
        <v>108</v>
      </c>
      <c r="K135" s="32" t="s">
        <v>44</v>
      </c>
      <c r="L135" s="30" t="s">
        <v>223</v>
      </c>
      <c r="M135" s="30" t="s">
        <v>141</v>
      </c>
      <c r="N135" s="37"/>
      <c r="O135" s="34" t="s">
        <v>86</v>
      </c>
      <c r="P135" s="35" t="s">
        <v>304</v>
      </c>
      <c r="Q135" s="29" t="s">
        <v>305</v>
      </c>
    </row>
    <row r="136" spans="1:17" ht="14.25" customHeight="1" x14ac:dyDescent="0.3">
      <c r="A136" s="28">
        <v>45867</v>
      </c>
      <c r="B136" s="29" t="s">
        <v>302</v>
      </c>
      <c r="C136" s="30" t="s">
        <v>170</v>
      </c>
      <c r="D136" s="30" t="s">
        <v>377</v>
      </c>
      <c r="E136" s="31" t="s">
        <v>172</v>
      </c>
      <c r="F136" s="31" t="s">
        <v>173</v>
      </c>
      <c r="G136" s="30" t="s">
        <v>81</v>
      </c>
      <c r="H136" s="30" t="s">
        <v>378</v>
      </c>
      <c r="I136" s="32">
        <v>45865</v>
      </c>
      <c r="J136" s="30" t="s">
        <v>83</v>
      </c>
      <c r="K136" s="32" t="s">
        <v>28</v>
      </c>
      <c r="L136" s="30" t="s">
        <v>114</v>
      </c>
      <c r="M136" s="30" t="s">
        <v>176</v>
      </c>
      <c r="N136" s="37"/>
      <c r="O136" s="34" t="s">
        <v>86</v>
      </c>
      <c r="P136" s="35" t="s">
        <v>304</v>
      </c>
      <c r="Q136" s="29" t="s">
        <v>305</v>
      </c>
    </row>
    <row r="137" spans="1:17" ht="14.25" customHeight="1" x14ac:dyDescent="0.3">
      <c r="A137" s="28">
        <v>45868</v>
      </c>
      <c r="B137" s="29" t="s">
        <v>302</v>
      </c>
      <c r="C137" s="30" t="s">
        <v>219</v>
      </c>
      <c r="D137" s="30" t="s">
        <v>379</v>
      </c>
      <c r="E137" s="31" t="s">
        <v>380</v>
      </c>
      <c r="F137" s="31" t="s">
        <v>134</v>
      </c>
      <c r="G137" s="30" t="s">
        <v>112</v>
      </c>
      <c r="H137" s="30" t="s">
        <v>107</v>
      </c>
      <c r="I137" s="32">
        <v>45867</v>
      </c>
      <c r="J137" s="30" t="s">
        <v>108</v>
      </c>
      <c r="K137" s="32" t="s">
        <v>25</v>
      </c>
      <c r="L137" s="30" t="s">
        <v>223</v>
      </c>
      <c r="M137" s="30" t="s">
        <v>381</v>
      </c>
      <c r="N137" s="37">
        <v>2100</v>
      </c>
      <c r="O137" s="34" t="s">
        <v>86</v>
      </c>
      <c r="P137" s="35" t="s">
        <v>304</v>
      </c>
      <c r="Q137" s="29" t="s">
        <v>305</v>
      </c>
    </row>
    <row r="138" spans="1:17" ht="14.25" customHeight="1" x14ac:dyDescent="0.3">
      <c r="A138" s="28">
        <v>45868</v>
      </c>
      <c r="B138" s="29" t="s">
        <v>302</v>
      </c>
      <c r="C138" s="30" t="s">
        <v>219</v>
      </c>
      <c r="D138" s="30" t="s">
        <v>382</v>
      </c>
      <c r="E138" s="31" t="s">
        <v>383</v>
      </c>
      <c r="F138" s="31" t="s">
        <v>134</v>
      </c>
      <c r="G138" s="30" t="s">
        <v>112</v>
      </c>
      <c r="H138" s="30" t="s">
        <v>107</v>
      </c>
      <c r="I138" s="32">
        <v>45867</v>
      </c>
      <c r="J138" s="30" t="s">
        <v>108</v>
      </c>
      <c r="K138" s="32" t="s">
        <v>25</v>
      </c>
      <c r="L138" s="30" t="s">
        <v>223</v>
      </c>
      <c r="M138" s="30" t="s">
        <v>381</v>
      </c>
      <c r="N138" s="37">
        <v>2100</v>
      </c>
      <c r="O138" s="34" t="s">
        <v>86</v>
      </c>
      <c r="P138" s="35" t="s">
        <v>304</v>
      </c>
      <c r="Q138" s="29" t="s">
        <v>305</v>
      </c>
    </row>
    <row r="139" spans="1:17" ht="14.25" customHeight="1" x14ac:dyDescent="0.3">
      <c r="A139" s="28">
        <v>45868</v>
      </c>
      <c r="B139" s="29" t="s">
        <v>302</v>
      </c>
      <c r="C139" s="30" t="s">
        <v>219</v>
      </c>
      <c r="D139" s="30" t="s">
        <v>384</v>
      </c>
      <c r="E139" s="31" t="s">
        <v>383</v>
      </c>
      <c r="F139" s="31" t="s">
        <v>134</v>
      </c>
      <c r="G139" s="30" t="s">
        <v>112</v>
      </c>
      <c r="H139" s="30" t="s">
        <v>107</v>
      </c>
      <c r="I139" s="32">
        <v>45867</v>
      </c>
      <c r="J139" s="30" t="s">
        <v>108</v>
      </c>
      <c r="K139" s="32" t="s">
        <v>25</v>
      </c>
      <c r="L139" s="30" t="s">
        <v>223</v>
      </c>
      <c r="M139" s="30" t="s">
        <v>381</v>
      </c>
      <c r="N139" s="37">
        <v>2100</v>
      </c>
      <c r="O139" s="34" t="s">
        <v>86</v>
      </c>
      <c r="P139" s="35" t="s">
        <v>304</v>
      </c>
      <c r="Q139" s="29" t="s">
        <v>305</v>
      </c>
    </row>
    <row r="140" spans="1:17" ht="14.25" customHeight="1" x14ac:dyDescent="0.3">
      <c r="A140" s="28">
        <v>45868</v>
      </c>
      <c r="B140" s="29" t="s">
        <v>302</v>
      </c>
      <c r="C140" s="30" t="s">
        <v>219</v>
      </c>
      <c r="D140" s="30" t="s">
        <v>385</v>
      </c>
      <c r="E140" s="31" t="s">
        <v>383</v>
      </c>
      <c r="F140" s="31" t="s">
        <v>134</v>
      </c>
      <c r="G140" s="30" t="s">
        <v>112</v>
      </c>
      <c r="H140" s="30" t="s">
        <v>107</v>
      </c>
      <c r="I140" s="32">
        <v>45867</v>
      </c>
      <c r="J140" s="30" t="s">
        <v>108</v>
      </c>
      <c r="K140" s="32" t="s">
        <v>25</v>
      </c>
      <c r="L140" s="30" t="s">
        <v>223</v>
      </c>
      <c r="M140" s="30" t="s">
        <v>381</v>
      </c>
      <c r="N140" s="37">
        <v>2100</v>
      </c>
      <c r="O140" s="34" t="s">
        <v>86</v>
      </c>
      <c r="P140" s="35" t="s">
        <v>304</v>
      </c>
      <c r="Q140" s="29" t="s">
        <v>305</v>
      </c>
    </row>
    <row r="141" spans="1:17" ht="14.25" customHeight="1" x14ac:dyDescent="0.3">
      <c r="A141" s="28">
        <v>45869</v>
      </c>
      <c r="B141" s="29" t="s">
        <v>302</v>
      </c>
      <c r="C141" s="30" t="s">
        <v>103</v>
      </c>
      <c r="D141" s="30" t="s">
        <v>386</v>
      </c>
      <c r="E141" s="31" t="s">
        <v>164</v>
      </c>
      <c r="F141" s="31" t="s">
        <v>165</v>
      </c>
      <c r="G141" s="30" t="s">
        <v>81</v>
      </c>
      <c r="H141" s="30" t="s">
        <v>387</v>
      </c>
      <c r="I141" s="32">
        <v>45866</v>
      </c>
      <c r="J141" s="30" t="s">
        <v>83</v>
      </c>
      <c r="K141" s="32" t="s">
        <v>57</v>
      </c>
      <c r="L141" s="30" t="s">
        <v>84</v>
      </c>
      <c r="M141" s="30" t="s">
        <v>307</v>
      </c>
      <c r="N141" s="37" t="s">
        <v>81</v>
      </c>
      <c r="O141" s="34" t="s">
        <v>86</v>
      </c>
      <c r="P141" s="35" t="s">
        <v>304</v>
      </c>
      <c r="Q141" s="29" t="s">
        <v>305</v>
      </c>
    </row>
    <row r="142" spans="1:17" ht="14.25" customHeight="1" x14ac:dyDescent="0.3">
      <c r="A142" s="28">
        <v>45869</v>
      </c>
      <c r="B142" s="29" t="s">
        <v>302</v>
      </c>
      <c r="C142" s="30" t="s">
        <v>103</v>
      </c>
      <c r="D142" s="30" t="s">
        <v>388</v>
      </c>
      <c r="E142" s="31" t="s">
        <v>164</v>
      </c>
      <c r="F142" s="31" t="s">
        <v>165</v>
      </c>
      <c r="G142" s="30" t="s">
        <v>81</v>
      </c>
      <c r="H142" s="30" t="s">
        <v>387</v>
      </c>
      <c r="I142" s="32">
        <v>45866</v>
      </c>
      <c r="J142" s="30" t="s">
        <v>83</v>
      </c>
      <c r="K142" s="32" t="s">
        <v>57</v>
      </c>
      <c r="L142" s="30" t="s">
        <v>84</v>
      </c>
      <c r="M142" s="30" t="s">
        <v>307</v>
      </c>
      <c r="N142" s="37" t="s">
        <v>81</v>
      </c>
      <c r="O142" s="34" t="s">
        <v>86</v>
      </c>
      <c r="P142" s="35" t="s">
        <v>304</v>
      </c>
      <c r="Q142" s="29" t="s">
        <v>305</v>
      </c>
    </row>
    <row r="143" spans="1:17" ht="14.25" customHeight="1" x14ac:dyDescent="0.3">
      <c r="A143" s="28">
        <v>45869</v>
      </c>
      <c r="B143" s="29" t="s">
        <v>302</v>
      </c>
      <c r="C143" s="30" t="s">
        <v>103</v>
      </c>
      <c r="D143" s="30" t="s">
        <v>389</v>
      </c>
      <c r="E143" s="31" t="s">
        <v>164</v>
      </c>
      <c r="F143" s="31" t="s">
        <v>165</v>
      </c>
      <c r="G143" s="30" t="s">
        <v>81</v>
      </c>
      <c r="H143" s="30" t="s">
        <v>387</v>
      </c>
      <c r="I143" s="32">
        <v>45866</v>
      </c>
      <c r="J143" s="30" t="s">
        <v>83</v>
      </c>
      <c r="K143" s="32" t="s">
        <v>57</v>
      </c>
      <c r="L143" s="30" t="s">
        <v>84</v>
      </c>
      <c r="M143" s="30" t="s">
        <v>307</v>
      </c>
      <c r="N143" s="37" t="s">
        <v>81</v>
      </c>
      <c r="O143" s="34" t="s">
        <v>86</v>
      </c>
      <c r="P143" s="35" t="s">
        <v>304</v>
      </c>
      <c r="Q143" s="29" t="s">
        <v>305</v>
      </c>
    </row>
    <row r="144" spans="1:17" ht="14.25" customHeight="1" x14ac:dyDescent="0.3">
      <c r="A144" s="28">
        <v>45869</v>
      </c>
      <c r="B144" s="29" t="s">
        <v>302</v>
      </c>
      <c r="C144" s="30" t="s">
        <v>77</v>
      </c>
      <c r="D144" s="30" t="s">
        <v>390</v>
      </c>
      <c r="E144" s="31" t="s">
        <v>182</v>
      </c>
      <c r="F144" s="31" t="s">
        <v>183</v>
      </c>
      <c r="G144" s="30" t="s">
        <v>112</v>
      </c>
      <c r="H144" s="30" t="s">
        <v>275</v>
      </c>
      <c r="I144" s="32">
        <v>45867</v>
      </c>
      <c r="J144" s="30" t="s">
        <v>83</v>
      </c>
      <c r="K144" s="32" t="s">
        <v>42</v>
      </c>
      <c r="L144" s="30" t="s">
        <v>84</v>
      </c>
      <c r="M144" s="30" t="s">
        <v>184</v>
      </c>
      <c r="N144" s="37">
        <v>1100</v>
      </c>
      <c r="O144" s="34" t="s">
        <v>86</v>
      </c>
      <c r="P144" s="35" t="s">
        <v>304</v>
      </c>
      <c r="Q144" s="29" t="s">
        <v>305</v>
      </c>
    </row>
    <row r="145" spans="1:17" ht="14.25" customHeight="1" x14ac:dyDescent="0.3">
      <c r="A145" s="28">
        <v>45869</v>
      </c>
      <c r="B145" s="29" t="s">
        <v>302</v>
      </c>
      <c r="C145" s="30" t="s">
        <v>77</v>
      </c>
      <c r="D145" s="30" t="s">
        <v>391</v>
      </c>
      <c r="E145" s="31" t="s">
        <v>182</v>
      </c>
      <c r="F145" s="31" t="s">
        <v>183</v>
      </c>
      <c r="G145" s="30" t="s">
        <v>112</v>
      </c>
      <c r="H145" s="30" t="s">
        <v>275</v>
      </c>
      <c r="I145" s="32">
        <v>45867</v>
      </c>
      <c r="J145" s="30" t="s">
        <v>83</v>
      </c>
      <c r="K145" s="32" t="s">
        <v>42</v>
      </c>
      <c r="L145" s="30" t="s">
        <v>84</v>
      </c>
      <c r="M145" s="30" t="s">
        <v>184</v>
      </c>
      <c r="N145" s="37">
        <v>1100</v>
      </c>
      <c r="O145" s="34" t="s">
        <v>86</v>
      </c>
      <c r="P145" s="35" t="s">
        <v>304</v>
      </c>
      <c r="Q145" s="29" t="s">
        <v>305</v>
      </c>
    </row>
    <row r="146" spans="1:17" ht="14.25" customHeight="1" x14ac:dyDescent="0.3">
      <c r="A146" s="28">
        <v>45869</v>
      </c>
      <c r="B146" s="29" t="s">
        <v>302</v>
      </c>
      <c r="C146" s="30" t="s">
        <v>77</v>
      </c>
      <c r="D146" s="30" t="s">
        <v>392</v>
      </c>
      <c r="E146" s="31" t="s">
        <v>182</v>
      </c>
      <c r="F146" s="31" t="s">
        <v>183</v>
      </c>
      <c r="G146" s="30" t="s">
        <v>112</v>
      </c>
      <c r="H146" s="30" t="s">
        <v>275</v>
      </c>
      <c r="I146" s="32">
        <v>45867</v>
      </c>
      <c r="J146" s="30" t="s">
        <v>83</v>
      </c>
      <c r="K146" s="32" t="s">
        <v>42</v>
      </c>
      <c r="L146" s="30" t="s">
        <v>84</v>
      </c>
      <c r="M146" s="30" t="s">
        <v>184</v>
      </c>
      <c r="N146" s="37">
        <v>1100</v>
      </c>
      <c r="O146" s="34" t="s">
        <v>86</v>
      </c>
      <c r="P146" s="35" t="s">
        <v>304</v>
      </c>
      <c r="Q146" s="29" t="s">
        <v>305</v>
      </c>
    </row>
    <row r="147" spans="1:17" ht="14.25" customHeight="1" x14ac:dyDescent="0.3">
      <c r="A147" s="28">
        <v>45869</v>
      </c>
      <c r="B147" s="29" t="s">
        <v>302</v>
      </c>
      <c r="C147" s="30" t="s">
        <v>103</v>
      </c>
      <c r="D147" s="30" t="s">
        <v>393</v>
      </c>
      <c r="E147" s="31" t="s">
        <v>105</v>
      </c>
      <c r="F147" s="31" t="s">
        <v>320</v>
      </c>
      <c r="G147" s="30" t="s">
        <v>112</v>
      </c>
      <c r="H147" s="30" t="s">
        <v>107</v>
      </c>
      <c r="I147" s="32">
        <v>45867</v>
      </c>
      <c r="J147" s="30" t="s">
        <v>83</v>
      </c>
      <c r="K147" s="32" t="s">
        <v>42</v>
      </c>
      <c r="L147" s="30" t="s">
        <v>114</v>
      </c>
      <c r="M147" s="30" t="s">
        <v>109</v>
      </c>
      <c r="N147" s="37">
        <v>2070</v>
      </c>
      <c r="O147" s="34" t="s">
        <v>86</v>
      </c>
      <c r="P147" s="35" t="s">
        <v>304</v>
      </c>
      <c r="Q147" s="29" t="s">
        <v>305</v>
      </c>
    </row>
    <row r="148" spans="1:17" ht="14.25" customHeight="1" x14ac:dyDescent="0.3">
      <c r="A148" s="28">
        <v>45869</v>
      </c>
      <c r="B148" s="29" t="s">
        <v>302</v>
      </c>
      <c r="C148" s="30" t="s">
        <v>103</v>
      </c>
      <c r="D148" s="30" t="s">
        <v>394</v>
      </c>
      <c r="E148" s="31" t="s">
        <v>105</v>
      </c>
      <c r="F148" s="31" t="s">
        <v>320</v>
      </c>
      <c r="G148" s="30" t="s">
        <v>112</v>
      </c>
      <c r="H148" s="30" t="s">
        <v>107</v>
      </c>
      <c r="I148" s="32">
        <v>45867</v>
      </c>
      <c r="J148" s="30" t="s">
        <v>83</v>
      </c>
      <c r="K148" s="32" t="s">
        <v>42</v>
      </c>
      <c r="L148" s="30" t="s">
        <v>114</v>
      </c>
      <c r="M148" s="30" t="s">
        <v>109</v>
      </c>
      <c r="N148" s="37">
        <v>2070</v>
      </c>
      <c r="O148" s="34" t="s">
        <v>86</v>
      </c>
      <c r="P148" s="35" t="s">
        <v>304</v>
      </c>
      <c r="Q148" s="29" t="s">
        <v>305</v>
      </c>
    </row>
    <row r="149" spans="1:17" ht="14.25" customHeight="1" x14ac:dyDescent="0.3">
      <c r="A149" s="28">
        <v>45869</v>
      </c>
      <c r="B149" s="29" t="s">
        <v>302</v>
      </c>
      <c r="C149" s="30" t="s">
        <v>103</v>
      </c>
      <c r="D149" s="30" t="s">
        <v>395</v>
      </c>
      <c r="E149" s="31" t="s">
        <v>105</v>
      </c>
      <c r="F149" s="31" t="s">
        <v>320</v>
      </c>
      <c r="G149" s="30" t="s">
        <v>112</v>
      </c>
      <c r="H149" s="30" t="s">
        <v>107</v>
      </c>
      <c r="I149" s="32">
        <v>45867</v>
      </c>
      <c r="J149" s="30" t="s">
        <v>83</v>
      </c>
      <c r="K149" s="32" t="s">
        <v>42</v>
      </c>
      <c r="L149" s="30" t="s">
        <v>114</v>
      </c>
      <c r="M149" s="30" t="s">
        <v>109</v>
      </c>
      <c r="N149" s="37">
        <v>2070</v>
      </c>
      <c r="O149" s="34" t="s">
        <v>86</v>
      </c>
      <c r="P149" s="35" t="s">
        <v>304</v>
      </c>
      <c r="Q149" s="29" t="s">
        <v>305</v>
      </c>
    </row>
    <row r="150" spans="1:17" ht="14.25" customHeight="1" x14ac:dyDescent="0.3">
      <c r="A150" s="28">
        <v>45869</v>
      </c>
      <c r="B150" s="29" t="s">
        <v>302</v>
      </c>
      <c r="C150" s="30" t="s">
        <v>103</v>
      </c>
      <c r="D150" s="30" t="s">
        <v>396</v>
      </c>
      <c r="E150" s="31" t="s">
        <v>164</v>
      </c>
      <c r="F150" s="31" t="s">
        <v>165</v>
      </c>
      <c r="G150" s="30" t="s">
        <v>81</v>
      </c>
      <c r="H150" s="30" t="s">
        <v>387</v>
      </c>
      <c r="I150" s="32">
        <v>45866</v>
      </c>
      <c r="J150" s="30" t="s">
        <v>83</v>
      </c>
      <c r="K150" s="32" t="s">
        <v>57</v>
      </c>
      <c r="L150" s="30" t="s">
        <v>84</v>
      </c>
      <c r="M150" s="30" t="s">
        <v>307</v>
      </c>
      <c r="N150" s="37" t="s">
        <v>81</v>
      </c>
      <c r="O150" s="34" t="s">
        <v>86</v>
      </c>
      <c r="P150" s="35" t="s">
        <v>304</v>
      </c>
      <c r="Q150" s="29" t="s">
        <v>305</v>
      </c>
    </row>
    <row r="151" spans="1:17" ht="14.25" customHeight="1" x14ac:dyDescent="0.3">
      <c r="A151" s="28">
        <v>45869</v>
      </c>
      <c r="B151" s="29" t="s">
        <v>302</v>
      </c>
      <c r="C151" s="30" t="s">
        <v>103</v>
      </c>
      <c r="D151" s="30" t="s">
        <v>397</v>
      </c>
      <c r="E151" s="31" t="s">
        <v>164</v>
      </c>
      <c r="F151" s="31" t="s">
        <v>165</v>
      </c>
      <c r="G151" s="30" t="s">
        <v>81</v>
      </c>
      <c r="H151" s="30" t="s">
        <v>387</v>
      </c>
      <c r="I151" s="32">
        <v>45866</v>
      </c>
      <c r="J151" s="30" t="s">
        <v>83</v>
      </c>
      <c r="K151" s="32" t="s">
        <v>57</v>
      </c>
      <c r="L151" s="30" t="s">
        <v>84</v>
      </c>
      <c r="M151" s="30" t="s">
        <v>307</v>
      </c>
      <c r="N151" s="37" t="s">
        <v>81</v>
      </c>
      <c r="O151" s="34" t="s">
        <v>86</v>
      </c>
      <c r="P151" s="35" t="s">
        <v>304</v>
      </c>
      <c r="Q151" s="29" t="s">
        <v>305</v>
      </c>
    </row>
    <row r="152" spans="1:17" ht="14.25" customHeight="1" x14ac:dyDescent="0.3">
      <c r="A152" s="28">
        <v>45870</v>
      </c>
      <c r="B152" s="29" t="s">
        <v>398</v>
      </c>
      <c r="C152" s="30" t="s">
        <v>77</v>
      </c>
      <c r="D152" s="30" t="s">
        <v>399</v>
      </c>
      <c r="E152" s="31" t="s">
        <v>79</v>
      </c>
      <c r="F152" s="31" t="s">
        <v>80</v>
      </c>
      <c r="G152" s="30" t="s">
        <v>81</v>
      </c>
      <c r="H152" s="30" t="s">
        <v>400</v>
      </c>
      <c r="I152" s="32">
        <v>45867</v>
      </c>
      <c r="J152" s="30" t="s">
        <v>83</v>
      </c>
      <c r="K152" s="32" t="s">
        <v>24</v>
      </c>
      <c r="L152" s="30" t="s">
        <v>84</v>
      </c>
      <c r="M152" s="30" t="s">
        <v>85</v>
      </c>
      <c r="N152" s="37" t="s">
        <v>81</v>
      </c>
      <c r="O152" s="34" t="s">
        <v>86</v>
      </c>
      <c r="P152" s="35" t="s">
        <v>304</v>
      </c>
      <c r="Q152" s="29" t="s">
        <v>401</v>
      </c>
    </row>
    <row r="153" spans="1:17" ht="14.25" customHeight="1" x14ac:dyDescent="0.3">
      <c r="A153" s="28">
        <v>45870</v>
      </c>
      <c r="B153" s="29" t="s">
        <v>398</v>
      </c>
      <c r="C153" s="30" t="s">
        <v>77</v>
      </c>
      <c r="D153" s="30" t="s">
        <v>402</v>
      </c>
      <c r="E153" s="31" t="s">
        <v>79</v>
      </c>
      <c r="F153" s="31" t="s">
        <v>80</v>
      </c>
      <c r="G153" s="30" t="s">
        <v>81</v>
      </c>
      <c r="H153" s="30" t="s">
        <v>400</v>
      </c>
      <c r="I153" s="32">
        <v>45867</v>
      </c>
      <c r="J153" s="30" t="s">
        <v>83</v>
      </c>
      <c r="K153" s="32" t="s">
        <v>24</v>
      </c>
      <c r="L153" s="30" t="s">
        <v>84</v>
      </c>
      <c r="M153" s="30" t="s">
        <v>85</v>
      </c>
      <c r="N153" s="37" t="s">
        <v>81</v>
      </c>
      <c r="O153" s="34" t="s">
        <v>86</v>
      </c>
      <c r="P153" s="35" t="s">
        <v>304</v>
      </c>
      <c r="Q153" s="29" t="s">
        <v>401</v>
      </c>
    </row>
    <row r="154" spans="1:17" ht="14.25" customHeight="1" x14ac:dyDescent="0.3">
      <c r="A154" s="28">
        <v>45870</v>
      </c>
      <c r="B154" s="29" t="s">
        <v>398</v>
      </c>
      <c r="C154" s="30" t="s">
        <v>77</v>
      </c>
      <c r="D154" s="30" t="s">
        <v>403</v>
      </c>
      <c r="E154" s="31" t="s">
        <v>79</v>
      </c>
      <c r="F154" s="31" t="s">
        <v>80</v>
      </c>
      <c r="G154" s="30" t="s">
        <v>81</v>
      </c>
      <c r="H154" s="30" t="s">
        <v>400</v>
      </c>
      <c r="I154" s="32">
        <v>45867</v>
      </c>
      <c r="J154" s="30" t="s">
        <v>83</v>
      </c>
      <c r="K154" s="32" t="s">
        <v>24</v>
      </c>
      <c r="L154" s="30" t="s">
        <v>84</v>
      </c>
      <c r="M154" s="30" t="s">
        <v>85</v>
      </c>
      <c r="N154" s="37" t="s">
        <v>81</v>
      </c>
      <c r="O154" s="34" t="s">
        <v>86</v>
      </c>
      <c r="P154" s="35" t="s">
        <v>304</v>
      </c>
      <c r="Q154" s="29" t="s">
        <v>401</v>
      </c>
    </row>
    <row r="155" spans="1:17" ht="14.25" customHeight="1" x14ac:dyDescent="0.3">
      <c r="A155" s="28">
        <v>45870</v>
      </c>
      <c r="B155" s="29" t="s">
        <v>398</v>
      </c>
      <c r="C155" s="30" t="s">
        <v>77</v>
      </c>
      <c r="D155" s="30" t="s">
        <v>404</v>
      </c>
      <c r="E155" s="31" t="s">
        <v>79</v>
      </c>
      <c r="F155" s="31" t="s">
        <v>80</v>
      </c>
      <c r="G155" s="30" t="s">
        <v>81</v>
      </c>
      <c r="H155" s="30" t="s">
        <v>400</v>
      </c>
      <c r="I155" s="32">
        <v>45867</v>
      </c>
      <c r="J155" s="30" t="s">
        <v>83</v>
      </c>
      <c r="K155" s="32" t="s">
        <v>24</v>
      </c>
      <c r="L155" s="30" t="s">
        <v>84</v>
      </c>
      <c r="M155" s="30" t="s">
        <v>85</v>
      </c>
      <c r="N155" s="37" t="s">
        <v>81</v>
      </c>
      <c r="O155" s="34" t="s">
        <v>86</v>
      </c>
      <c r="P155" s="35" t="s">
        <v>304</v>
      </c>
      <c r="Q155" s="29" t="s">
        <v>401</v>
      </c>
    </row>
    <row r="156" spans="1:17" ht="14.25" customHeight="1" x14ac:dyDescent="0.3">
      <c r="A156" s="28">
        <v>45875</v>
      </c>
      <c r="B156" s="29" t="s">
        <v>398</v>
      </c>
      <c r="C156" s="30" t="s">
        <v>103</v>
      </c>
      <c r="D156" s="30" t="s">
        <v>405</v>
      </c>
      <c r="E156" s="31" t="s">
        <v>160</v>
      </c>
      <c r="F156" s="31" t="s">
        <v>266</v>
      </c>
      <c r="G156" s="30" t="s">
        <v>112</v>
      </c>
      <c r="H156" s="30" t="s">
        <v>275</v>
      </c>
      <c r="I156" s="32">
        <v>45874</v>
      </c>
      <c r="J156" s="30" t="s">
        <v>108</v>
      </c>
      <c r="K156" s="32" t="s">
        <v>44</v>
      </c>
      <c r="L156" s="30" t="s">
        <v>223</v>
      </c>
      <c r="M156" s="30" t="s">
        <v>161</v>
      </c>
      <c r="N156" s="37">
        <v>2400</v>
      </c>
      <c r="O156" s="34" t="s">
        <v>86</v>
      </c>
      <c r="P156" s="35" t="s">
        <v>304</v>
      </c>
      <c r="Q156" s="29" t="s">
        <v>401</v>
      </c>
    </row>
    <row r="157" spans="1:17" ht="14.25" customHeight="1" x14ac:dyDescent="0.3">
      <c r="A157" s="28">
        <v>45875</v>
      </c>
      <c r="B157" s="29" t="s">
        <v>398</v>
      </c>
      <c r="C157" s="30" t="s">
        <v>103</v>
      </c>
      <c r="D157" s="30" t="s">
        <v>406</v>
      </c>
      <c r="E157" s="31" t="s">
        <v>160</v>
      </c>
      <c r="F157" s="31" t="s">
        <v>266</v>
      </c>
      <c r="G157" s="30" t="s">
        <v>112</v>
      </c>
      <c r="H157" s="30" t="s">
        <v>275</v>
      </c>
      <c r="I157" s="32">
        <v>45874</v>
      </c>
      <c r="J157" s="30" t="s">
        <v>108</v>
      </c>
      <c r="K157" s="32" t="s">
        <v>44</v>
      </c>
      <c r="L157" s="30" t="s">
        <v>223</v>
      </c>
      <c r="M157" s="30" t="s">
        <v>161</v>
      </c>
      <c r="N157" s="37">
        <v>2400</v>
      </c>
      <c r="O157" s="34" t="s">
        <v>86</v>
      </c>
      <c r="P157" s="35" t="s">
        <v>304</v>
      </c>
      <c r="Q157" s="29" t="s">
        <v>401</v>
      </c>
    </row>
    <row r="158" spans="1:17" ht="14.25" customHeight="1" x14ac:dyDescent="0.3">
      <c r="A158" s="28">
        <v>45876</v>
      </c>
      <c r="B158" s="29" t="s">
        <v>398</v>
      </c>
      <c r="C158" s="30" t="s">
        <v>219</v>
      </c>
      <c r="D158" s="30" t="s">
        <v>407</v>
      </c>
      <c r="E158" s="31" t="s">
        <v>383</v>
      </c>
      <c r="F158" s="31" t="s">
        <v>134</v>
      </c>
      <c r="G158" s="30" t="s">
        <v>112</v>
      </c>
      <c r="H158" s="30" t="s">
        <v>135</v>
      </c>
      <c r="I158" s="32">
        <v>45871</v>
      </c>
      <c r="J158" s="30" t="s">
        <v>83</v>
      </c>
      <c r="K158" s="32" t="s">
        <v>25</v>
      </c>
      <c r="L158" s="30" t="s">
        <v>114</v>
      </c>
      <c r="M158" s="30" t="s">
        <v>381</v>
      </c>
      <c r="N158" s="37">
        <v>2100</v>
      </c>
      <c r="O158" s="34" t="s">
        <v>86</v>
      </c>
      <c r="P158" s="35" t="s">
        <v>304</v>
      </c>
      <c r="Q158" s="29" t="s">
        <v>401</v>
      </c>
    </row>
    <row r="159" spans="1:17" ht="14.25" customHeight="1" x14ac:dyDescent="0.3">
      <c r="A159" s="28">
        <v>45876</v>
      </c>
      <c r="B159" s="29" t="s">
        <v>398</v>
      </c>
      <c r="C159" s="30" t="s">
        <v>219</v>
      </c>
      <c r="D159" s="30" t="s">
        <v>408</v>
      </c>
      <c r="E159" s="31" t="s">
        <v>383</v>
      </c>
      <c r="F159" s="31" t="s">
        <v>134</v>
      </c>
      <c r="G159" s="30" t="s">
        <v>112</v>
      </c>
      <c r="H159" s="30" t="s">
        <v>135</v>
      </c>
      <c r="I159" s="32">
        <v>45871</v>
      </c>
      <c r="J159" s="30" t="s">
        <v>83</v>
      </c>
      <c r="K159" s="32" t="s">
        <v>25</v>
      </c>
      <c r="L159" s="30" t="s">
        <v>114</v>
      </c>
      <c r="M159" s="30" t="s">
        <v>381</v>
      </c>
      <c r="N159" s="37">
        <v>2100</v>
      </c>
      <c r="O159" s="34" t="s">
        <v>86</v>
      </c>
      <c r="P159" s="35" t="s">
        <v>304</v>
      </c>
      <c r="Q159" s="29" t="s">
        <v>401</v>
      </c>
    </row>
    <row r="160" spans="1:17" ht="14.25" customHeight="1" x14ac:dyDescent="0.3">
      <c r="A160" s="28">
        <v>45877</v>
      </c>
      <c r="B160" s="29" t="s">
        <v>398</v>
      </c>
      <c r="C160" s="30" t="s">
        <v>219</v>
      </c>
      <c r="D160" s="30" t="s">
        <v>409</v>
      </c>
      <c r="E160" s="31" t="s">
        <v>226</v>
      </c>
      <c r="F160" s="31" t="s">
        <v>410</v>
      </c>
      <c r="G160" s="30" t="s">
        <v>81</v>
      </c>
      <c r="H160" s="30" t="s">
        <v>346</v>
      </c>
      <c r="I160" s="32">
        <v>45875</v>
      </c>
      <c r="J160" s="30" t="s">
        <v>83</v>
      </c>
      <c r="K160" s="32" t="s">
        <v>44</v>
      </c>
      <c r="L160" s="30" t="s">
        <v>84</v>
      </c>
      <c r="M160" s="30" t="s">
        <v>101</v>
      </c>
      <c r="N160" s="37" t="s">
        <v>81</v>
      </c>
      <c r="O160" s="34" t="s">
        <v>86</v>
      </c>
      <c r="P160" s="35" t="s">
        <v>304</v>
      </c>
      <c r="Q160" s="29" t="s">
        <v>401</v>
      </c>
    </row>
    <row r="161" spans="1:17" ht="14.25" customHeight="1" x14ac:dyDescent="0.3">
      <c r="A161" s="28">
        <v>45880</v>
      </c>
      <c r="B161" s="29" t="s">
        <v>398</v>
      </c>
      <c r="C161" s="30" t="s">
        <v>103</v>
      </c>
      <c r="D161" s="30" t="s">
        <v>411</v>
      </c>
      <c r="E161" s="31" t="s">
        <v>160</v>
      </c>
      <c r="F161" s="31" t="s">
        <v>266</v>
      </c>
      <c r="G161" s="30" t="s">
        <v>112</v>
      </c>
      <c r="H161" s="30" t="s">
        <v>275</v>
      </c>
      <c r="I161" s="32">
        <v>45878</v>
      </c>
      <c r="J161" s="30" t="s">
        <v>108</v>
      </c>
      <c r="K161" s="32" t="s">
        <v>42</v>
      </c>
      <c r="L161" s="30" t="s">
        <v>223</v>
      </c>
      <c r="M161" s="30" t="s">
        <v>161</v>
      </c>
      <c r="N161" s="37">
        <v>2400</v>
      </c>
      <c r="O161" s="34" t="s">
        <v>86</v>
      </c>
      <c r="P161" s="35" t="s">
        <v>304</v>
      </c>
      <c r="Q161" s="29" t="s">
        <v>401</v>
      </c>
    </row>
    <row r="162" spans="1:17" ht="14.25" customHeight="1" x14ac:dyDescent="0.3">
      <c r="A162" s="28">
        <v>45881</v>
      </c>
      <c r="B162" s="29" t="s">
        <v>398</v>
      </c>
      <c r="C162" s="30" t="s">
        <v>103</v>
      </c>
      <c r="D162" s="30" t="s">
        <v>412</v>
      </c>
      <c r="E162" s="31" t="s">
        <v>413</v>
      </c>
      <c r="F162" s="31" t="s">
        <v>414</v>
      </c>
      <c r="G162" s="30" t="s">
        <v>81</v>
      </c>
      <c r="H162" s="30" t="s">
        <v>415</v>
      </c>
      <c r="I162" s="32">
        <v>45884</v>
      </c>
      <c r="J162" s="30" t="s">
        <v>108</v>
      </c>
      <c r="K162" s="32" t="s">
        <v>42</v>
      </c>
      <c r="L162" s="30" t="s">
        <v>223</v>
      </c>
      <c r="M162" s="30" t="s">
        <v>416</v>
      </c>
      <c r="N162" s="37" t="s">
        <v>81</v>
      </c>
      <c r="O162" s="34" t="s">
        <v>86</v>
      </c>
      <c r="P162" s="35" t="s">
        <v>304</v>
      </c>
      <c r="Q162" s="29" t="s">
        <v>401</v>
      </c>
    </row>
    <row r="163" spans="1:17" ht="14.25" customHeight="1" x14ac:dyDescent="0.3">
      <c r="A163" s="28">
        <v>45882</v>
      </c>
      <c r="B163" s="29" t="s">
        <v>398</v>
      </c>
      <c r="C163" s="30" t="s">
        <v>103</v>
      </c>
      <c r="D163" s="30" t="s">
        <v>417</v>
      </c>
      <c r="E163" s="31" t="s">
        <v>164</v>
      </c>
      <c r="F163" s="31" t="s">
        <v>165</v>
      </c>
      <c r="G163" s="30" t="s">
        <v>81</v>
      </c>
      <c r="H163" s="30" t="s">
        <v>258</v>
      </c>
      <c r="I163" s="32">
        <v>45880</v>
      </c>
      <c r="J163" s="30" t="s">
        <v>83</v>
      </c>
      <c r="K163" s="32" t="s">
        <v>57</v>
      </c>
      <c r="L163" s="30" t="s">
        <v>84</v>
      </c>
      <c r="M163" s="30" t="s">
        <v>307</v>
      </c>
      <c r="N163" s="37" t="s">
        <v>81</v>
      </c>
      <c r="O163" s="34" t="s">
        <v>86</v>
      </c>
      <c r="P163" s="35" t="s">
        <v>304</v>
      </c>
      <c r="Q163" s="29" t="s">
        <v>401</v>
      </c>
    </row>
    <row r="164" spans="1:17" ht="14.25" customHeight="1" x14ac:dyDescent="0.3">
      <c r="A164" s="28">
        <v>45885</v>
      </c>
      <c r="B164" s="29" t="s">
        <v>398</v>
      </c>
      <c r="C164" s="30" t="s">
        <v>219</v>
      </c>
      <c r="D164" s="30" t="s">
        <v>418</v>
      </c>
      <c r="E164" s="31" t="s">
        <v>419</v>
      </c>
      <c r="F164" s="31" t="s">
        <v>365</v>
      </c>
      <c r="G164" s="30" t="s">
        <v>81</v>
      </c>
      <c r="H164" s="30" t="s">
        <v>275</v>
      </c>
      <c r="I164" s="32">
        <v>45883</v>
      </c>
      <c r="J164" s="30" t="s">
        <v>83</v>
      </c>
      <c r="K164" s="32" t="s">
        <v>32</v>
      </c>
      <c r="L164" s="30" t="s">
        <v>84</v>
      </c>
      <c r="M164" s="30" t="s">
        <v>366</v>
      </c>
      <c r="N164" s="37">
        <v>2625</v>
      </c>
      <c r="O164" s="34" t="s">
        <v>86</v>
      </c>
      <c r="P164" s="35" t="s">
        <v>304</v>
      </c>
      <c r="Q164" s="29" t="s">
        <v>401</v>
      </c>
    </row>
    <row r="165" spans="1:17" ht="14.25" customHeight="1" x14ac:dyDescent="0.3">
      <c r="A165" s="28">
        <v>45885</v>
      </c>
      <c r="B165" s="29" t="s">
        <v>398</v>
      </c>
      <c r="C165" s="30" t="s">
        <v>219</v>
      </c>
      <c r="D165" s="30" t="s">
        <v>420</v>
      </c>
      <c r="E165" s="31" t="s">
        <v>419</v>
      </c>
      <c r="F165" s="31" t="s">
        <v>365</v>
      </c>
      <c r="G165" s="30" t="s">
        <v>81</v>
      </c>
      <c r="H165" s="30" t="s">
        <v>275</v>
      </c>
      <c r="I165" s="32">
        <v>45883</v>
      </c>
      <c r="J165" s="30" t="s">
        <v>83</v>
      </c>
      <c r="K165" s="32" t="s">
        <v>32</v>
      </c>
      <c r="L165" s="30" t="s">
        <v>84</v>
      </c>
      <c r="M165" s="30" t="s">
        <v>366</v>
      </c>
      <c r="N165" s="37">
        <v>2625</v>
      </c>
      <c r="O165" s="34" t="s">
        <v>86</v>
      </c>
      <c r="P165" s="35" t="s">
        <v>304</v>
      </c>
      <c r="Q165" s="29" t="s">
        <v>401</v>
      </c>
    </row>
    <row r="166" spans="1:17" ht="14.25" customHeight="1" x14ac:dyDescent="0.3">
      <c r="A166" s="28">
        <v>45890</v>
      </c>
      <c r="B166" s="29" t="s">
        <v>398</v>
      </c>
      <c r="C166" s="30" t="s">
        <v>103</v>
      </c>
      <c r="D166" s="30" t="s">
        <v>421</v>
      </c>
      <c r="E166" s="31" t="s">
        <v>164</v>
      </c>
      <c r="F166" s="31" t="s">
        <v>165</v>
      </c>
      <c r="G166" s="30" t="s">
        <v>81</v>
      </c>
      <c r="H166" s="30" t="s">
        <v>422</v>
      </c>
      <c r="I166" s="32">
        <v>45890</v>
      </c>
      <c r="J166" s="30" t="s">
        <v>108</v>
      </c>
      <c r="K166" s="32" t="s">
        <v>42</v>
      </c>
      <c r="L166" s="30" t="s">
        <v>223</v>
      </c>
      <c r="M166" s="30" t="s">
        <v>167</v>
      </c>
      <c r="N166" s="37" t="s">
        <v>81</v>
      </c>
      <c r="O166" s="34" t="s">
        <v>86</v>
      </c>
      <c r="P166" s="35" t="s">
        <v>304</v>
      </c>
      <c r="Q166" s="29" t="s">
        <v>401</v>
      </c>
    </row>
    <row r="167" spans="1:17" ht="14.25" customHeight="1" x14ac:dyDescent="0.3">
      <c r="A167" s="28">
        <v>45890</v>
      </c>
      <c r="B167" s="29" t="s">
        <v>398</v>
      </c>
      <c r="C167" s="30" t="s">
        <v>103</v>
      </c>
      <c r="D167" s="30" t="s">
        <v>423</v>
      </c>
      <c r="E167" s="31" t="s">
        <v>164</v>
      </c>
      <c r="F167" s="31" t="s">
        <v>165</v>
      </c>
      <c r="G167" s="30" t="s">
        <v>81</v>
      </c>
      <c r="H167" s="30" t="s">
        <v>422</v>
      </c>
      <c r="I167" s="32">
        <v>45890</v>
      </c>
      <c r="J167" s="30" t="s">
        <v>108</v>
      </c>
      <c r="K167" s="32" t="s">
        <v>42</v>
      </c>
      <c r="L167" s="30" t="s">
        <v>223</v>
      </c>
      <c r="M167" s="30" t="s">
        <v>167</v>
      </c>
      <c r="N167" s="37" t="s">
        <v>81</v>
      </c>
      <c r="O167" s="34" t="s">
        <v>86</v>
      </c>
      <c r="P167" s="35" t="s">
        <v>304</v>
      </c>
      <c r="Q167" s="29" t="s">
        <v>401</v>
      </c>
    </row>
    <row r="168" spans="1:17" ht="14.25" customHeight="1" x14ac:dyDescent="0.3">
      <c r="A168" s="28">
        <v>45890</v>
      </c>
      <c r="B168" s="29" t="s">
        <v>398</v>
      </c>
      <c r="C168" s="30" t="s">
        <v>103</v>
      </c>
      <c r="D168" s="30" t="s">
        <v>424</v>
      </c>
      <c r="E168" s="31" t="s">
        <v>164</v>
      </c>
      <c r="F168" s="31" t="s">
        <v>165</v>
      </c>
      <c r="G168" s="30" t="s">
        <v>81</v>
      </c>
      <c r="H168" s="30" t="s">
        <v>422</v>
      </c>
      <c r="I168" s="32">
        <v>45890</v>
      </c>
      <c r="J168" s="30" t="s">
        <v>108</v>
      </c>
      <c r="K168" s="32" t="s">
        <v>42</v>
      </c>
      <c r="L168" s="30" t="s">
        <v>223</v>
      </c>
      <c r="M168" s="30" t="s">
        <v>167</v>
      </c>
      <c r="N168" s="37" t="s">
        <v>81</v>
      </c>
      <c r="O168" s="34" t="s">
        <v>86</v>
      </c>
      <c r="P168" s="35" t="s">
        <v>304</v>
      </c>
      <c r="Q168" s="29" t="s">
        <v>401</v>
      </c>
    </row>
    <row r="169" spans="1:17" ht="14.25" customHeight="1" x14ac:dyDescent="0.3">
      <c r="A169" s="28">
        <v>45890</v>
      </c>
      <c r="B169" s="29" t="s">
        <v>398</v>
      </c>
      <c r="C169" s="30" t="s">
        <v>103</v>
      </c>
      <c r="D169" s="30" t="s">
        <v>425</v>
      </c>
      <c r="E169" s="31" t="s">
        <v>164</v>
      </c>
      <c r="F169" s="31" t="s">
        <v>165</v>
      </c>
      <c r="G169" s="30" t="s">
        <v>81</v>
      </c>
      <c r="H169" s="30" t="s">
        <v>422</v>
      </c>
      <c r="I169" s="32">
        <v>45890</v>
      </c>
      <c r="J169" s="30" t="s">
        <v>108</v>
      </c>
      <c r="K169" s="32" t="s">
        <v>42</v>
      </c>
      <c r="L169" s="30" t="s">
        <v>223</v>
      </c>
      <c r="M169" s="30" t="s">
        <v>167</v>
      </c>
      <c r="N169" s="37" t="s">
        <v>81</v>
      </c>
      <c r="O169" s="34" t="s">
        <v>86</v>
      </c>
      <c r="P169" s="35" t="s">
        <v>304</v>
      </c>
      <c r="Q169" s="29" t="s">
        <v>401</v>
      </c>
    </row>
    <row r="170" spans="1:17" ht="14.25" customHeight="1" x14ac:dyDescent="0.3">
      <c r="A170" s="28">
        <v>45890</v>
      </c>
      <c r="B170" s="29" t="s">
        <v>398</v>
      </c>
      <c r="C170" s="30" t="s">
        <v>103</v>
      </c>
      <c r="D170" s="30" t="s">
        <v>426</v>
      </c>
      <c r="E170" s="31" t="s">
        <v>164</v>
      </c>
      <c r="F170" s="31" t="s">
        <v>165</v>
      </c>
      <c r="G170" s="30" t="s">
        <v>81</v>
      </c>
      <c r="H170" s="30" t="s">
        <v>422</v>
      </c>
      <c r="I170" s="32">
        <v>45890</v>
      </c>
      <c r="J170" s="30" t="s">
        <v>108</v>
      </c>
      <c r="K170" s="32" t="s">
        <v>42</v>
      </c>
      <c r="L170" s="30" t="s">
        <v>223</v>
      </c>
      <c r="M170" s="30" t="s">
        <v>167</v>
      </c>
      <c r="N170" s="37" t="s">
        <v>81</v>
      </c>
      <c r="O170" s="34" t="s">
        <v>86</v>
      </c>
      <c r="P170" s="35" t="s">
        <v>304</v>
      </c>
      <c r="Q170" s="29" t="s">
        <v>401</v>
      </c>
    </row>
    <row r="171" spans="1:17" ht="14.25" customHeight="1" x14ac:dyDescent="0.3">
      <c r="A171" s="28">
        <v>45890</v>
      </c>
      <c r="B171" s="29" t="s">
        <v>398</v>
      </c>
      <c r="C171" s="30" t="s">
        <v>77</v>
      </c>
      <c r="D171" s="30" t="s">
        <v>427</v>
      </c>
      <c r="E171" s="31" t="s">
        <v>330</v>
      </c>
      <c r="F171" s="31" t="s">
        <v>428</v>
      </c>
      <c r="G171" s="30" t="s">
        <v>112</v>
      </c>
      <c r="H171" s="30" t="s">
        <v>124</v>
      </c>
      <c r="I171" s="32">
        <v>45887</v>
      </c>
      <c r="J171" s="30" t="s">
        <v>83</v>
      </c>
      <c r="K171" s="32" t="s">
        <v>46</v>
      </c>
      <c r="L171" s="30" t="s">
        <v>114</v>
      </c>
      <c r="M171" s="30" t="s">
        <v>331</v>
      </c>
      <c r="N171" s="37">
        <v>575</v>
      </c>
      <c r="O171" s="34" t="s">
        <v>86</v>
      </c>
      <c r="P171" s="35" t="s">
        <v>304</v>
      </c>
      <c r="Q171" s="29" t="s">
        <v>401</v>
      </c>
    </row>
    <row r="172" spans="1:17" ht="14.25" customHeight="1" x14ac:dyDescent="0.3">
      <c r="A172" s="28">
        <v>45890</v>
      </c>
      <c r="B172" s="29" t="s">
        <v>398</v>
      </c>
      <c r="C172" s="30" t="s">
        <v>77</v>
      </c>
      <c r="D172" s="30" t="s">
        <v>429</v>
      </c>
      <c r="E172" s="31" t="s">
        <v>330</v>
      </c>
      <c r="F172" s="31" t="s">
        <v>428</v>
      </c>
      <c r="G172" s="30" t="s">
        <v>112</v>
      </c>
      <c r="H172" s="30" t="s">
        <v>124</v>
      </c>
      <c r="I172" s="32">
        <v>45887</v>
      </c>
      <c r="J172" s="30" t="s">
        <v>83</v>
      </c>
      <c r="K172" s="32" t="s">
        <v>46</v>
      </c>
      <c r="L172" s="30" t="s">
        <v>114</v>
      </c>
      <c r="M172" s="30" t="s">
        <v>331</v>
      </c>
      <c r="N172" s="37">
        <v>575</v>
      </c>
      <c r="O172" s="34" t="s">
        <v>86</v>
      </c>
      <c r="P172" s="35" t="s">
        <v>304</v>
      </c>
      <c r="Q172" s="29" t="s">
        <v>401</v>
      </c>
    </row>
    <row r="173" spans="1:17" ht="14.25" customHeight="1" x14ac:dyDescent="0.3">
      <c r="A173" s="28">
        <v>45891</v>
      </c>
      <c r="B173" s="29" t="s">
        <v>398</v>
      </c>
      <c r="C173" s="30" t="s">
        <v>103</v>
      </c>
      <c r="D173" s="30" t="s">
        <v>430</v>
      </c>
      <c r="E173" s="31" t="s">
        <v>105</v>
      </c>
      <c r="F173" s="31" t="s">
        <v>320</v>
      </c>
      <c r="G173" s="30" t="s">
        <v>112</v>
      </c>
      <c r="H173" s="30" t="s">
        <v>147</v>
      </c>
      <c r="I173" s="32">
        <v>45890</v>
      </c>
      <c r="J173" s="30" t="s">
        <v>83</v>
      </c>
      <c r="K173" s="32" t="s">
        <v>34</v>
      </c>
      <c r="L173" s="30" t="s">
        <v>223</v>
      </c>
      <c r="M173" s="30" t="s">
        <v>109</v>
      </c>
      <c r="N173" s="37">
        <v>1625</v>
      </c>
      <c r="O173" s="34" t="s">
        <v>86</v>
      </c>
      <c r="P173" s="35" t="s">
        <v>304</v>
      </c>
      <c r="Q173" s="29" t="s">
        <v>401</v>
      </c>
    </row>
    <row r="174" spans="1:17" ht="14.25" customHeight="1" x14ac:dyDescent="0.3">
      <c r="A174" s="28">
        <v>45891</v>
      </c>
      <c r="B174" s="29" t="s">
        <v>398</v>
      </c>
      <c r="C174" s="30" t="s">
        <v>103</v>
      </c>
      <c r="D174" s="30" t="s">
        <v>431</v>
      </c>
      <c r="E174" s="31" t="s">
        <v>105</v>
      </c>
      <c r="F174" s="31" t="s">
        <v>320</v>
      </c>
      <c r="G174" s="30" t="s">
        <v>112</v>
      </c>
      <c r="H174" s="30" t="s">
        <v>147</v>
      </c>
      <c r="I174" s="32">
        <v>45890</v>
      </c>
      <c r="J174" s="30" t="s">
        <v>83</v>
      </c>
      <c r="K174" s="32" t="s">
        <v>34</v>
      </c>
      <c r="L174" s="30" t="s">
        <v>223</v>
      </c>
      <c r="M174" s="30" t="s">
        <v>109</v>
      </c>
      <c r="N174" s="37">
        <v>1625</v>
      </c>
      <c r="O174" s="34" t="s">
        <v>86</v>
      </c>
      <c r="P174" s="35" t="s">
        <v>304</v>
      </c>
      <c r="Q174" s="29" t="s">
        <v>401</v>
      </c>
    </row>
    <row r="175" spans="1:17" ht="14.25" customHeight="1" x14ac:dyDescent="0.3">
      <c r="A175" s="28">
        <v>45891</v>
      </c>
      <c r="B175" s="29" t="s">
        <v>398</v>
      </c>
      <c r="C175" s="30" t="s">
        <v>103</v>
      </c>
      <c r="D175" s="30" t="s">
        <v>432</v>
      </c>
      <c r="E175" s="31" t="s">
        <v>433</v>
      </c>
      <c r="F175" s="31" t="s">
        <v>434</v>
      </c>
      <c r="G175" s="30" t="s">
        <v>81</v>
      </c>
      <c r="H175" s="30" t="s">
        <v>435</v>
      </c>
      <c r="I175" s="32">
        <v>45889</v>
      </c>
      <c r="J175" s="30" t="s">
        <v>83</v>
      </c>
      <c r="K175" s="32" t="s">
        <v>45</v>
      </c>
      <c r="L175" s="30" t="s">
        <v>84</v>
      </c>
      <c r="M175" s="30" t="s">
        <v>436</v>
      </c>
      <c r="N175" s="37" t="s">
        <v>81</v>
      </c>
      <c r="O175" s="34" t="s">
        <v>86</v>
      </c>
      <c r="P175" s="35" t="s">
        <v>304</v>
      </c>
      <c r="Q175" s="29" t="s">
        <v>401</v>
      </c>
    </row>
    <row r="176" spans="1:17" ht="14.25" customHeight="1" x14ac:dyDescent="0.3">
      <c r="A176" s="28">
        <v>45893</v>
      </c>
      <c r="B176" s="29" t="s">
        <v>398</v>
      </c>
      <c r="C176" s="30" t="s">
        <v>77</v>
      </c>
      <c r="D176" s="30" t="s">
        <v>437</v>
      </c>
      <c r="E176" s="31" t="s">
        <v>182</v>
      </c>
      <c r="F176" s="31" t="s">
        <v>183</v>
      </c>
      <c r="G176" s="30" t="s">
        <v>112</v>
      </c>
      <c r="H176" s="30" t="s">
        <v>275</v>
      </c>
      <c r="I176" s="32">
        <v>45892</v>
      </c>
      <c r="J176" s="30" t="s">
        <v>108</v>
      </c>
      <c r="K176" s="32" t="s">
        <v>42</v>
      </c>
      <c r="L176" s="30" t="s">
        <v>223</v>
      </c>
      <c r="M176" s="30" t="s">
        <v>184</v>
      </c>
      <c r="N176" s="37">
        <v>1400</v>
      </c>
      <c r="O176" s="34" t="s">
        <v>86</v>
      </c>
      <c r="P176" s="35" t="s">
        <v>304</v>
      </c>
      <c r="Q176" s="29" t="s">
        <v>401</v>
      </c>
    </row>
    <row r="177" spans="1:17" ht="14.25" customHeight="1" x14ac:dyDescent="0.3">
      <c r="A177" s="28">
        <v>45893</v>
      </c>
      <c r="B177" s="29" t="s">
        <v>398</v>
      </c>
      <c r="C177" s="30" t="s">
        <v>77</v>
      </c>
      <c r="D177" s="30" t="s">
        <v>438</v>
      </c>
      <c r="E177" s="31" t="s">
        <v>182</v>
      </c>
      <c r="F177" s="31" t="s">
        <v>183</v>
      </c>
      <c r="G177" s="30" t="s">
        <v>112</v>
      </c>
      <c r="H177" s="30" t="s">
        <v>275</v>
      </c>
      <c r="I177" s="32">
        <v>45892</v>
      </c>
      <c r="J177" s="30" t="s">
        <v>108</v>
      </c>
      <c r="K177" s="32" t="s">
        <v>42</v>
      </c>
      <c r="L177" s="30" t="s">
        <v>223</v>
      </c>
      <c r="M177" s="30" t="s">
        <v>184</v>
      </c>
      <c r="N177" s="37">
        <v>1400</v>
      </c>
      <c r="O177" s="34" t="s">
        <v>86</v>
      </c>
      <c r="P177" s="35" t="s">
        <v>304</v>
      </c>
      <c r="Q177" s="29" t="s">
        <v>401</v>
      </c>
    </row>
    <row r="178" spans="1:17" ht="14.25" customHeight="1" x14ac:dyDescent="0.3">
      <c r="A178" s="28">
        <v>45893</v>
      </c>
      <c r="B178" s="29" t="s">
        <v>398</v>
      </c>
      <c r="C178" s="30" t="s">
        <v>77</v>
      </c>
      <c r="D178" s="30" t="s">
        <v>439</v>
      </c>
      <c r="E178" s="31" t="s">
        <v>182</v>
      </c>
      <c r="F178" s="31" t="s">
        <v>183</v>
      </c>
      <c r="G178" s="30" t="s">
        <v>112</v>
      </c>
      <c r="H178" s="30" t="s">
        <v>275</v>
      </c>
      <c r="I178" s="32">
        <v>45892</v>
      </c>
      <c r="J178" s="30" t="s">
        <v>108</v>
      </c>
      <c r="K178" s="32" t="s">
        <v>42</v>
      </c>
      <c r="L178" s="30" t="s">
        <v>223</v>
      </c>
      <c r="M178" s="30" t="s">
        <v>184</v>
      </c>
      <c r="N178" s="37">
        <v>1400</v>
      </c>
      <c r="O178" s="34" t="s">
        <v>86</v>
      </c>
      <c r="P178" s="35" t="s">
        <v>304</v>
      </c>
      <c r="Q178" s="29" t="s">
        <v>401</v>
      </c>
    </row>
    <row r="179" spans="1:17" ht="14.25" customHeight="1" x14ac:dyDescent="0.3">
      <c r="A179" s="28">
        <v>45893</v>
      </c>
      <c r="B179" s="29" t="s">
        <v>398</v>
      </c>
      <c r="C179" s="30" t="s">
        <v>77</v>
      </c>
      <c r="D179" s="30" t="s">
        <v>440</v>
      </c>
      <c r="E179" s="31" t="s">
        <v>182</v>
      </c>
      <c r="F179" s="31" t="s">
        <v>183</v>
      </c>
      <c r="G179" s="30" t="s">
        <v>112</v>
      </c>
      <c r="H179" s="30" t="s">
        <v>275</v>
      </c>
      <c r="I179" s="32">
        <v>45892</v>
      </c>
      <c r="J179" s="30" t="s">
        <v>108</v>
      </c>
      <c r="K179" s="32" t="s">
        <v>42</v>
      </c>
      <c r="L179" s="30" t="s">
        <v>223</v>
      </c>
      <c r="M179" s="30" t="s">
        <v>184</v>
      </c>
      <c r="N179" s="37">
        <v>1400</v>
      </c>
      <c r="O179" s="34" t="s">
        <v>86</v>
      </c>
      <c r="P179" s="35" t="s">
        <v>304</v>
      </c>
      <c r="Q179" s="29" t="s">
        <v>401</v>
      </c>
    </row>
    <row r="180" spans="1:17" ht="14.25" customHeight="1" x14ac:dyDescent="0.3">
      <c r="A180" s="28">
        <v>45893</v>
      </c>
      <c r="B180" s="29" t="s">
        <v>398</v>
      </c>
      <c r="C180" s="30" t="s">
        <v>77</v>
      </c>
      <c r="D180" s="30" t="s">
        <v>441</v>
      </c>
      <c r="E180" s="31" t="s">
        <v>182</v>
      </c>
      <c r="F180" s="31" t="s">
        <v>183</v>
      </c>
      <c r="G180" s="30" t="s">
        <v>112</v>
      </c>
      <c r="H180" s="30" t="s">
        <v>275</v>
      </c>
      <c r="I180" s="32">
        <v>45892</v>
      </c>
      <c r="J180" s="30" t="s">
        <v>108</v>
      </c>
      <c r="K180" s="32" t="s">
        <v>42</v>
      </c>
      <c r="L180" s="30" t="s">
        <v>223</v>
      </c>
      <c r="M180" s="30" t="s">
        <v>184</v>
      </c>
      <c r="N180" s="37">
        <v>1400</v>
      </c>
      <c r="O180" s="34" t="s">
        <v>86</v>
      </c>
      <c r="P180" s="35" t="s">
        <v>304</v>
      </c>
      <c r="Q180" s="29" t="s">
        <v>401</v>
      </c>
    </row>
    <row r="181" spans="1:17" ht="14.25" customHeight="1" x14ac:dyDescent="0.3">
      <c r="A181" s="28">
        <v>45894</v>
      </c>
      <c r="B181" s="29" t="s">
        <v>398</v>
      </c>
      <c r="C181" s="30" t="s">
        <v>103</v>
      </c>
      <c r="D181" s="30" t="s">
        <v>442</v>
      </c>
      <c r="E181" s="31" t="s">
        <v>236</v>
      </c>
      <c r="F181" s="31" t="s">
        <v>237</v>
      </c>
      <c r="G181" s="30" t="s">
        <v>81</v>
      </c>
      <c r="H181" s="30" t="s">
        <v>315</v>
      </c>
      <c r="I181" s="32">
        <v>45883</v>
      </c>
      <c r="J181" s="30" t="s">
        <v>83</v>
      </c>
      <c r="K181" s="32" t="s">
        <v>46</v>
      </c>
      <c r="L181" s="30" t="s">
        <v>114</v>
      </c>
      <c r="M181" s="30" t="s">
        <v>239</v>
      </c>
      <c r="N181" s="37" t="s">
        <v>81</v>
      </c>
      <c r="O181" s="34" t="s">
        <v>86</v>
      </c>
      <c r="P181" s="35" t="s">
        <v>304</v>
      </c>
      <c r="Q181" s="29" t="s">
        <v>401</v>
      </c>
    </row>
    <row r="182" spans="1:17" ht="14.25" customHeight="1" x14ac:dyDescent="0.3">
      <c r="A182" s="28">
        <v>45894</v>
      </c>
      <c r="B182" s="29" t="s">
        <v>398</v>
      </c>
      <c r="C182" s="30" t="s">
        <v>337</v>
      </c>
      <c r="D182" s="30" t="s">
        <v>443</v>
      </c>
      <c r="E182" s="31" t="s">
        <v>172</v>
      </c>
      <c r="F182" s="31" t="s">
        <v>444</v>
      </c>
      <c r="G182" s="30" t="s">
        <v>81</v>
      </c>
      <c r="H182" s="30" t="s">
        <v>445</v>
      </c>
      <c r="I182" s="32">
        <v>45892</v>
      </c>
      <c r="J182" s="30" t="s">
        <v>83</v>
      </c>
      <c r="K182" s="32" t="s">
        <v>46</v>
      </c>
      <c r="L182" s="30" t="s">
        <v>84</v>
      </c>
      <c r="M182" s="30" t="s">
        <v>176</v>
      </c>
      <c r="N182" s="37" t="s">
        <v>81</v>
      </c>
      <c r="O182" s="34" t="s">
        <v>86</v>
      </c>
      <c r="P182" s="35" t="s">
        <v>304</v>
      </c>
      <c r="Q182" s="29" t="s">
        <v>401</v>
      </c>
    </row>
    <row r="183" spans="1:17" ht="14.25" customHeight="1" x14ac:dyDescent="0.3">
      <c r="A183" s="28">
        <v>45895</v>
      </c>
      <c r="B183" s="29" t="s">
        <v>398</v>
      </c>
      <c r="C183" s="30" t="s">
        <v>219</v>
      </c>
      <c r="D183" s="30" t="s">
        <v>446</v>
      </c>
      <c r="E183" s="31" t="s">
        <v>133</v>
      </c>
      <c r="F183" s="31" t="s">
        <v>134</v>
      </c>
      <c r="G183" s="30" t="s">
        <v>81</v>
      </c>
      <c r="H183" s="30" t="s">
        <v>346</v>
      </c>
      <c r="I183" s="32">
        <v>45895</v>
      </c>
      <c r="J183" s="30" t="s">
        <v>108</v>
      </c>
      <c r="K183" s="32" t="s">
        <v>42</v>
      </c>
      <c r="L183" s="30" t="s">
        <v>223</v>
      </c>
      <c r="M183" s="30" t="s">
        <v>138</v>
      </c>
      <c r="N183" s="37" t="s">
        <v>81</v>
      </c>
      <c r="O183" s="34" t="s">
        <v>86</v>
      </c>
      <c r="P183" s="35" t="s">
        <v>304</v>
      </c>
      <c r="Q183" s="29" t="s">
        <v>401</v>
      </c>
    </row>
    <row r="184" spans="1:17" ht="14.25" customHeight="1" x14ac:dyDescent="0.3">
      <c r="A184" s="28">
        <v>45896</v>
      </c>
      <c r="B184" s="29" t="s">
        <v>398</v>
      </c>
      <c r="C184" s="30" t="s">
        <v>219</v>
      </c>
      <c r="D184" s="30" t="s">
        <v>447</v>
      </c>
      <c r="E184" s="31" t="s">
        <v>140</v>
      </c>
      <c r="F184" s="31" t="s">
        <v>134</v>
      </c>
      <c r="G184" s="30" t="s">
        <v>81</v>
      </c>
      <c r="H184" s="30" t="s">
        <v>346</v>
      </c>
      <c r="I184" s="32">
        <v>45895</v>
      </c>
      <c r="J184" s="30" t="s">
        <v>108</v>
      </c>
      <c r="K184" s="32" t="s">
        <v>44</v>
      </c>
      <c r="L184" s="30" t="s">
        <v>223</v>
      </c>
      <c r="M184" s="30" t="s">
        <v>141</v>
      </c>
      <c r="N184" s="37" t="s">
        <v>81</v>
      </c>
      <c r="O184" s="34" t="s">
        <v>86</v>
      </c>
      <c r="P184" s="35" t="s">
        <v>304</v>
      </c>
      <c r="Q184" s="29" t="s">
        <v>401</v>
      </c>
    </row>
    <row r="185" spans="1:17" ht="14.25" customHeight="1" x14ac:dyDescent="0.3">
      <c r="A185" s="28">
        <v>45898</v>
      </c>
      <c r="B185" s="29" t="s">
        <v>398</v>
      </c>
      <c r="C185" s="30" t="s">
        <v>103</v>
      </c>
      <c r="D185" s="30" t="s">
        <v>448</v>
      </c>
      <c r="E185" s="31" t="s">
        <v>105</v>
      </c>
      <c r="F185" s="31" t="s">
        <v>320</v>
      </c>
      <c r="G185" s="30" t="s">
        <v>112</v>
      </c>
      <c r="H185" s="30" t="s">
        <v>147</v>
      </c>
      <c r="I185" s="32">
        <v>45896</v>
      </c>
      <c r="J185" s="30" t="s">
        <v>83</v>
      </c>
      <c r="K185" s="32" t="s">
        <v>34</v>
      </c>
      <c r="L185" s="30" t="s">
        <v>223</v>
      </c>
      <c r="M185" s="30" t="s">
        <v>109</v>
      </c>
      <c r="N185" s="37">
        <v>1625</v>
      </c>
      <c r="O185" s="34" t="s">
        <v>86</v>
      </c>
      <c r="P185" s="35" t="s">
        <v>304</v>
      </c>
      <c r="Q185" s="29" t="s">
        <v>401</v>
      </c>
    </row>
    <row r="186" spans="1:17" ht="14.25" customHeight="1" x14ac:dyDescent="0.3">
      <c r="A186" s="28">
        <v>45900</v>
      </c>
      <c r="B186" s="29" t="s">
        <v>398</v>
      </c>
      <c r="C186" s="30" t="s">
        <v>219</v>
      </c>
      <c r="D186" s="30" t="s">
        <v>449</v>
      </c>
      <c r="E186" s="31" t="s">
        <v>322</v>
      </c>
      <c r="F186" s="31" t="s">
        <v>99</v>
      </c>
      <c r="G186" s="30" t="s">
        <v>112</v>
      </c>
      <c r="H186" s="30" t="s">
        <v>135</v>
      </c>
      <c r="I186" s="32">
        <v>45898</v>
      </c>
      <c r="J186" s="30" t="s">
        <v>83</v>
      </c>
      <c r="K186" s="32" t="s">
        <v>42</v>
      </c>
      <c r="L186" s="30" t="s">
        <v>84</v>
      </c>
      <c r="M186" s="30" t="s">
        <v>101</v>
      </c>
      <c r="N186" s="37">
        <v>2550</v>
      </c>
      <c r="O186" s="34" t="s">
        <v>86</v>
      </c>
      <c r="P186" s="35" t="s">
        <v>304</v>
      </c>
      <c r="Q186" s="29" t="s">
        <v>401</v>
      </c>
    </row>
    <row r="187" spans="1:17" ht="14.25" customHeight="1" x14ac:dyDescent="0.3">
      <c r="A187" s="28">
        <v>45900</v>
      </c>
      <c r="B187" s="29" t="s">
        <v>398</v>
      </c>
      <c r="C187" s="30" t="s">
        <v>219</v>
      </c>
      <c r="D187" s="30" t="s">
        <v>450</v>
      </c>
      <c r="E187" s="31" t="s">
        <v>322</v>
      </c>
      <c r="F187" s="31" t="s">
        <v>99</v>
      </c>
      <c r="G187" s="30" t="s">
        <v>112</v>
      </c>
      <c r="H187" s="30" t="s">
        <v>135</v>
      </c>
      <c r="I187" s="32">
        <v>45898</v>
      </c>
      <c r="J187" s="30" t="s">
        <v>83</v>
      </c>
      <c r="K187" s="32" t="s">
        <v>42</v>
      </c>
      <c r="L187" s="30" t="s">
        <v>84</v>
      </c>
      <c r="M187" s="30" t="s">
        <v>101</v>
      </c>
      <c r="N187" s="37">
        <v>2550</v>
      </c>
      <c r="O187" s="34" t="s">
        <v>86</v>
      </c>
      <c r="P187" s="35" t="s">
        <v>304</v>
      </c>
      <c r="Q187" s="29" t="s">
        <v>401</v>
      </c>
    </row>
    <row r="188" spans="1:17" ht="14.25" customHeight="1" x14ac:dyDescent="0.3">
      <c r="A188" s="28">
        <v>45900</v>
      </c>
      <c r="B188" s="29" t="s">
        <v>398</v>
      </c>
      <c r="C188" s="30" t="s">
        <v>103</v>
      </c>
      <c r="D188" s="30" t="s">
        <v>451</v>
      </c>
      <c r="E188" s="31" t="s">
        <v>333</v>
      </c>
      <c r="F188" s="31" t="s">
        <v>209</v>
      </c>
      <c r="G188" s="30" t="s">
        <v>187</v>
      </c>
      <c r="H188" s="30" t="s">
        <v>275</v>
      </c>
      <c r="I188" s="32">
        <v>45897</v>
      </c>
      <c r="J188" s="30" t="s">
        <v>83</v>
      </c>
      <c r="K188" s="32" t="s">
        <v>32</v>
      </c>
      <c r="L188" s="30" t="s">
        <v>84</v>
      </c>
      <c r="M188" s="30" t="s">
        <v>211</v>
      </c>
      <c r="N188" s="37">
        <v>4404</v>
      </c>
      <c r="O188" s="34" t="s">
        <v>86</v>
      </c>
      <c r="P188" s="35" t="s">
        <v>304</v>
      </c>
      <c r="Q188" s="29" t="s">
        <v>401</v>
      </c>
    </row>
    <row r="189" spans="1:17" ht="14.25" customHeight="1" x14ac:dyDescent="0.3">
      <c r="A189" s="28">
        <v>45900</v>
      </c>
      <c r="B189" s="29" t="s">
        <v>398</v>
      </c>
      <c r="C189" s="30" t="s">
        <v>103</v>
      </c>
      <c r="D189" s="30" t="s">
        <v>452</v>
      </c>
      <c r="E189" s="31" t="s">
        <v>333</v>
      </c>
      <c r="F189" s="31" t="s">
        <v>209</v>
      </c>
      <c r="G189" s="30" t="s">
        <v>187</v>
      </c>
      <c r="H189" s="30" t="s">
        <v>275</v>
      </c>
      <c r="I189" s="32">
        <v>45897</v>
      </c>
      <c r="J189" s="30" t="s">
        <v>83</v>
      </c>
      <c r="K189" s="32" t="s">
        <v>32</v>
      </c>
      <c r="L189" s="30" t="s">
        <v>84</v>
      </c>
      <c r="M189" s="30" t="s">
        <v>211</v>
      </c>
      <c r="N189" s="37">
        <v>4404</v>
      </c>
      <c r="O189" s="34" t="s">
        <v>86</v>
      </c>
      <c r="P189" s="35" t="s">
        <v>304</v>
      </c>
      <c r="Q189" s="29" t="s">
        <v>401</v>
      </c>
    </row>
    <row r="190" spans="1:17" ht="14.25" customHeight="1" x14ac:dyDescent="0.3">
      <c r="A190" s="28">
        <v>45900</v>
      </c>
      <c r="B190" s="29" t="s">
        <v>398</v>
      </c>
      <c r="C190" s="30" t="s">
        <v>103</v>
      </c>
      <c r="D190" s="30" t="s">
        <v>453</v>
      </c>
      <c r="E190" s="31" t="s">
        <v>333</v>
      </c>
      <c r="F190" s="31" t="s">
        <v>209</v>
      </c>
      <c r="G190" s="30" t="s">
        <v>187</v>
      </c>
      <c r="H190" s="30" t="s">
        <v>275</v>
      </c>
      <c r="I190" s="32">
        <v>45897</v>
      </c>
      <c r="J190" s="30" t="s">
        <v>83</v>
      </c>
      <c r="K190" s="32" t="s">
        <v>32</v>
      </c>
      <c r="L190" s="30" t="s">
        <v>84</v>
      </c>
      <c r="M190" s="30" t="s">
        <v>211</v>
      </c>
      <c r="N190" s="37">
        <v>4404</v>
      </c>
      <c r="O190" s="34" t="s">
        <v>86</v>
      </c>
      <c r="P190" s="35" t="s">
        <v>304</v>
      </c>
      <c r="Q190" s="29" t="s">
        <v>401</v>
      </c>
    </row>
    <row r="191" spans="1:17" ht="14.25" customHeight="1" x14ac:dyDescent="0.3">
      <c r="A191" s="28">
        <v>45903</v>
      </c>
      <c r="B191" s="29" t="s">
        <v>454</v>
      </c>
      <c r="C191" s="30" t="s">
        <v>219</v>
      </c>
      <c r="D191" s="30" t="s">
        <v>455</v>
      </c>
      <c r="E191" s="31" t="s">
        <v>326</v>
      </c>
      <c r="F191" s="31" t="s">
        <v>327</v>
      </c>
      <c r="G191" s="30" t="s">
        <v>112</v>
      </c>
      <c r="H191" s="30" t="s">
        <v>135</v>
      </c>
      <c r="I191" s="32">
        <v>45901</v>
      </c>
      <c r="J191" s="30" t="s">
        <v>83</v>
      </c>
      <c r="K191" s="32" t="s">
        <v>42</v>
      </c>
      <c r="L191" s="30" t="s">
        <v>114</v>
      </c>
      <c r="M191" s="30" t="s">
        <v>456</v>
      </c>
      <c r="N191" s="37">
        <v>2650</v>
      </c>
      <c r="O191" s="34" t="s">
        <v>86</v>
      </c>
      <c r="P191" s="35" t="s">
        <v>304</v>
      </c>
      <c r="Q191" s="29" t="s">
        <v>457</v>
      </c>
    </row>
    <row r="192" spans="1:17" ht="14.25" customHeight="1" x14ac:dyDescent="0.3">
      <c r="A192" s="28">
        <v>45903</v>
      </c>
      <c r="B192" s="29" t="s">
        <v>454</v>
      </c>
      <c r="C192" s="30" t="s">
        <v>219</v>
      </c>
      <c r="D192" s="30" t="s">
        <v>458</v>
      </c>
      <c r="E192" s="31" t="s">
        <v>459</v>
      </c>
      <c r="F192" s="31" t="s">
        <v>111</v>
      </c>
      <c r="G192" s="30" t="s">
        <v>112</v>
      </c>
      <c r="H192" s="30" t="s">
        <v>135</v>
      </c>
      <c r="I192" s="32">
        <v>45902</v>
      </c>
      <c r="J192" s="30" t="s">
        <v>108</v>
      </c>
      <c r="K192" s="32" t="s">
        <v>42</v>
      </c>
      <c r="L192" s="30" t="s">
        <v>223</v>
      </c>
      <c r="M192" s="30" t="s">
        <v>460</v>
      </c>
      <c r="N192" s="37">
        <v>2850</v>
      </c>
      <c r="O192" s="34" t="s">
        <v>86</v>
      </c>
      <c r="P192" s="35" t="s">
        <v>304</v>
      </c>
      <c r="Q192" s="29" t="s">
        <v>457</v>
      </c>
    </row>
    <row r="193" spans="1:17" ht="14.25" customHeight="1" x14ac:dyDescent="0.3">
      <c r="A193" s="28">
        <v>45903</v>
      </c>
      <c r="B193" s="29" t="s">
        <v>454</v>
      </c>
      <c r="C193" s="30" t="s">
        <v>219</v>
      </c>
      <c r="D193" s="30" t="s">
        <v>461</v>
      </c>
      <c r="E193" s="31" t="s">
        <v>459</v>
      </c>
      <c r="F193" s="31" t="s">
        <v>111</v>
      </c>
      <c r="G193" s="30" t="s">
        <v>112</v>
      </c>
      <c r="H193" s="30" t="s">
        <v>135</v>
      </c>
      <c r="I193" s="32">
        <v>45902</v>
      </c>
      <c r="J193" s="30" t="s">
        <v>108</v>
      </c>
      <c r="K193" s="32" t="s">
        <v>42</v>
      </c>
      <c r="L193" s="30" t="s">
        <v>223</v>
      </c>
      <c r="M193" s="30" t="s">
        <v>460</v>
      </c>
      <c r="N193" s="37">
        <v>2850</v>
      </c>
      <c r="O193" s="34" t="s">
        <v>86</v>
      </c>
      <c r="P193" s="35" t="s">
        <v>304</v>
      </c>
      <c r="Q193" s="29" t="s">
        <v>457</v>
      </c>
    </row>
    <row r="194" spans="1:17" ht="14.25" customHeight="1" x14ac:dyDescent="0.3">
      <c r="A194" s="28">
        <v>45903</v>
      </c>
      <c r="B194" s="29" t="s">
        <v>454</v>
      </c>
      <c r="C194" s="30" t="s">
        <v>219</v>
      </c>
      <c r="D194" s="30" t="s">
        <v>462</v>
      </c>
      <c r="E194" s="31" t="s">
        <v>459</v>
      </c>
      <c r="F194" s="31" t="s">
        <v>111</v>
      </c>
      <c r="G194" s="30" t="s">
        <v>112</v>
      </c>
      <c r="H194" s="30" t="s">
        <v>135</v>
      </c>
      <c r="I194" s="32">
        <v>45902</v>
      </c>
      <c r="J194" s="30" t="s">
        <v>108</v>
      </c>
      <c r="K194" s="32" t="s">
        <v>42</v>
      </c>
      <c r="L194" s="30" t="s">
        <v>223</v>
      </c>
      <c r="M194" s="30" t="s">
        <v>460</v>
      </c>
      <c r="N194" s="37">
        <v>2850</v>
      </c>
      <c r="O194" s="34" t="s">
        <v>86</v>
      </c>
      <c r="P194" s="35" t="s">
        <v>304</v>
      </c>
      <c r="Q194" s="29" t="s">
        <v>457</v>
      </c>
    </row>
    <row r="195" spans="1:17" ht="14.25" customHeight="1" x14ac:dyDescent="0.3">
      <c r="A195" s="28">
        <v>45905</v>
      </c>
      <c r="B195" s="29" t="s">
        <v>454</v>
      </c>
      <c r="C195" s="30" t="s">
        <v>77</v>
      </c>
      <c r="D195" s="30" t="s">
        <v>463</v>
      </c>
      <c r="E195" s="31" t="s">
        <v>330</v>
      </c>
      <c r="F195" s="31" t="s">
        <v>428</v>
      </c>
      <c r="G195" s="30" t="s">
        <v>112</v>
      </c>
      <c r="H195" s="30" t="s">
        <v>124</v>
      </c>
      <c r="I195" s="32">
        <v>45903</v>
      </c>
      <c r="J195" s="30" t="s">
        <v>83</v>
      </c>
      <c r="K195" s="32" t="s">
        <v>46</v>
      </c>
      <c r="L195" s="30" t="s">
        <v>114</v>
      </c>
      <c r="M195" s="30" t="s">
        <v>331</v>
      </c>
      <c r="N195" s="37">
        <v>600</v>
      </c>
      <c r="O195" s="34" t="s">
        <v>86</v>
      </c>
      <c r="P195" s="35" t="s">
        <v>304</v>
      </c>
      <c r="Q195" s="29" t="s">
        <v>457</v>
      </c>
    </row>
    <row r="196" spans="1:17" ht="14.25" customHeight="1" x14ac:dyDescent="0.3">
      <c r="A196" s="28">
        <v>45911</v>
      </c>
      <c r="B196" s="29" t="s">
        <v>454</v>
      </c>
      <c r="C196" s="30" t="s">
        <v>219</v>
      </c>
      <c r="D196" s="30" t="s">
        <v>464</v>
      </c>
      <c r="E196" s="31" t="s">
        <v>221</v>
      </c>
      <c r="F196" s="31" t="s">
        <v>99</v>
      </c>
      <c r="G196" s="30" t="s">
        <v>112</v>
      </c>
      <c r="H196" s="30" t="s">
        <v>135</v>
      </c>
      <c r="I196" s="32">
        <v>45909</v>
      </c>
      <c r="J196" s="30" t="s">
        <v>108</v>
      </c>
      <c r="K196" s="32" t="s">
        <v>42</v>
      </c>
      <c r="L196" s="30" t="s">
        <v>223</v>
      </c>
      <c r="M196" s="30" t="s">
        <v>101</v>
      </c>
      <c r="N196" s="37">
        <v>2550</v>
      </c>
      <c r="O196" s="34" t="s">
        <v>86</v>
      </c>
      <c r="P196" s="35" t="s">
        <v>304</v>
      </c>
      <c r="Q196" s="29" t="s">
        <v>457</v>
      </c>
    </row>
    <row r="197" spans="1:17" ht="14.25" customHeight="1" x14ac:dyDescent="0.3">
      <c r="A197" s="28">
        <v>45912</v>
      </c>
      <c r="B197" s="29" t="s">
        <v>454</v>
      </c>
      <c r="C197" s="30" t="s">
        <v>219</v>
      </c>
      <c r="D197" s="30" t="s">
        <v>465</v>
      </c>
      <c r="E197" s="31" t="s">
        <v>226</v>
      </c>
      <c r="F197" s="31" t="s">
        <v>99</v>
      </c>
      <c r="G197" s="30" t="s">
        <v>81</v>
      </c>
      <c r="H197" s="30" t="s">
        <v>227</v>
      </c>
      <c r="I197" s="32">
        <v>45912</v>
      </c>
      <c r="J197" s="30" t="s">
        <v>108</v>
      </c>
      <c r="K197" s="32" t="s">
        <v>25</v>
      </c>
      <c r="L197" s="30" t="s">
        <v>223</v>
      </c>
      <c r="M197" s="30" t="s">
        <v>101</v>
      </c>
      <c r="N197" s="37" t="s">
        <v>81</v>
      </c>
      <c r="O197" s="34" t="s">
        <v>86</v>
      </c>
      <c r="P197" s="35" t="s">
        <v>304</v>
      </c>
      <c r="Q197" s="29" t="s">
        <v>457</v>
      </c>
    </row>
    <row r="198" spans="1:17" ht="14.25" customHeight="1" x14ac:dyDescent="0.3">
      <c r="A198" s="28">
        <v>45913</v>
      </c>
      <c r="B198" s="29" t="s">
        <v>454</v>
      </c>
      <c r="C198" s="30" t="s">
        <v>103</v>
      </c>
      <c r="D198" s="30" t="s">
        <v>466</v>
      </c>
      <c r="E198" s="31" t="s">
        <v>164</v>
      </c>
      <c r="F198" s="31" t="s">
        <v>165</v>
      </c>
      <c r="G198" s="30" t="s">
        <v>81</v>
      </c>
      <c r="H198" s="30" t="s">
        <v>258</v>
      </c>
      <c r="I198" s="32">
        <v>45911</v>
      </c>
      <c r="J198" s="30" t="s">
        <v>83</v>
      </c>
      <c r="K198" s="32" t="s">
        <v>42</v>
      </c>
      <c r="L198" s="30" t="s">
        <v>114</v>
      </c>
      <c r="M198" s="30" t="s">
        <v>167</v>
      </c>
      <c r="N198" s="37" t="s">
        <v>81</v>
      </c>
      <c r="O198" s="34" t="s">
        <v>86</v>
      </c>
      <c r="P198" s="35" t="s">
        <v>304</v>
      </c>
      <c r="Q198" s="29" t="s">
        <v>457</v>
      </c>
    </row>
    <row r="199" spans="1:17" ht="14.25" customHeight="1" x14ac:dyDescent="0.3">
      <c r="A199" s="28">
        <v>45915</v>
      </c>
      <c r="B199" s="29" t="s">
        <v>454</v>
      </c>
      <c r="C199" s="30" t="s">
        <v>103</v>
      </c>
      <c r="D199" s="30" t="s">
        <v>467</v>
      </c>
      <c r="E199" s="31" t="s">
        <v>105</v>
      </c>
      <c r="F199" s="31" t="s">
        <v>320</v>
      </c>
      <c r="G199" s="30" t="s">
        <v>112</v>
      </c>
      <c r="H199" s="30" t="s">
        <v>147</v>
      </c>
      <c r="I199" s="32">
        <v>45914</v>
      </c>
      <c r="J199" s="30" t="s">
        <v>108</v>
      </c>
      <c r="K199" s="32" t="s">
        <v>34</v>
      </c>
      <c r="L199" s="30" t="s">
        <v>223</v>
      </c>
      <c r="M199" s="30" t="s">
        <v>109</v>
      </c>
      <c r="N199" s="37">
        <v>1225</v>
      </c>
      <c r="O199" s="34" t="s">
        <v>86</v>
      </c>
      <c r="P199" s="35" t="s">
        <v>304</v>
      </c>
      <c r="Q199" s="29" t="s">
        <v>457</v>
      </c>
    </row>
    <row r="200" spans="1:17" ht="14.25" customHeight="1" x14ac:dyDescent="0.3">
      <c r="A200" s="28">
        <v>45916</v>
      </c>
      <c r="B200" s="29" t="s">
        <v>454</v>
      </c>
      <c r="C200" s="30" t="s">
        <v>219</v>
      </c>
      <c r="D200" s="30" t="s">
        <v>468</v>
      </c>
      <c r="E200" s="31" t="s">
        <v>459</v>
      </c>
      <c r="F200" s="31" t="s">
        <v>111</v>
      </c>
      <c r="G200" s="30" t="s">
        <v>112</v>
      </c>
      <c r="H200" s="30" t="s">
        <v>135</v>
      </c>
      <c r="I200" s="32">
        <v>45916</v>
      </c>
      <c r="J200" s="30" t="s">
        <v>108</v>
      </c>
      <c r="K200" s="32" t="s">
        <v>42</v>
      </c>
      <c r="L200" s="30" t="s">
        <v>223</v>
      </c>
      <c r="M200" s="30" t="s">
        <v>460</v>
      </c>
      <c r="N200" s="37">
        <v>2850</v>
      </c>
      <c r="O200" s="34" t="s">
        <v>86</v>
      </c>
      <c r="P200" s="35" t="s">
        <v>304</v>
      </c>
      <c r="Q200" s="29" t="s">
        <v>457</v>
      </c>
    </row>
    <row r="201" spans="1:17" ht="14.25" customHeight="1" x14ac:dyDescent="0.3">
      <c r="A201" s="28">
        <v>45916</v>
      </c>
      <c r="B201" s="29" t="s">
        <v>454</v>
      </c>
      <c r="C201" s="30" t="s">
        <v>219</v>
      </c>
      <c r="D201" s="30" t="s">
        <v>469</v>
      </c>
      <c r="E201" s="31" t="s">
        <v>459</v>
      </c>
      <c r="F201" s="31" t="s">
        <v>111</v>
      </c>
      <c r="G201" s="30" t="s">
        <v>112</v>
      </c>
      <c r="H201" s="30" t="s">
        <v>135</v>
      </c>
      <c r="I201" s="32">
        <v>45916</v>
      </c>
      <c r="J201" s="30" t="s">
        <v>108</v>
      </c>
      <c r="K201" s="32" t="s">
        <v>42</v>
      </c>
      <c r="L201" s="30" t="s">
        <v>223</v>
      </c>
      <c r="M201" s="30" t="s">
        <v>460</v>
      </c>
      <c r="N201" s="37">
        <v>2850</v>
      </c>
      <c r="O201" s="34" t="s">
        <v>86</v>
      </c>
      <c r="P201" s="35" t="s">
        <v>304</v>
      </c>
      <c r="Q201" s="29" t="s">
        <v>457</v>
      </c>
    </row>
    <row r="202" spans="1:17" ht="14.25" customHeight="1" x14ac:dyDescent="0.3">
      <c r="A202" s="28">
        <v>45919</v>
      </c>
      <c r="B202" s="29" t="s">
        <v>454</v>
      </c>
      <c r="C202" s="30" t="s">
        <v>103</v>
      </c>
      <c r="D202" s="30" t="s">
        <v>470</v>
      </c>
      <c r="E202" s="31" t="s">
        <v>145</v>
      </c>
      <c r="F202" s="31" t="s">
        <v>146</v>
      </c>
      <c r="G202" s="30" t="s">
        <v>81</v>
      </c>
      <c r="H202" s="30" t="s">
        <v>275</v>
      </c>
      <c r="I202" s="32">
        <v>45919</v>
      </c>
      <c r="J202" s="30" t="s">
        <v>83</v>
      </c>
      <c r="K202" s="32" t="s">
        <v>42</v>
      </c>
      <c r="L202" s="30" t="s">
        <v>114</v>
      </c>
      <c r="M202" s="30" t="s">
        <v>188</v>
      </c>
      <c r="N202" s="37">
        <v>1295</v>
      </c>
      <c r="O202" s="34" t="s">
        <v>86</v>
      </c>
      <c r="P202" s="35" t="s">
        <v>304</v>
      </c>
      <c r="Q202" s="29" t="s">
        <v>457</v>
      </c>
    </row>
    <row r="203" spans="1:17" ht="14.25" customHeight="1" x14ac:dyDescent="0.3">
      <c r="A203" s="28">
        <v>45919</v>
      </c>
      <c r="B203" s="29" t="s">
        <v>454</v>
      </c>
      <c r="C203" s="30" t="s">
        <v>219</v>
      </c>
      <c r="D203" s="30" t="s">
        <v>471</v>
      </c>
      <c r="E203" s="31" t="s">
        <v>383</v>
      </c>
      <c r="F203" s="31" t="s">
        <v>134</v>
      </c>
      <c r="G203" s="30" t="s">
        <v>81</v>
      </c>
      <c r="H203" s="30" t="s">
        <v>135</v>
      </c>
      <c r="I203" s="32">
        <v>45917</v>
      </c>
      <c r="J203" s="30" t="s">
        <v>83</v>
      </c>
      <c r="K203" s="32" t="s">
        <v>25</v>
      </c>
      <c r="L203" s="30" t="s">
        <v>84</v>
      </c>
      <c r="M203" s="30" t="s">
        <v>381</v>
      </c>
      <c r="N203" s="37" t="s">
        <v>81</v>
      </c>
      <c r="O203" s="34" t="s">
        <v>86</v>
      </c>
      <c r="P203" s="35" t="s">
        <v>304</v>
      </c>
      <c r="Q203" s="29" t="s">
        <v>457</v>
      </c>
    </row>
    <row r="204" spans="1:17" ht="14.25" customHeight="1" x14ac:dyDescent="0.3">
      <c r="A204" s="28">
        <v>45919</v>
      </c>
      <c r="B204" s="29" t="s">
        <v>454</v>
      </c>
      <c r="C204" s="30" t="s">
        <v>219</v>
      </c>
      <c r="D204" s="30" t="s">
        <v>472</v>
      </c>
      <c r="E204" s="31" t="s">
        <v>383</v>
      </c>
      <c r="F204" s="31" t="s">
        <v>134</v>
      </c>
      <c r="G204" s="30" t="s">
        <v>81</v>
      </c>
      <c r="H204" s="30" t="s">
        <v>135</v>
      </c>
      <c r="I204" s="32">
        <v>45917</v>
      </c>
      <c r="J204" s="30" t="s">
        <v>83</v>
      </c>
      <c r="K204" s="32" t="s">
        <v>25</v>
      </c>
      <c r="L204" s="30" t="s">
        <v>84</v>
      </c>
      <c r="M204" s="30" t="s">
        <v>381</v>
      </c>
      <c r="N204" s="37" t="s">
        <v>81</v>
      </c>
      <c r="O204" s="34" t="s">
        <v>86</v>
      </c>
      <c r="P204" s="35" t="s">
        <v>304</v>
      </c>
      <c r="Q204" s="29" t="s">
        <v>457</v>
      </c>
    </row>
    <row r="205" spans="1:17" ht="14.25" customHeight="1" x14ac:dyDescent="0.3">
      <c r="A205" s="28">
        <v>45919</v>
      </c>
      <c r="B205" s="29" t="s">
        <v>454</v>
      </c>
      <c r="C205" s="30" t="s">
        <v>219</v>
      </c>
      <c r="D205" s="30" t="s">
        <v>473</v>
      </c>
      <c r="E205" s="31" t="s">
        <v>383</v>
      </c>
      <c r="F205" s="31" t="s">
        <v>134</v>
      </c>
      <c r="G205" s="30" t="s">
        <v>81</v>
      </c>
      <c r="H205" s="30" t="s">
        <v>135</v>
      </c>
      <c r="I205" s="32">
        <v>45917</v>
      </c>
      <c r="J205" s="30" t="s">
        <v>83</v>
      </c>
      <c r="K205" s="32" t="s">
        <v>25</v>
      </c>
      <c r="L205" s="30" t="s">
        <v>84</v>
      </c>
      <c r="M205" s="30" t="s">
        <v>381</v>
      </c>
      <c r="N205" s="37" t="s">
        <v>81</v>
      </c>
      <c r="O205" s="34" t="s">
        <v>86</v>
      </c>
      <c r="P205" s="35" t="s">
        <v>304</v>
      </c>
      <c r="Q205" s="29" t="s">
        <v>457</v>
      </c>
    </row>
    <row r="206" spans="1:17" ht="14.25" customHeight="1" x14ac:dyDescent="0.3">
      <c r="A206" s="28">
        <v>45919</v>
      </c>
      <c r="B206" s="29" t="s">
        <v>454</v>
      </c>
      <c r="C206" s="30" t="s">
        <v>219</v>
      </c>
      <c r="D206" s="30" t="s">
        <v>474</v>
      </c>
      <c r="E206" s="31" t="s">
        <v>383</v>
      </c>
      <c r="F206" s="31" t="s">
        <v>134</v>
      </c>
      <c r="G206" s="30" t="s">
        <v>81</v>
      </c>
      <c r="H206" s="30" t="s">
        <v>135</v>
      </c>
      <c r="I206" s="32">
        <v>45917</v>
      </c>
      <c r="J206" s="30" t="s">
        <v>83</v>
      </c>
      <c r="K206" s="32" t="s">
        <v>25</v>
      </c>
      <c r="L206" s="30" t="s">
        <v>84</v>
      </c>
      <c r="M206" s="30" t="s">
        <v>381</v>
      </c>
      <c r="N206" s="37" t="s">
        <v>81</v>
      </c>
      <c r="O206" s="34" t="s">
        <v>86</v>
      </c>
      <c r="P206" s="35" t="s">
        <v>304</v>
      </c>
      <c r="Q206" s="29" t="s">
        <v>457</v>
      </c>
    </row>
    <row r="207" spans="1:17" ht="14.25" customHeight="1" x14ac:dyDescent="0.3">
      <c r="A207" s="28">
        <v>45921</v>
      </c>
      <c r="B207" s="29" t="s">
        <v>454</v>
      </c>
      <c r="C207" s="30" t="s">
        <v>77</v>
      </c>
      <c r="D207" s="30" t="s">
        <v>475</v>
      </c>
      <c r="E207" s="31" t="s">
        <v>333</v>
      </c>
      <c r="F207" s="31" t="s">
        <v>476</v>
      </c>
      <c r="G207" s="30" t="s">
        <v>334</v>
      </c>
      <c r="H207" s="30" t="s">
        <v>107</v>
      </c>
      <c r="I207" s="32">
        <v>45919</v>
      </c>
      <c r="J207" s="30" t="s">
        <v>83</v>
      </c>
      <c r="K207" s="32" t="s">
        <v>25</v>
      </c>
      <c r="L207" s="30" t="s">
        <v>84</v>
      </c>
      <c r="M207" s="30" t="s">
        <v>477</v>
      </c>
      <c r="N207" s="37">
        <v>1050</v>
      </c>
      <c r="O207" s="34" t="s">
        <v>86</v>
      </c>
      <c r="P207" s="35" t="s">
        <v>304</v>
      </c>
      <c r="Q207" s="29" t="s">
        <v>457</v>
      </c>
    </row>
    <row r="208" spans="1:17" ht="14.25" customHeight="1" x14ac:dyDescent="0.3">
      <c r="A208" s="28">
        <v>45921</v>
      </c>
      <c r="B208" s="29" t="s">
        <v>454</v>
      </c>
      <c r="C208" s="30" t="s">
        <v>77</v>
      </c>
      <c r="D208" s="30" t="s">
        <v>478</v>
      </c>
      <c r="E208" s="31" t="s">
        <v>333</v>
      </c>
      <c r="F208" s="31" t="s">
        <v>476</v>
      </c>
      <c r="G208" s="30" t="s">
        <v>334</v>
      </c>
      <c r="H208" s="30" t="s">
        <v>107</v>
      </c>
      <c r="I208" s="32">
        <v>45919</v>
      </c>
      <c r="J208" s="30" t="s">
        <v>83</v>
      </c>
      <c r="K208" s="32" t="s">
        <v>25</v>
      </c>
      <c r="L208" s="30" t="s">
        <v>84</v>
      </c>
      <c r="M208" s="30" t="s">
        <v>477</v>
      </c>
      <c r="N208" s="37">
        <v>1050</v>
      </c>
      <c r="O208" s="34" t="s">
        <v>86</v>
      </c>
      <c r="P208" s="35" t="s">
        <v>304</v>
      </c>
      <c r="Q208" s="29" t="s">
        <v>457</v>
      </c>
    </row>
    <row r="209" spans="1:17" ht="14.25" customHeight="1" x14ac:dyDescent="0.3">
      <c r="A209" s="28">
        <v>45923</v>
      </c>
      <c r="B209" s="29" t="s">
        <v>454</v>
      </c>
      <c r="C209" s="30" t="s">
        <v>170</v>
      </c>
      <c r="D209" s="30" t="s">
        <v>479</v>
      </c>
      <c r="E209" s="31" t="s">
        <v>480</v>
      </c>
      <c r="F209" s="31" t="s">
        <v>481</v>
      </c>
      <c r="G209" s="30" t="s">
        <v>81</v>
      </c>
      <c r="H209" s="30" t="s">
        <v>482</v>
      </c>
      <c r="I209" s="32">
        <v>45921</v>
      </c>
      <c r="J209" s="30" t="s">
        <v>83</v>
      </c>
      <c r="K209" s="32" t="s">
        <v>48</v>
      </c>
      <c r="L209" s="30" t="s">
        <v>84</v>
      </c>
      <c r="M209" s="30" t="s">
        <v>483</v>
      </c>
      <c r="N209" s="37" t="s">
        <v>81</v>
      </c>
      <c r="O209" s="34" t="s">
        <v>86</v>
      </c>
      <c r="P209" s="35" t="s">
        <v>304</v>
      </c>
      <c r="Q209" s="29" t="s">
        <v>457</v>
      </c>
    </row>
    <row r="210" spans="1:17" ht="14.25" customHeight="1" x14ac:dyDescent="0.3">
      <c r="A210" s="28">
        <v>45927</v>
      </c>
      <c r="B210" s="29" t="s">
        <v>454</v>
      </c>
      <c r="C210" s="30" t="s">
        <v>103</v>
      </c>
      <c r="D210" s="30" t="s">
        <v>484</v>
      </c>
      <c r="E210" s="31" t="s">
        <v>178</v>
      </c>
      <c r="F210" s="31" t="s">
        <v>179</v>
      </c>
      <c r="G210" s="30" t="s">
        <v>112</v>
      </c>
      <c r="H210" s="30" t="s">
        <v>147</v>
      </c>
      <c r="I210" s="32">
        <v>45926</v>
      </c>
      <c r="J210" s="30" t="s">
        <v>108</v>
      </c>
      <c r="K210" s="32" t="s">
        <v>34</v>
      </c>
      <c r="L210" s="30" t="s">
        <v>223</v>
      </c>
      <c r="M210" s="30" t="s">
        <v>180</v>
      </c>
      <c r="N210" s="37">
        <v>1395</v>
      </c>
      <c r="O210" s="34" t="s">
        <v>86</v>
      </c>
      <c r="P210" s="35" t="s">
        <v>304</v>
      </c>
      <c r="Q210" s="29" t="s">
        <v>457</v>
      </c>
    </row>
    <row r="211" spans="1:17" ht="14.25" customHeight="1" x14ac:dyDescent="0.3">
      <c r="A211" s="28">
        <v>45927</v>
      </c>
      <c r="B211" s="29" t="s">
        <v>454</v>
      </c>
      <c r="C211" s="30" t="s">
        <v>103</v>
      </c>
      <c r="D211" s="30" t="s">
        <v>485</v>
      </c>
      <c r="E211" s="31" t="s">
        <v>178</v>
      </c>
      <c r="F211" s="31" t="s">
        <v>179</v>
      </c>
      <c r="G211" s="30" t="s">
        <v>112</v>
      </c>
      <c r="H211" s="30" t="s">
        <v>147</v>
      </c>
      <c r="I211" s="32">
        <v>45926</v>
      </c>
      <c r="J211" s="30" t="s">
        <v>108</v>
      </c>
      <c r="K211" s="32" t="s">
        <v>34</v>
      </c>
      <c r="L211" s="30" t="s">
        <v>223</v>
      </c>
      <c r="M211" s="30" t="s">
        <v>180</v>
      </c>
      <c r="N211" s="37">
        <v>1395</v>
      </c>
      <c r="O211" s="34" t="s">
        <v>86</v>
      </c>
      <c r="P211" s="35" t="s">
        <v>304</v>
      </c>
      <c r="Q211" s="29" t="s">
        <v>457</v>
      </c>
    </row>
    <row r="212" spans="1:17" ht="14.25" customHeight="1" x14ac:dyDescent="0.3">
      <c r="A212" s="28">
        <v>45927</v>
      </c>
      <c r="B212" s="29" t="s">
        <v>454</v>
      </c>
      <c r="C212" s="30" t="s">
        <v>103</v>
      </c>
      <c r="D212" s="30" t="s">
        <v>486</v>
      </c>
      <c r="E212" s="31" t="s">
        <v>178</v>
      </c>
      <c r="F212" s="31" t="s">
        <v>179</v>
      </c>
      <c r="G212" s="30" t="s">
        <v>112</v>
      </c>
      <c r="H212" s="30" t="s">
        <v>147</v>
      </c>
      <c r="I212" s="32">
        <v>45926</v>
      </c>
      <c r="J212" s="30" t="s">
        <v>108</v>
      </c>
      <c r="K212" s="32" t="s">
        <v>34</v>
      </c>
      <c r="L212" s="30" t="s">
        <v>223</v>
      </c>
      <c r="M212" s="30" t="s">
        <v>180</v>
      </c>
      <c r="N212" s="37">
        <v>1395</v>
      </c>
      <c r="O212" s="34" t="s">
        <v>86</v>
      </c>
      <c r="P212" s="35" t="s">
        <v>304</v>
      </c>
      <c r="Q212" s="29" t="s">
        <v>457</v>
      </c>
    </row>
    <row r="213" spans="1:17" ht="14.25" customHeight="1" x14ac:dyDescent="0.3">
      <c r="A213" s="28">
        <v>45927</v>
      </c>
      <c r="B213" s="29" t="s">
        <v>454</v>
      </c>
      <c r="C213" s="30" t="s">
        <v>77</v>
      </c>
      <c r="D213" s="30" t="s">
        <v>487</v>
      </c>
      <c r="E213" s="31" t="s">
        <v>182</v>
      </c>
      <c r="F213" s="31" t="s">
        <v>183</v>
      </c>
      <c r="G213" s="30" t="s">
        <v>334</v>
      </c>
      <c r="H213" s="30" t="s">
        <v>275</v>
      </c>
      <c r="I213" s="32">
        <v>45925</v>
      </c>
      <c r="J213" s="30" t="s">
        <v>83</v>
      </c>
      <c r="K213" s="32" t="s">
        <v>25</v>
      </c>
      <c r="L213" s="30" t="s">
        <v>84</v>
      </c>
      <c r="M213" s="30" t="s">
        <v>488</v>
      </c>
      <c r="N213" s="37">
        <v>1060</v>
      </c>
      <c r="O213" s="34" t="s">
        <v>86</v>
      </c>
      <c r="P213" s="35" t="s">
        <v>304</v>
      </c>
      <c r="Q213" s="29" t="s">
        <v>457</v>
      </c>
    </row>
    <row r="214" spans="1:17" ht="14.25" customHeight="1" x14ac:dyDescent="0.3">
      <c r="A214" s="28">
        <v>45928</v>
      </c>
      <c r="B214" s="29" t="s">
        <v>454</v>
      </c>
      <c r="C214" s="30" t="s">
        <v>103</v>
      </c>
      <c r="D214" s="30" t="s">
        <v>489</v>
      </c>
      <c r="E214" s="31" t="s">
        <v>164</v>
      </c>
      <c r="F214" s="31" t="s">
        <v>165</v>
      </c>
      <c r="G214" s="30" t="s">
        <v>112</v>
      </c>
      <c r="H214" s="30" t="s">
        <v>258</v>
      </c>
      <c r="I214" s="32">
        <v>45926</v>
      </c>
      <c r="J214" s="30" t="s">
        <v>83</v>
      </c>
      <c r="K214" s="32" t="s">
        <v>42</v>
      </c>
      <c r="L214" s="30" t="s">
        <v>84</v>
      </c>
      <c r="M214" s="30" t="s">
        <v>167</v>
      </c>
      <c r="N214" s="37">
        <v>1395</v>
      </c>
      <c r="O214" s="34" t="s">
        <v>86</v>
      </c>
      <c r="P214" s="35" t="s">
        <v>304</v>
      </c>
      <c r="Q214" s="29" t="s">
        <v>457</v>
      </c>
    </row>
    <row r="215" spans="1:17" ht="14.25" customHeight="1" x14ac:dyDescent="0.3">
      <c r="A215" s="28">
        <v>45928</v>
      </c>
      <c r="B215" s="29" t="s">
        <v>454</v>
      </c>
      <c r="C215" s="30" t="s">
        <v>103</v>
      </c>
      <c r="D215" s="30" t="s">
        <v>490</v>
      </c>
      <c r="E215" s="31" t="s">
        <v>164</v>
      </c>
      <c r="F215" s="31" t="s">
        <v>165</v>
      </c>
      <c r="G215" s="30" t="s">
        <v>112</v>
      </c>
      <c r="H215" s="30" t="s">
        <v>258</v>
      </c>
      <c r="I215" s="32">
        <v>45926</v>
      </c>
      <c r="J215" s="30" t="s">
        <v>83</v>
      </c>
      <c r="K215" s="32" t="s">
        <v>42</v>
      </c>
      <c r="L215" s="30" t="s">
        <v>84</v>
      </c>
      <c r="M215" s="30" t="s">
        <v>167</v>
      </c>
      <c r="N215" s="37">
        <v>1395</v>
      </c>
      <c r="O215" s="34" t="s">
        <v>86</v>
      </c>
      <c r="P215" s="35" t="s">
        <v>304</v>
      </c>
      <c r="Q215" s="29" t="s">
        <v>457</v>
      </c>
    </row>
    <row r="216" spans="1:17" ht="14.25" customHeight="1" x14ac:dyDescent="0.3">
      <c r="A216" s="28">
        <v>45929</v>
      </c>
      <c r="B216" s="29" t="s">
        <v>454</v>
      </c>
      <c r="C216" s="30" t="s">
        <v>219</v>
      </c>
      <c r="D216" s="30" t="s">
        <v>491</v>
      </c>
      <c r="E216" s="31" t="s">
        <v>326</v>
      </c>
      <c r="F216" s="31" t="s">
        <v>327</v>
      </c>
      <c r="G216" s="30" t="s">
        <v>81</v>
      </c>
      <c r="H216" s="30" t="s">
        <v>492</v>
      </c>
      <c r="I216" s="32">
        <v>45928</v>
      </c>
      <c r="J216" s="30" t="s">
        <v>83</v>
      </c>
      <c r="K216" s="32" t="s">
        <v>45</v>
      </c>
      <c r="L216" s="30" t="s">
        <v>114</v>
      </c>
      <c r="M216" s="30" t="s">
        <v>456</v>
      </c>
      <c r="N216" s="37" t="s">
        <v>81</v>
      </c>
      <c r="O216" s="34" t="s">
        <v>86</v>
      </c>
      <c r="P216" s="35" t="s">
        <v>304</v>
      </c>
      <c r="Q216" s="29" t="s">
        <v>457</v>
      </c>
    </row>
    <row r="217" spans="1:17" ht="14.25" customHeight="1" x14ac:dyDescent="0.3">
      <c r="A217" s="28">
        <v>45929</v>
      </c>
      <c r="B217" s="29" t="s">
        <v>454</v>
      </c>
      <c r="C217" s="30" t="s">
        <v>170</v>
      </c>
      <c r="D217" s="30" t="s">
        <v>493</v>
      </c>
      <c r="E217" s="31" t="s">
        <v>494</v>
      </c>
      <c r="F217" s="31" t="s">
        <v>495</v>
      </c>
      <c r="G217" s="30" t="s">
        <v>112</v>
      </c>
      <c r="H217" s="30" t="s">
        <v>147</v>
      </c>
      <c r="I217" s="32">
        <v>45927</v>
      </c>
      <c r="J217" s="30" t="s">
        <v>83</v>
      </c>
      <c r="K217" s="32" t="s">
        <v>46</v>
      </c>
      <c r="L217" s="30" t="s">
        <v>84</v>
      </c>
      <c r="M217" s="30" t="s">
        <v>495</v>
      </c>
      <c r="N217" s="37">
        <v>5</v>
      </c>
      <c r="O217" s="34" t="s">
        <v>86</v>
      </c>
      <c r="P217" s="35" t="s">
        <v>304</v>
      </c>
      <c r="Q217" s="29" t="s">
        <v>457</v>
      </c>
    </row>
    <row r="218" spans="1:17" ht="14.25" customHeight="1" x14ac:dyDescent="0.3">
      <c r="A218" s="28">
        <v>45930</v>
      </c>
      <c r="B218" s="29" t="s">
        <v>454</v>
      </c>
      <c r="C218" s="30" t="s">
        <v>103</v>
      </c>
      <c r="D218" s="30" t="s">
        <v>496</v>
      </c>
      <c r="E218" s="31" t="s">
        <v>433</v>
      </c>
      <c r="F218" s="31" t="s">
        <v>434</v>
      </c>
      <c r="G218" s="30" t="s">
        <v>112</v>
      </c>
      <c r="H218" s="30" t="s">
        <v>258</v>
      </c>
      <c r="I218" s="32">
        <v>45929</v>
      </c>
      <c r="J218" s="30" t="s">
        <v>497</v>
      </c>
      <c r="K218" s="32" t="s">
        <v>44</v>
      </c>
      <c r="L218" s="30" t="s">
        <v>498</v>
      </c>
      <c r="M218" s="30" t="s">
        <v>436</v>
      </c>
      <c r="N218" s="37">
        <v>1784</v>
      </c>
      <c r="O218" s="34" t="s">
        <v>86</v>
      </c>
      <c r="P218" s="35" t="s">
        <v>304</v>
      </c>
      <c r="Q218" s="29" t="s">
        <v>457</v>
      </c>
    </row>
    <row r="219" spans="1:17" ht="14.25" customHeight="1" x14ac:dyDescent="0.3">
      <c r="A219" s="28">
        <v>45930</v>
      </c>
      <c r="B219" s="29" t="s">
        <v>454</v>
      </c>
      <c r="C219" s="30" t="s">
        <v>103</v>
      </c>
      <c r="D219" s="30" t="s">
        <v>499</v>
      </c>
      <c r="E219" s="31" t="s">
        <v>164</v>
      </c>
      <c r="F219" s="31" t="s">
        <v>165</v>
      </c>
      <c r="G219" s="30" t="s">
        <v>81</v>
      </c>
      <c r="H219" s="30" t="s">
        <v>500</v>
      </c>
      <c r="I219" s="32">
        <v>45928</v>
      </c>
      <c r="J219" s="30" t="s">
        <v>83</v>
      </c>
      <c r="K219" s="32" t="s">
        <v>45</v>
      </c>
      <c r="L219" s="30" t="s">
        <v>84</v>
      </c>
      <c r="M219" s="30" t="s">
        <v>206</v>
      </c>
      <c r="N219" s="37" t="s">
        <v>81</v>
      </c>
      <c r="O219" s="34" t="s">
        <v>86</v>
      </c>
      <c r="P219" s="35" t="s">
        <v>304</v>
      </c>
      <c r="Q219" s="29" t="s">
        <v>457</v>
      </c>
    </row>
    <row r="220" spans="1:17" ht="14.25" customHeight="1" x14ac:dyDescent="0.3">
      <c r="A220" s="28">
        <v>45930</v>
      </c>
      <c r="B220" s="29" t="s">
        <v>454</v>
      </c>
      <c r="C220" s="30" t="s">
        <v>103</v>
      </c>
      <c r="D220" s="30" t="s">
        <v>501</v>
      </c>
      <c r="E220" s="31" t="s">
        <v>164</v>
      </c>
      <c r="F220" s="31" t="s">
        <v>165</v>
      </c>
      <c r="G220" s="30" t="s">
        <v>81</v>
      </c>
      <c r="H220" s="30" t="s">
        <v>500</v>
      </c>
      <c r="I220" s="32">
        <v>45928</v>
      </c>
      <c r="J220" s="30" t="s">
        <v>83</v>
      </c>
      <c r="K220" s="32" t="s">
        <v>45</v>
      </c>
      <c r="L220" s="30" t="s">
        <v>84</v>
      </c>
      <c r="M220" s="30" t="s">
        <v>206</v>
      </c>
      <c r="N220" s="37" t="s">
        <v>81</v>
      </c>
      <c r="O220" s="34" t="s">
        <v>86</v>
      </c>
      <c r="P220" s="35" t="s">
        <v>304</v>
      </c>
      <c r="Q220" s="29" t="s">
        <v>457</v>
      </c>
    </row>
    <row r="221" spans="1:17" ht="14.25" customHeight="1" x14ac:dyDescent="0.3">
      <c r="A221" s="28">
        <v>45939</v>
      </c>
      <c r="B221" s="29" t="s">
        <v>502</v>
      </c>
      <c r="C221" s="30" t="s">
        <v>219</v>
      </c>
      <c r="D221" s="30" t="s">
        <v>503</v>
      </c>
      <c r="E221" s="31" t="s">
        <v>283</v>
      </c>
      <c r="F221" s="31" t="s">
        <v>284</v>
      </c>
      <c r="G221" s="30" t="s">
        <v>81</v>
      </c>
      <c r="H221" s="30" t="s">
        <v>504</v>
      </c>
      <c r="I221" s="32">
        <v>45937</v>
      </c>
      <c r="J221" s="30" t="s">
        <v>83</v>
      </c>
      <c r="K221" s="32" t="s">
        <v>25</v>
      </c>
      <c r="L221" s="30" t="s">
        <v>84</v>
      </c>
      <c r="M221" s="30" t="s">
        <v>286</v>
      </c>
      <c r="N221" s="37" t="s">
        <v>81</v>
      </c>
      <c r="O221" s="34" t="s">
        <v>86</v>
      </c>
      <c r="P221" s="35" t="s">
        <v>304</v>
      </c>
      <c r="Q221" s="29" t="s">
        <v>505</v>
      </c>
    </row>
    <row r="222" spans="1:17" ht="14.25" customHeight="1" x14ac:dyDescent="0.3">
      <c r="A222" s="28">
        <v>45939</v>
      </c>
      <c r="B222" s="29" t="s">
        <v>502</v>
      </c>
      <c r="C222" s="30" t="s">
        <v>219</v>
      </c>
      <c r="D222" s="30" t="s">
        <v>506</v>
      </c>
      <c r="E222" s="31" t="s">
        <v>283</v>
      </c>
      <c r="F222" s="31" t="s">
        <v>284</v>
      </c>
      <c r="G222" s="30" t="s">
        <v>81</v>
      </c>
      <c r="H222" s="30" t="s">
        <v>504</v>
      </c>
      <c r="I222" s="32">
        <v>45937</v>
      </c>
      <c r="J222" s="30" t="s">
        <v>83</v>
      </c>
      <c r="K222" s="32" t="s">
        <v>25</v>
      </c>
      <c r="L222" s="30" t="s">
        <v>84</v>
      </c>
      <c r="M222" s="30" t="s">
        <v>286</v>
      </c>
      <c r="N222" s="37" t="s">
        <v>81</v>
      </c>
      <c r="O222" s="34" t="s">
        <v>86</v>
      </c>
      <c r="P222" s="35" t="s">
        <v>304</v>
      </c>
      <c r="Q222" s="29" t="s">
        <v>505</v>
      </c>
    </row>
    <row r="223" spans="1:17" ht="14.25" customHeight="1" x14ac:dyDescent="0.3">
      <c r="A223" s="28">
        <v>45940</v>
      </c>
      <c r="B223" s="29" t="s">
        <v>502</v>
      </c>
      <c r="C223" s="30" t="s">
        <v>77</v>
      </c>
      <c r="D223" s="30" t="s">
        <v>507</v>
      </c>
      <c r="E223" s="31" t="s">
        <v>268</v>
      </c>
      <c r="F223" s="31" t="s">
        <v>428</v>
      </c>
      <c r="G223" s="30" t="s">
        <v>112</v>
      </c>
      <c r="H223" s="30" t="s">
        <v>275</v>
      </c>
      <c r="I223" s="32">
        <v>45939</v>
      </c>
      <c r="J223" s="30" t="s">
        <v>83</v>
      </c>
      <c r="K223" s="32" t="s">
        <v>46</v>
      </c>
      <c r="L223" s="30" t="s">
        <v>114</v>
      </c>
      <c r="M223" s="30" t="s">
        <v>270</v>
      </c>
      <c r="N223" s="37">
        <v>595</v>
      </c>
      <c r="O223" s="34" t="s">
        <v>86</v>
      </c>
      <c r="P223" s="35" t="s">
        <v>304</v>
      </c>
      <c r="Q223" s="29" t="s">
        <v>505</v>
      </c>
    </row>
    <row r="224" spans="1:17" ht="14.25" customHeight="1" x14ac:dyDescent="0.3">
      <c r="A224" s="28">
        <v>45940</v>
      </c>
      <c r="B224" s="29" t="s">
        <v>502</v>
      </c>
      <c r="C224" s="30" t="s">
        <v>103</v>
      </c>
      <c r="D224" s="30" t="s">
        <v>508</v>
      </c>
      <c r="E224" s="31" t="s">
        <v>105</v>
      </c>
      <c r="F224" s="31" t="s">
        <v>320</v>
      </c>
      <c r="G224" s="30" t="s">
        <v>112</v>
      </c>
      <c r="H224" s="30" t="s">
        <v>147</v>
      </c>
      <c r="I224" s="32">
        <v>45939</v>
      </c>
      <c r="J224" s="30" t="s">
        <v>136</v>
      </c>
      <c r="K224" s="32" t="s">
        <v>34</v>
      </c>
      <c r="L224" s="30" t="s">
        <v>498</v>
      </c>
      <c r="M224" s="30" t="s">
        <v>109</v>
      </c>
      <c r="N224" s="37">
        <v>1100</v>
      </c>
      <c r="O224" s="34" t="s">
        <v>86</v>
      </c>
      <c r="P224" s="35" t="s">
        <v>304</v>
      </c>
      <c r="Q224" s="29" t="s">
        <v>505</v>
      </c>
    </row>
    <row r="225" spans="1:17" ht="14.25" customHeight="1" x14ac:dyDescent="0.3">
      <c r="A225" s="28">
        <v>45940</v>
      </c>
      <c r="B225" s="29" t="s">
        <v>502</v>
      </c>
      <c r="C225" s="30" t="s">
        <v>103</v>
      </c>
      <c r="D225" s="30" t="s">
        <v>509</v>
      </c>
      <c r="E225" s="31" t="s">
        <v>105</v>
      </c>
      <c r="F225" s="31" t="s">
        <v>320</v>
      </c>
      <c r="G225" s="30" t="s">
        <v>112</v>
      </c>
      <c r="H225" s="30" t="s">
        <v>147</v>
      </c>
      <c r="I225" s="32">
        <v>45939</v>
      </c>
      <c r="J225" s="30" t="s">
        <v>136</v>
      </c>
      <c r="K225" s="32" t="s">
        <v>34</v>
      </c>
      <c r="L225" s="30" t="s">
        <v>498</v>
      </c>
      <c r="M225" s="30" t="s">
        <v>109</v>
      </c>
      <c r="N225" s="37">
        <v>1100</v>
      </c>
      <c r="O225" s="34" t="s">
        <v>86</v>
      </c>
      <c r="P225" s="35" t="s">
        <v>304</v>
      </c>
      <c r="Q225" s="29" t="s">
        <v>505</v>
      </c>
    </row>
    <row r="226" spans="1:17" ht="14.25" customHeight="1" x14ac:dyDescent="0.3">
      <c r="A226" s="28">
        <v>45940</v>
      </c>
      <c r="B226" s="29" t="s">
        <v>502</v>
      </c>
      <c r="C226" s="30" t="s">
        <v>103</v>
      </c>
      <c r="D226" s="30" t="s">
        <v>510</v>
      </c>
      <c r="E226" s="31" t="s">
        <v>105</v>
      </c>
      <c r="F226" s="31" t="s">
        <v>320</v>
      </c>
      <c r="G226" s="30" t="s">
        <v>112</v>
      </c>
      <c r="H226" s="30" t="s">
        <v>275</v>
      </c>
      <c r="I226" s="32">
        <v>45939</v>
      </c>
      <c r="J226" s="30" t="s">
        <v>83</v>
      </c>
      <c r="K226" s="32" t="s">
        <v>34</v>
      </c>
      <c r="L226" s="30" t="s">
        <v>114</v>
      </c>
      <c r="M226" s="30" t="s">
        <v>109</v>
      </c>
      <c r="N226" s="37">
        <v>1100</v>
      </c>
      <c r="O226" s="34" t="s">
        <v>86</v>
      </c>
      <c r="P226" s="35" t="s">
        <v>304</v>
      </c>
      <c r="Q226" s="29" t="s">
        <v>505</v>
      </c>
    </row>
    <row r="227" spans="1:17" ht="14.25" customHeight="1" x14ac:dyDescent="0.3">
      <c r="A227" s="28">
        <v>45940</v>
      </c>
      <c r="B227" s="29" t="s">
        <v>502</v>
      </c>
      <c r="C227" s="30" t="s">
        <v>103</v>
      </c>
      <c r="D227" s="30" t="s">
        <v>511</v>
      </c>
      <c r="E227" s="31" t="s">
        <v>105</v>
      </c>
      <c r="F227" s="31" t="s">
        <v>320</v>
      </c>
      <c r="G227" s="30" t="s">
        <v>112</v>
      </c>
      <c r="H227" s="30" t="s">
        <v>275</v>
      </c>
      <c r="I227" s="32">
        <v>45939</v>
      </c>
      <c r="J227" s="30" t="s">
        <v>83</v>
      </c>
      <c r="K227" s="32" t="s">
        <v>34</v>
      </c>
      <c r="L227" s="30" t="s">
        <v>114</v>
      </c>
      <c r="M227" s="30" t="s">
        <v>109</v>
      </c>
      <c r="N227" s="37">
        <v>1100</v>
      </c>
      <c r="O227" s="34" t="s">
        <v>86</v>
      </c>
      <c r="P227" s="35" t="s">
        <v>304</v>
      </c>
      <c r="Q227" s="29" t="s">
        <v>505</v>
      </c>
    </row>
    <row r="228" spans="1:17" ht="14.25" customHeight="1" x14ac:dyDescent="0.3">
      <c r="A228" s="28">
        <v>45943</v>
      </c>
      <c r="B228" s="29" t="s">
        <v>502</v>
      </c>
      <c r="C228" s="30" t="s">
        <v>103</v>
      </c>
      <c r="D228" s="30" t="s">
        <v>512</v>
      </c>
      <c r="E228" s="31" t="s">
        <v>164</v>
      </c>
      <c r="F228" s="31" t="s">
        <v>165</v>
      </c>
      <c r="G228" s="30" t="s">
        <v>81</v>
      </c>
      <c r="H228" s="30" t="s">
        <v>513</v>
      </c>
      <c r="I228" s="32">
        <v>45942</v>
      </c>
      <c r="J228" s="30" t="s">
        <v>83</v>
      </c>
      <c r="K228" s="32" t="s">
        <v>42</v>
      </c>
      <c r="L228" s="30" t="s">
        <v>84</v>
      </c>
      <c r="M228" s="30" t="s">
        <v>167</v>
      </c>
      <c r="N228" s="37" t="s">
        <v>81</v>
      </c>
      <c r="O228" s="34" t="s">
        <v>86</v>
      </c>
      <c r="P228" s="35" t="s">
        <v>304</v>
      </c>
      <c r="Q228" s="29" t="s">
        <v>505</v>
      </c>
    </row>
    <row r="229" spans="1:17" ht="14.25" customHeight="1" x14ac:dyDescent="0.3">
      <c r="A229" s="28">
        <v>45944</v>
      </c>
      <c r="B229" s="29" t="s">
        <v>502</v>
      </c>
      <c r="C229" s="30" t="s">
        <v>103</v>
      </c>
      <c r="D229" s="30" t="s">
        <v>514</v>
      </c>
      <c r="E229" s="31" t="s">
        <v>515</v>
      </c>
      <c r="F229" s="31" t="s">
        <v>247</v>
      </c>
      <c r="G229" s="30" t="s">
        <v>81</v>
      </c>
      <c r="H229" s="30" t="s">
        <v>516</v>
      </c>
      <c r="I229" s="32">
        <v>45941</v>
      </c>
      <c r="J229" s="30" t="s">
        <v>136</v>
      </c>
      <c r="K229" s="32" t="s">
        <v>25</v>
      </c>
      <c r="L229" s="30" t="s">
        <v>498</v>
      </c>
      <c r="M229" s="30" t="s">
        <v>517</v>
      </c>
      <c r="N229" s="37" t="s">
        <v>81</v>
      </c>
      <c r="O229" s="34" t="s">
        <v>86</v>
      </c>
      <c r="P229" s="35" t="s">
        <v>304</v>
      </c>
      <c r="Q229" s="29" t="s">
        <v>505</v>
      </c>
    </row>
    <row r="230" spans="1:17" ht="14.25" customHeight="1" x14ac:dyDescent="0.3">
      <c r="A230" s="28">
        <v>45946</v>
      </c>
      <c r="B230" s="29" t="s">
        <v>502</v>
      </c>
      <c r="C230" s="30" t="s">
        <v>103</v>
      </c>
      <c r="D230" s="30" t="s">
        <v>518</v>
      </c>
      <c r="E230" s="31" t="s">
        <v>160</v>
      </c>
      <c r="F230" s="31" t="s">
        <v>266</v>
      </c>
      <c r="G230" s="30" t="s">
        <v>112</v>
      </c>
      <c r="H230" s="30" t="s">
        <v>275</v>
      </c>
      <c r="I230" s="32">
        <v>45944</v>
      </c>
      <c r="J230" s="30" t="s">
        <v>83</v>
      </c>
      <c r="K230" s="32" t="s">
        <v>32</v>
      </c>
      <c r="L230" s="30" t="s">
        <v>114</v>
      </c>
      <c r="M230" s="30" t="s">
        <v>161</v>
      </c>
      <c r="N230" s="37">
        <v>1650</v>
      </c>
      <c r="O230" s="34" t="s">
        <v>86</v>
      </c>
      <c r="P230" s="35" t="s">
        <v>304</v>
      </c>
      <c r="Q230" s="29" t="s">
        <v>505</v>
      </c>
    </row>
    <row r="231" spans="1:17" ht="14.25" customHeight="1" x14ac:dyDescent="0.3">
      <c r="A231" s="28">
        <v>45946</v>
      </c>
      <c r="B231" s="29" t="s">
        <v>502</v>
      </c>
      <c r="C231" s="30" t="s">
        <v>103</v>
      </c>
      <c r="D231" s="30" t="s">
        <v>519</v>
      </c>
      <c r="E231" s="31" t="s">
        <v>160</v>
      </c>
      <c r="F231" s="31" t="s">
        <v>266</v>
      </c>
      <c r="G231" s="30" t="s">
        <v>112</v>
      </c>
      <c r="H231" s="30" t="s">
        <v>275</v>
      </c>
      <c r="I231" s="32">
        <v>45944</v>
      </c>
      <c r="J231" s="30" t="s">
        <v>83</v>
      </c>
      <c r="K231" s="32" t="s">
        <v>32</v>
      </c>
      <c r="L231" s="30" t="s">
        <v>114</v>
      </c>
      <c r="M231" s="30" t="s">
        <v>161</v>
      </c>
      <c r="N231" s="37">
        <v>1650</v>
      </c>
      <c r="O231" s="34" t="s">
        <v>86</v>
      </c>
      <c r="P231" s="35" t="s">
        <v>304</v>
      </c>
      <c r="Q231" s="29" t="s">
        <v>505</v>
      </c>
    </row>
    <row r="232" spans="1:17" ht="14.25" customHeight="1" x14ac:dyDescent="0.3">
      <c r="A232" s="28">
        <v>45948</v>
      </c>
      <c r="B232" s="29" t="s">
        <v>502</v>
      </c>
      <c r="C232" s="30" t="s">
        <v>77</v>
      </c>
      <c r="D232" s="30" t="s">
        <v>520</v>
      </c>
      <c r="E232" s="31" t="s">
        <v>268</v>
      </c>
      <c r="F232" s="31" t="s">
        <v>428</v>
      </c>
      <c r="G232" s="30" t="s">
        <v>112</v>
      </c>
      <c r="H232" s="30" t="s">
        <v>275</v>
      </c>
      <c r="I232" s="32">
        <v>45945</v>
      </c>
      <c r="J232" s="30" t="s">
        <v>83</v>
      </c>
      <c r="K232" s="32" t="s">
        <v>46</v>
      </c>
      <c r="L232" s="30" t="s">
        <v>84</v>
      </c>
      <c r="M232" s="30" t="s">
        <v>270</v>
      </c>
      <c r="N232" s="37">
        <v>595</v>
      </c>
      <c r="O232" s="34" t="s">
        <v>86</v>
      </c>
      <c r="P232" s="35" t="s">
        <v>304</v>
      </c>
      <c r="Q232" s="29" t="s">
        <v>505</v>
      </c>
    </row>
    <row r="233" spans="1:17" ht="14.25" customHeight="1" x14ac:dyDescent="0.3">
      <c r="A233" s="28">
        <v>45949</v>
      </c>
      <c r="B233" s="29" t="s">
        <v>502</v>
      </c>
      <c r="C233" s="30" t="s">
        <v>219</v>
      </c>
      <c r="D233" s="30" t="s">
        <v>521</v>
      </c>
      <c r="E233" s="31" t="s">
        <v>221</v>
      </c>
      <c r="F233" s="31" t="s">
        <v>99</v>
      </c>
      <c r="G233" s="30" t="s">
        <v>112</v>
      </c>
      <c r="H233" s="30" t="s">
        <v>135</v>
      </c>
      <c r="I233" s="32">
        <v>45948</v>
      </c>
      <c r="J233" s="30" t="s">
        <v>83</v>
      </c>
      <c r="K233" s="32" t="s">
        <v>42</v>
      </c>
      <c r="L233" s="30" t="s">
        <v>84</v>
      </c>
      <c r="M233" s="30" t="s">
        <v>101</v>
      </c>
      <c r="N233" s="37">
        <v>1885</v>
      </c>
      <c r="O233" s="34" t="s">
        <v>86</v>
      </c>
      <c r="P233" s="35" t="s">
        <v>304</v>
      </c>
      <c r="Q233" s="29" t="s">
        <v>505</v>
      </c>
    </row>
    <row r="234" spans="1:17" ht="14.25" customHeight="1" x14ac:dyDescent="0.3">
      <c r="A234" s="28">
        <v>45949</v>
      </c>
      <c r="B234" s="29" t="s">
        <v>502</v>
      </c>
      <c r="C234" s="30" t="s">
        <v>219</v>
      </c>
      <c r="D234" s="30" t="s">
        <v>522</v>
      </c>
      <c r="E234" s="31" t="s">
        <v>221</v>
      </c>
      <c r="F234" s="31" t="s">
        <v>99</v>
      </c>
      <c r="G234" s="30" t="s">
        <v>112</v>
      </c>
      <c r="H234" s="30" t="s">
        <v>135</v>
      </c>
      <c r="I234" s="32">
        <v>45948</v>
      </c>
      <c r="J234" s="30" t="s">
        <v>83</v>
      </c>
      <c r="K234" s="32" t="s">
        <v>42</v>
      </c>
      <c r="L234" s="30" t="s">
        <v>84</v>
      </c>
      <c r="M234" s="30" t="s">
        <v>101</v>
      </c>
      <c r="N234" s="37">
        <v>1885</v>
      </c>
      <c r="O234" s="34" t="s">
        <v>86</v>
      </c>
      <c r="P234" s="35" t="s">
        <v>304</v>
      </c>
      <c r="Q234" s="29" t="s">
        <v>505</v>
      </c>
    </row>
    <row r="235" spans="1:17" ht="14.25" customHeight="1" x14ac:dyDescent="0.3">
      <c r="A235" s="28">
        <v>45949</v>
      </c>
      <c r="B235" s="29" t="s">
        <v>502</v>
      </c>
      <c r="C235" s="30" t="s">
        <v>103</v>
      </c>
      <c r="D235" s="30" t="s">
        <v>523</v>
      </c>
      <c r="E235" s="31" t="s">
        <v>350</v>
      </c>
      <c r="F235" s="31" t="s">
        <v>351</v>
      </c>
      <c r="G235" s="30" t="s">
        <v>81</v>
      </c>
      <c r="H235" s="30" t="s">
        <v>513</v>
      </c>
      <c r="I235" s="32">
        <v>45947</v>
      </c>
      <c r="J235" s="30" t="s">
        <v>83</v>
      </c>
      <c r="K235" s="32" t="s">
        <v>34</v>
      </c>
      <c r="L235" s="30" t="s">
        <v>84</v>
      </c>
      <c r="M235" s="30" t="s">
        <v>524</v>
      </c>
      <c r="N235" s="37" t="s">
        <v>81</v>
      </c>
      <c r="O235" s="34" t="s">
        <v>86</v>
      </c>
      <c r="P235" s="35" t="s">
        <v>304</v>
      </c>
      <c r="Q235" s="29" t="s">
        <v>505</v>
      </c>
    </row>
    <row r="236" spans="1:17" ht="14.25" customHeight="1" x14ac:dyDescent="0.3">
      <c r="A236" s="28">
        <v>45949</v>
      </c>
      <c r="B236" s="29" t="s">
        <v>502</v>
      </c>
      <c r="C236" s="30" t="s">
        <v>103</v>
      </c>
      <c r="D236" s="30" t="s">
        <v>525</v>
      </c>
      <c r="E236" s="31" t="s">
        <v>350</v>
      </c>
      <c r="F236" s="31" t="s">
        <v>351</v>
      </c>
      <c r="G236" s="30" t="s">
        <v>81</v>
      </c>
      <c r="H236" s="30" t="s">
        <v>513</v>
      </c>
      <c r="I236" s="32">
        <v>45947</v>
      </c>
      <c r="J236" s="30" t="s">
        <v>83</v>
      </c>
      <c r="K236" s="32" t="s">
        <v>34</v>
      </c>
      <c r="L236" s="30" t="s">
        <v>84</v>
      </c>
      <c r="M236" s="30" t="s">
        <v>524</v>
      </c>
      <c r="N236" s="37" t="s">
        <v>81</v>
      </c>
      <c r="O236" s="34" t="s">
        <v>86</v>
      </c>
      <c r="P236" s="35" t="s">
        <v>304</v>
      </c>
      <c r="Q236" s="29" t="s">
        <v>505</v>
      </c>
    </row>
    <row r="237" spans="1:17" ht="14.25" customHeight="1" x14ac:dyDescent="0.3">
      <c r="A237" s="28">
        <v>45949</v>
      </c>
      <c r="B237" s="29" t="s">
        <v>502</v>
      </c>
      <c r="C237" s="30" t="s">
        <v>103</v>
      </c>
      <c r="D237" s="30" t="s">
        <v>526</v>
      </c>
      <c r="E237" s="31" t="s">
        <v>350</v>
      </c>
      <c r="F237" s="31" t="s">
        <v>351</v>
      </c>
      <c r="G237" s="30" t="s">
        <v>81</v>
      </c>
      <c r="H237" s="30" t="s">
        <v>513</v>
      </c>
      <c r="I237" s="32">
        <v>45947</v>
      </c>
      <c r="J237" s="30" t="s">
        <v>83</v>
      </c>
      <c r="K237" s="32" t="s">
        <v>34</v>
      </c>
      <c r="L237" s="30" t="s">
        <v>84</v>
      </c>
      <c r="M237" s="30" t="s">
        <v>524</v>
      </c>
      <c r="N237" s="37" t="s">
        <v>81</v>
      </c>
      <c r="O237" s="34" t="s">
        <v>86</v>
      </c>
      <c r="P237" s="35" t="s">
        <v>304</v>
      </c>
      <c r="Q237" s="29" t="s">
        <v>505</v>
      </c>
    </row>
    <row r="238" spans="1:17" ht="14.25" customHeight="1" x14ac:dyDescent="0.3">
      <c r="A238" s="28">
        <v>45949</v>
      </c>
      <c r="B238" s="29" t="s">
        <v>502</v>
      </c>
      <c r="C238" s="30" t="s">
        <v>103</v>
      </c>
      <c r="D238" s="30" t="s">
        <v>527</v>
      </c>
      <c r="E238" s="31" t="s">
        <v>350</v>
      </c>
      <c r="F238" s="31" t="s">
        <v>351</v>
      </c>
      <c r="G238" s="30" t="s">
        <v>81</v>
      </c>
      <c r="H238" s="30" t="s">
        <v>513</v>
      </c>
      <c r="I238" s="32">
        <v>45947</v>
      </c>
      <c r="J238" s="30" t="s">
        <v>83</v>
      </c>
      <c r="K238" s="32" t="s">
        <v>34</v>
      </c>
      <c r="L238" s="30" t="s">
        <v>84</v>
      </c>
      <c r="M238" s="30" t="s">
        <v>524</v>
      </c>
      <c r="N238" s="37" t="s">
        <v>81</v>
      </c>
      <c r="O238" s="34" t="s">
        <v>86</v>
      </c>
      <c r="P238" s="35" t="s">
        <v>304</v>
      </c>
      <c r="Q238" s="29" t="s">
        <v>505</v>
      </c>
    </row>
    <row r="239" spans="1:17" ht="14.25" customHeight="1" x14ac:dyDescent="0.3">
      <c r="A239" s="28">
        <v>45952</v>
      </c>
      <c r="B239" s="29" t="s">
        <v>502</v>
      </c>
      <c r="C239" s="30" t="s">
        <v>77</v>
      </c>
      <c r="D239" s="30" t="s">
        <v>528</v>
      </c>
      <c r="E239" s="31" t="s">
        <v>154</v>
      </c>
      <c r="F239" s="31" t="s">
        <v>155</v>
      </c>
      <c r="G239" s="30" t="s">
        <v>112</v>
      </c>
      <c r="H239" s="30" t="s">
        <v>275</v>
      </c>
      <c r="I239" s="32">
        <v>45948</v>
      </c>
      <c r="J239" s="30" t="s">
        <v>136</v>
      </c>
      <c r="K239" s="32" t="s">
        <v>25</v>
      </c>
      <c r="L239" s="30" t="s">
        <v>498</v>
      </c>
      <c r="M239" s="30" t="s">
        <v>157</v>
      </c>
      <c r="N239" s="37">
        <v>1050</v>
      </c>
      <c r="O239" s="34" t="s">
        <v>86</v>
      </c>
      <c r="P239" s="35" t="s">
        <v>304</v>
      </c>
      <c r="Q239" s="29" t="s">
        <v>505</v>
      </c>
    </row>
    <row r="240" spans="1:17" ht="14.25" customHeight="1" x14ac:dyDescent="0.3">
      <c r="A240" s="28">
        <v>45952</v>
      </c>
      <c r="B240" s="29" t="s">
        <v>502</v>
      </c>
      <c r="C240" s="30" t="s">
        <v>103</v>
      </c>
      <c r="D240" s="30" t="s">
        <v>529</v>
      </c>
      <c r="E240" s="31" t="s">
        <v>105</v>
      </c>
      <c r="F240" s="31" t="s">
        <v>320</v>
      </c>
      <c r="G240" s="30" t="s">
        <v>112</v>
      </c>
      <c r="H240" s="30" t="s">
        <v>275</v>
      </c>
      <c r="I240" s="32">
        <v>45952</v>
      </c>
      <c r="J240" s="30" t="s">
        <v>136</v>
      </c>
      <c r="K240" s="32" t="s">
        <v>34</v>
      </c>
      <c r="L240" s="30" t="s">
        <v>498</v>
      </c>
      <c r="M240" s="30" t="s">
        <v>109</v>
      </c>
      <c r="N240" s="37">
        <v>1100</v>
      </c>
      <c r="O240" s="34" t="s">
        <v>86</v>
      </c>
      <c r="P240" s="35" t="s">
        <v>304</v>
      </c>
      <c r="Q240" s="29" t="s">
        <v>505</v>
      </c>
    </row>
    <row r="241" spans="1:17" ht="14.25" customHeight="1" x14ac:dyDescent="0.3">
      <c r="A241" s="28">
        <v>45952</v>
      </c>
      <c r="B241" s="29" t="s">
        <v>502</v>
      </c>
      <c r="C241" s="30" t="s">
        <v>103</v>
      </c>
      <c r="D241" s="30" t="s">
        <v>530</v>
      </c>
      <c r="E241" s="31" t="s">
        <v>105</v>
      </c>
      <c r="F241" s="31" t="s">
        <v>320</v>
      </c>
      <c r="G241" s="30" t="s">
        <v>112</v>
      </c>
      <c r="H241" s="30" t="s">
        <v>275</v>
      </c>
      <c r="I241" s="32">
        <v>45952</v>
      </c>
      <c r="J241" s="30" t="s">
        <v>136</v>
      </c>
      <c r="K241" s="32" t="s">
        <v>34</v>
      </c>
      <c r="L241" s="30" t="s">
        <v>498</v>
      </c>
      <c r="M241" s="30" t="s">
        <v>109</v>
      </c>
      <c r="N241" s="37">
        <v>1100</v>
      </c>
      <c r="O241" s="34" t="s">
        <v>86</v>
      </c>
      <c r="P241" s="35" t="s">
        <v>304</v>
      </c>
      <c r="Q241" s="29" t="s">
        <v>505</v>
      </c>
    </row>
    <row r="242" spans="1:17" ht="14.25" customHeight="1" x14ac:dyDescent="0.3">
      <c r="A242" s="28">
        <v>45953</v>
      </c>
      <c r="B242" s="29" t="s">
        <v>502</v>
      </c>
      <c r="C242" s="30" t="s">
        <v>103</v>
      </c>
      <c r="D242" s="30" t="s">
        <v>531</v>
      </c>
      <c r="E242" s="31" t="s">
        <v>241</v>
      </c>
      <c r="F242" s="31" t="s">
        <v>242</v>
      </c>
      <c r="G242" s="30" t="s">
        <v>81</v>
      </c>
      <c r="H242" s="30" t="s">
        <v>532</v>
      </c>
      <c r="I242" s="32">
        <v>45952</v>
      </c>
      <c r="J242" s="30" t="s">
        <v>136</v>
      </c>
      <c r="K242" s="32" t="s">
        <v>44</v>
      </c>
      <c r="L242" s="30" t="s">
        <v>498</v>
      </c>
      <c r="M242" s="30" t="s">
        <v>244</v>
      </c>
      <c r="N242" s="37" t="s">
        <v>81</v>
      </c>
      <c r="O242" s="34" t="s">
        <v>86</v>
      </c>
      <c r="P242" s="35" t="s">
        <v>304</v>
      </c>
      <c r="Q242" s="29" t="s">
        <v>505</v>
      </c>
    </row>
    <row r="243" spans="1:17" ht="14.25" customHeight="1" x14ac:dyDescent="0.3">
      <c r="A243" s="28">
        <v>45956</v>
      </c>
      <c r="B243" s="29" t="s">
        <v>502</v>
      </c>
      <c r="C243" s="30" t="s">
        <v>337</v>
      </c>
      <c r="D243" s="30" t="s">
        <v>533</v>
      </c>
      <c r="E243" s="31" t="s">
        <v>339</v>
      </c>
      <c r="F243" s="31" t="s">
        <v>340</v>
      </c>
      <c r="G243" s="30" t="s">
        <v>81</v>
      </c>
      <c r="H243" s="30" t="s">
        <v>26</v>
      </c>
      <c r="I243" s="32">
        <v>45954</v>
      </c>
      <c r="J243" s="30" t="s">
        <v>83</v>
      </c>
      <c r="K243" s="32" t="s">
        <v>26</v>
      </c>
      <c r="L243" s="30" t="s">
        <v>84</v>
      </c>
      <c r="M243" s="30" t="s">
        <v>342</v>
      </c>
      <c r="N243" s="37" t="s">
        <v>81</v>
      </c>
      <c r="O243" s="34" t="s">
        <v>86</v>
      </c>
      <c r="P243" s="35" t="s">
        <v>304</v>
      </c>
      <c r="Q243" s="29" t="s">
        <v>505</v>
      </c>
    </row>
    <row r="244" spans="1:17" ht="14.25" customHeight="1" x14ac:dyDescent="0.3">
      <c r="A244" s="28">
        <v>45956</v>
      </c>
      <c r="B244" s="29" t="s">
        <v>502</v>
      </c>
      <c r="C244" s="30" t="s">
        <v>337</v>
      </c>
      <c r="D244" s="30" t="s">
        <v>534</v>
      </c>
      <c r="E244" s="31" t="s">
        <v>339</v>
      </c>
      <c r="F244" s="31" t="s">
        <v>340</v>
      </c>
      <c r="G244" s="30" t="s">
        <v>81</v>
      </c>
      <c r="H244" s="30" t="s">
        <v>26</v>
      </c>
      <c r="I244" s="32">
        <v>45954</v>
      </c>
      <c r="J244" s="30" t="s">
        <v>83</v>
      </c>
      <c r="K244" s="32" t="s">
        <v>26</v>
      </c>
      <c r="L244" s="30" t="s">
        <v>84</v>
      </c>
      <c r="M244" s="30" t="s">
        <v>342</v>
      </c>
      <c r="N244" s="37" t="s">
        <v>81</v>
      </c>
      <c r="O244" s="34" t="s">
        <v>86</v>
      </c>
      <c r="P244" s="35" t="s">
        <v>304</v>
      </c>
      <c r="Q244" s="29" t="s">
        <v>505</v>
      </c>
    </row>
    <row r="245" spans="1:17" ht="14.25" customHeight="1" x14ac:dyDescent="0.3">
      <c r="A245" s="28">
        <v>45956</v>
      </c>
      <c r="B245" s="29" t="s">
        <v>502</v>
      </c>
      <c r="C245" s="30" t="s">
        <v>337</v>
      </c>
      <c r="D245" s="30" t="s">
        <v>535</v>
      </c>
      <c r="E245" s="31" t="s">
        <v>339</v>
      </c>
      <c r="F245" s="31" t="s">
        <v>340</v>
      </c>
      <c r="G245" s="30" t="s">
        <v>81</v>
      </c>
      <c r="H245" s="30" t="s">
        <v>26</v>
      </c>
      <c r="I245" s="32">
        <v>45954</v>
      </c>
      <c r="J245" s="30" t="s">
        <v>83</v>
      </c>
      <c r="K245" s="32" t="s">
        <v>26</v>
      </c>
      <c r="L245" s="30" t="s">
        <v>84</v>
      </c>
      <c r="M245" s="30" t="s">
        <v>342</v>
      </c>
      <c r="N245" s="37" t="s">
        <v>81</v>
      </c>
      <c r="O245" s="34" t="s">
        <v>86</v>
      </c>
      <c r="P245" s="35" t="s">
        <v>304</v>
      </c>
      <c r="Q245" s="29" t="s">
        <v>505</v>
      </c>
    </row>
    <row r="246" spans="1:17" ht="14.25" customHeight="1" x14ac:dyDescent="0.3">
      <c r="A246" s="28">
        <v>45959</v>
      </c>
      <c r="B246" s="29" t="s">
        <v>502</v>
      </c>
      <c r="C246" s="30" t="s">
        <v>219</v>
      </c>
      <c r="D246" s="30" t="s">
        <v>536</v>
      </c>
      <c r="E246" s="31" t="s">
        <v>537</v>
      </c>
      <c r="F246" s="31" t="s">
        <v>538</v>
      </c>
      <c r="G246" s="30" t="s">
        <v>112</v>
      </c>
      <c r="H246" s="30" t="s">
        <v>135</v>
      </c>
      <c r="I246" s="32">
        <v>45961</v>
      </c>
      <c r="J246" s="30" t="s">
        <v>136</v>
      </c>
      <c r="K246" s="32" t="s">
        <v>34</v>
      </c>
      <c r="L246" s="30" t="s">
        <v>498</v>
      </c>
      <c r="M246" s="30" t="s">
        <v>539</v>
      </c>
      <c r="N246" s="37">
        <v>3890</v>
      </c>
      <c r="O246" s="34" t="s">
        <v>86</v>
      </c>
      <c r="P246" s="35" t="s">
        <v>304</v>
      </c>
      <c r="Q246" s="29" t="s">
        <v>505</v>
      </c>
    </row>
    <row r="247" spans="1:17" ht="14.25" customHeight="1" x14ac:dyDescent="0.3">
      <c r="A247" s="28">
        <v>45959</v>
      </c>
      <c r="B247" s="29" t="s">
        <v>502</v>
      </c>
      <c r="C247" s="30" t="s">
        <v>219</v>
      </c>
      <c r="D247" s="30" t="s">
        <v>540</v>
      </c>
      <c r="E247" s="31" t="s">
        <v>537</v>
      </c>
      <c r="F247" s="31" t="s">
        <v>538</v>
      </c>
      <c r="G247" s="30" t="s">
        <v>112</v>
      </c>
      <c r="H247" s="30" t="s">
        <v>135</v>
      </c>
      <c r="I247" s="32">
        <v>45961</v>
      </c>
      <c r="J247" s="30" t="s">
        <v>136</v>
      </c>
      <c r="K247" s="32" t="s">
        <v>34</v>
      </c>
      <c r="L247" s="30" t="s">
        <v>498</v>
      </c>
      <c r="M247" s="30" t="s">
        <v>539</v>
      </c>
      <c r="N247" s="37">
        <v>3890</v>
      </c>
      <c r="O247" s="34" t="s">
        <v>86</v>
      </c>
      <c r="P247" s="35" t="s">
        <v>304</v>
      </c>
      <c r="Q247" s="29" t="s">
        <v>505</v>
      </c>
    </row>
    <row r="248" spans="1:17" ht="14.25" customHeight="1" x14ac:dyDescent="0.3">
      <c r="A248" s="28">
        <v>45959</v>
      </c>
      <c r="B248" s="29" t="s">
        <v>502</v>
      </c>
      <c r="C248" s="30" t="s">
        <v>219</v>
      </c>
      <c r="D248" s="30" t="s">
        <v>541</v>
      </c>
      <c r="E248" s="31" t="s">
        <v>537</v>
      </c>
      <c r="F248" s="31" t="s">
        <v>538</v>
      </c>
      <c r="G248" s="30" t="s">
        <v>112</v>
      </c>
      <c r="H248" s="30" t="s">
        <v>135</v>
      </c>
      <c r="I248" s="32">
        <v>45961</v>
      </c>
      <c r="J248" s="30" t="s">
        <v>136</v>
      </c>
      <c r="K248" s="32" t="s">
        <v>34</v>
      </c>
      <c r="L248" s="30" t="s">
        <v>498</v>
      </c>
      <c r="M248" s="30" t="s">
        <v>539</v>
      </c>
      <c r="N248" s="37">
        <v>3890</v>
      </c>
      <c r="O248" s="34" t="s">
        <v>86</v>
      </c>
      <c r="P248" s="35" t="s">
        <v>304</v>
      </c>
      <c r="Q248" s="29" t="s">
        <v>505</v>
      </c>
    </row>
    <row r="249" spans="1:17" ht="14.25" customHeight="1" x14ac:dyDescent="0.3">
      <c r="A249" s="28">
        <v>45959</v>
      </c>
      <c r="B249" s="29" t="s">
        <v>502</v>
      </c>
      <c r="C249" s="30" t="s">
        <v>219</v>
      </c>
      <c r="D249" s="30" t="s">
        <v>542</v>
      </c>
      <c r="E249" s="31" t="s">
        <v>537</v>
      </c>
      <c r="F249" s="31" t="s">
        <v>538</v>
      </c>
      <c r="G249" s="30" t="s">
        <v>112</v>
      </c>
      <c r="H249" s="30" t="s">
        <v>135</v>
      </c>
      <c r="I249" s="32">
        <v>45961</v>
      </c>
      <c r="J249" s="30" t="s">
        <v>136</v>
      </c>
      <c r="K249" s="32" t="s">
        <v>34</v>
      </c>
      <c r="L249" s="30" t="s">
        <v>498</v>
      </c>
      <c r="M249" s="30" t="s">
        <v>539</v>
      </c>
      <c r="N249" s="37">
        <v>3890</v>
      </c>
      <c r="O249" s="34" t="s">
        <v>86</v>
      </c>
      <c r="P249" s="35" t="s">
        <v>304</v>
      </c>
      <c r="Q249" s="29" t="s">
        <v>505</v>
      </c>
    </row>
    <row r="250" spans="1:17" ht="14.25" customHeight="1" x14ac:dyDescent="0.3">
      <c r="A250" s="28">
        <v>45959</v>
      </c>
      <c r="B250" s="29" t="s">
        <v>502</v>
      </c>
      <c r="C250" s="30" t="s">
        <v>219</v>
      </c>
      <c r="D250" s="30" t="s">
        <v>543</v>
      </c>
      <c r="E250" s="31" t="s">
        <v>295</v>
      </c>
      <c r="F250" s="31" t="s">
        <v>134</v>
      </c>
      <c r="G250" s="30" t="s">
        <v>81</v>
      </c>
      <c r="H250" s="30" t="s">
        <v>544</v>
      </c>
      <c r="I250" s="32">
        <v>45959</v>
      </c>
      <c r="J250" s="30" t="s">
        <v>108</v>
      </c>
      <c r="K250" s="32" t="s">
        <v>44</v>
      </c>
      <c r="L250" s="30" t="s">
        <v>223</v>
      </c>
      <c r="M250" s="30" t="s">
        <v>138</v>
      </c>
      <c r="N250" s="37" t="s">
        <v>81</v>
      </c>
      <c r="O250" s="34" t="s">
        <v>86</v>
      </c>
      <c r="P250" s="35" t="s">
        <v>304</v>
      </c>
      <c r="Q250" s="29" t="s">
        <v>505</v>
      </c>
    </row>
    <row r="251" spans="1:17" ht="14.25" customHeight="1" x14ac:dyDescent="0.3">
      <c r="A251" s="28">
        <v>45959</v>
      </c>
      <c r="B251" s="29" t="s">
        <v>502</v>
      </c>
      <c r="C251" s="30" t="s">
        <v>219</v>
      </c>
      <c r="D251" s="30" t="s">
        <v>545</v>
      </c>
      <c r="E251" s="31" t="s">
        <v>295</v>
      </c>
      <c r="F251" s="31" t="s">
        <v>134</v>
      </c>
      <c r="G251" s="30" t="s">
        <v>81</v>
      </c>
      <c r="H251" s="30" t="s">
        <v>544</v>
      </c>
      <c r="I251" s="32">
        <v>45959</v>
      </c>
      <c r="J251" s="30" t="s">
        <v>108</v>
      </c>
      <c r="K251" s="32" t="s">
        <v>44</v>
      </c>
      <c r="L251" s="30" t="s">
        <v>223</v>
      </c>
      <c r="M251" s="30" t="s">
        <v>138</v>
      </c>
      <c r="N251" s="37" t="s">
        <v>81</v>
      </c>
      <c r="O251" s="34" t="s">
        <v>86</v>
      </c>
      <c r="P251" s="35" t="s">
        <v>304</v>
      </c>
      <c r="Q251" s="29" t="s">
        <v>505</v>
      </c>
    </row>
    <row r="252" spans="1:17" ht="14.25" customHeight="1" x14ac:dyDescent="0.3">
      <c r="A252" s="28">
        <v>45959</v>
      </c>
      <c r="B252" s="29" t="s">
        <v>502</v>
      </c>
      <c r="C252" s="30" t="s">
        <v>219</v>
      </c>
      <c r="D252" s="30" t="s">
        <v>546</v>
      </c>
      <c r="E252" s="31" t="s">
        <v>295</v>
      </c>
      <c r="F252" s="31" t="s">
        <v>134</v>
      </c>
      <c r="G252" s="30" t="s">
        <v>81</v>
      </c>
      <c r="H252" s="30" t="s">
        <v>544</v>
      </c>
      <c r="I252" s="32">
        <v>45959</v>
      </c>
      <c r="J252" s="30" t="s">
        <v>108</v>
      </c>
      <c r="K252" s="32" t="s">
        <v>44</v>
      </c>
      <c r="L252" s="30" t="s">
        <v>223</v>
      </c>
      <c r="M252" s="30" t="s">
        <v>138</v>
      </c>
      <c r="N252" s="37" t="s">
        <v>81</v>
      </c>
      <c r="O252" s="34" t="s">
        <v>86</v>
      </c>
      <c r="P252" s="35" t="s">
        <v>304</v>
      </c>
      <c r="Q252" s="29" t="s">
        <v>505</v>
      </c>
    </row>
    <row r="253" spans="1:17" ht="14.25" customHeight="1" x14ac:dyDescent="0.3">
      <c r="A253" s="28">
        <v>45959</v>
      </c>
      <c r="B253" s="29" t="s">
        <v>502</v>
      </c>
      <c r="C253" s="30" t="s">
        <v>219</v>
      </c>
      <c r="D253" s="30" t="s">
        <v>547</v>
      </c>
      <c r="E253" s="31" t="s">
        <v>295</v>
      </c>
      <c r="F253" s="31" t="s">
        <v>134</v>
      </c>
      <c r="G253" s="30" t="s">
        <v>81</v>
      </c>
      <c r="H253" s="30" t="s">
        <v>544</v>
      </c>
      <c r="I253" s="32">
        <v>45959</v>
      </c>
      <c r="J253" s="30" t="s">
        <v>108</v>
      </c>
      <c r="K253" s="32" t="s">
        <v>44</v>
      </c>
      <c r="L253" s="30" t="s">
        <v>223</v>
      </c>
      <c r="M253" s="30" t="s">
        <v>138</v>
      </c>
      <c r="N253" s="37" t="s">
        <v>81</v>
      </c>
      <c r="O253" s="34" t="s">
        <v>86</v>
      </c>
      <c r="P253" s="35" t="s">
        <v>304</v>
      </c>
      <c r="Q253" s="29" t="s">
        <v>505</v>
      </c>
    </row>
    <row r="254" spans="1:17" ht="14.25" customHeight="1" x14ac:dyDescent="0.3">
      <c r="A254" s="28">
        <v>45959</v>
      </c>
      <c r="B254" s="29" t="s">
        <v>502</v>
      </c>
      <c r="C254" s="30" t="s">
        <v>219</v>
      </c>
      <c r="D254" s="30" t="s">
        <v>548</v>
      </c>
      <c r="E254" s="31" t="s">
        <v>295</v>
      </c>
      <c r="F254" s="31" t="s">
        <v>134</v>
      </c>
      <c r="G254" s="30" t="s">
        <v>81</v>
      </c>
      <c r="H254" s="30" t="s">
        <v>544</v>
      </c>
      <c r="I254" s="32">
        <v>45959</v>
      </c>
      <c r="J254" s="30" t="s">
        <v>108</v>
      </c>
      <c r="K254" s="32" t="s">
        <v>44</v>
      </c>
      <c r="L254" s="30" t="s">
        <v>223</v>
      </c>
      <c r="M254" s="30" t="s">
        <v>138</v>
      </c>
      <c r="N254" s="37" t="s">
        <v>81</v>
      </c>
      <c r="O254" s="34" t="s">
        <v>86</v>
      </c>
      <c r="P254" s="35" t="s">
        <v>304</v>
      </c>
      <c r="Q254" s="29" t="s">
        <v>505</v>
      </c>
    </row>
    <row r="255" spans="1:17" ht="14.25" customHeight="1" x14ac:dyDescent="0.3">
      <c r="A255" s="28">
        <v>45959</v>
      </c>
      <c r="B255" s="29" t="s">
        <v>502</v>
      </c>
      <c r="C255" s="30" t="s">
        <v>219</v>
      </c>
      <c r="D255" s="30" t="s">
        <v>549</v>
      </c>
      <c r="E255" s="31" t="s">
        <v>295</v>
      </c>
      <c r="F255" s="31" t="s">
        <v>134</v>
      </c>
      <c r="G255" s="30" t="s">
        <v>81</v>
      </c>
      <c r="H255" s="30" t="s">
        <v>544</v>
      </c>
      <c r="I255" s="32">
        <v>45959</v>
      </c>
      <c r="J255" s="30" t="s">
        <v>108</v>
      </c>
      <c r="K255" s="32" t="s">
        <v>44</v>
      </c>
      <c r="L255" s="30" t="s">
        <v>223</v>
      </c>
      <c r="M255" s="30" t="s">
        <v>138</v>
      </c>
      <c r="N255" s="37" t="s">
        <v>81</v>
      </c>
      <c r="O255" s="34" t="s">
        <v>86</v>
      </c>
      <c r="P255" s="35" t="s">
        <v>304</v>
      </c>
      <c r="Q255" s="29" t="s">
        <v>505</v>
      </c>
    </row>
    <row r="256" spans="1:17" ht="14.25" customHeight="1" x14ac:dyDescent="0.3">
      <c r="A256" s="28">
        <v>45959</v>
      </c>
      <c r="B256" s="29" t="s">
        <v>502</v>
      </c>
      <c r="C256" s="30" t="s">
        <v>219</v>
      </c>
      <c r="D256" s="30" t="s">
        <v>550</v>
      </c>
      <c r="E256" s="31" t="s">
        <v>295</v>
      </c>
      <c r="F256" s="31" t="s">
        <v>134</v>
      </c>
      <c r="G256" s="30" t="s">
        <v>81</v>
      </c>
      <c r="H256" s="30" t="s">
        <v>544</v>
      </c>
      <c r="I256" s="32">
        <v>45959</v>
      </c>
      <c r="J256" s="30" t="s">
        <v>108</v>
      </c>
      <c r="K256" s="32" t="s">
        <v>44</v>
      </c>
      <c r="L256" s="30" t="s">
        <v>223</v>
      </c>
      <c r="M256" s="30" t="s">
        <v>138</v>
      </c>
      <c r="N256" s="37" t="s">
        <v>81</v>
      </c>
      <c r="O256" s="34" t="s">
        <v>86</v>
      </c>
      <c r="P256" s="35" t="s">
        <v>304</v>
      </c>
      <c r="Q256" s="29" t="s">
        <v>505</v>
      </c>
    </row>
    <row r="257" spans="1:17" ht="14.25" customHeight="1" x14ac:dyDescent="0.3">
      <c r="A257" s="28">
        <v>45959</v>
      </c>
      <c r="B257" s="29" t="s">
        <v>502</v>
      </c>
      <c r="C257" s="30" t="s">
        <v>219</v>
      </c>
      <c r="D257" s="30" t="s">
        <v>551</v>
      </c>
      <c r="E257" s="31" t="s">
        <v>226</v>
      </c>
      <c r="F257" s="31" t="s">
        <v>99</v>
      </c>
      <c r="G257" s="30" t="s">
        <v>81</v>
      </c>
      <c r="H257" s="30" t="s">
        <v>227</v>
      </c>
      <c r="I257" s="32">
        <v>45957</v>
      </c>
      <c r="J257" s="30" t="s">
        <v>83</v>
      </c>
      <c r="K257" s="32" t="s">
        <v>44</v>
      </c>
      <c r="L257" s="30" t="s">
        <v>84</v>
      </c>
      <c r="M257" s="30" t="s">
        <v>101</v>
      </c>
      <c r="N257" s="37" t="s">
        <v>81</v>
      </c>
      <c r="O257" s="34" t="s">
        <v>86</v>
      </c>
      <c r="P257" s="35" t="s">
        <v>304</v>
      </c>
      <c r="Q257" s="29" t="s">
        <v>505</v>
      </c>
    </row>
    <row r="258" spans="1:17" ht="14.25" customHeight="1" x14ac:dyDescent="0.3">
      <c r="A258" s="28">
        <v>45969</v>
      </c>
      <c r="B258" s="29" t="s">
        <v>552</v>
      </c>
      <c r="C258" s="30" t="s">
        <v>103</v>
      </c>
      <c r="D258" s="30" t="s">
        <v>553</v>
      </c>
      <c r="E258" s="31" t="s">
        <v>554</v>
      </c>
      <c r="F258" s="31" t="s">
        <v>209</v>
      </c>
      <c r="G258" s="30" t="s">
        <v>81</v>
      </c>
      <c r="H258" s="30" t="s">
        <v>516</v>
      </c>
      <c r="I258" s="32">
        <v>45967</v>
      </c>
      <c r="J258" s="30" t="s">
        <v>83</v>
      </c>
      <c r="K258" s="32" t="s">
        <v>42</v>
      </c>
      <c r="L258" s="30" t="s">
        <v>84</v>
      </c>
      <c r="M258" s="30" t="s">
        <v>211</v>
      </c>
      <c r="N258" s="37" t="s">
        <v>81</v>
      </c>
      <c r="O258" s="34" t="s">
        <v>86</v>
      </c>
      <c r="P258" s="35" t="s">
        <v>304</v>
      </c>
      <c r="Q258" s="29" t="s">
        <v>555</v>
      </c>
    </row>
    <row r="259" spans="1:17" ht="14.25" customHeight="1" x14ac:dyDescent="0.3">
      <c r="A259" s="28">
        <v>45969</v>
      </c>
      <c r="B259" s="29" t="s">
        <v>552</v>
      </c>
      <c r="C259" s="30" t="s">
        <v>103</v>
      </c>
      <c r="D259" s="30" t="s">
        <v>556</v>
      </c>
      <c r="E259" s="31" t="s">
        <v>554</v>
      </c>
      <c r="F259" s="31" t="s">
        <v>209</v>
      </c>
      <c r="G259" s="30" t="s">
        <v>81</v>
      </c>
      <c r="H259" s="30" t="s">
        <v>516</v>
      </c>
      <c r="I259" s="32">
        <v>45967</v>
      </c>
      <c r="J259" s="30" t="s">
        <v>83</v>
      </c>
      <c r="K259" s="32" t="s">
        <v>42</v>
      </c>
      <c r="L259" s="30" t="s">
        <v>84</v>
      </c>
      <c r="M259" s="30" t="s">
        <v>211</v>
      </c>
      <c r="N259" s="37" t="s">
        <v>81</v>
      </c>
      <c r="O259" s="34" t="s">
        <v>86</v>
      </c>
      <c r="P259" s="35" t="s">
        <v>304</v>
      </c>
      <c r="Q259" s="29" t="s">
        <v>555</v>
      </c>
    </row>
    <row r="260" spans="1:17" ht="14.25" customHeight="1" x14ac:dyDescent="0.3">
      <c r="A260" s="28">
        <v>45969</v>
      </c>
      <c r="B260" s="29" t="s">
        <v>552</v>
      </c>
      <c r="C260" s="30" t="s">
        <v>103</v>
      </c>
      <c r="D260" s="30" t="s">
        <v>557</v>
      </c>
      <c r="E260" s="31" t="s">
        <v>554</v>
      </c>
      <c r="F260" s="31" t="s">
        <v>209</v>
      </c>
      <c r="G260" s="30" t="s">
        <v>81</v>
      </c>
      <c r="H260" s="30" t="s">
        <v>516</v>
      </c>
      <c r="I260" s="32">
        <v>45967</v>
      </c>
      <c r="J260" s="30" t="s">
        <v>83</v>
      </c>
      <c r="K260" s="32" t="s">
        <v>42</v>
      </c>
      <c r="L260" s="30" t="s">
        <v>84</v>
      </c>
      <c r="M260" s="30" t="s">
        <v>211</v>
      </c>
      <c r="N260" s="37" t="s">
        <v>81</v>
      </c>
      <c r="O260" s="34" t="s">
        <v>86</v>
      </c>
      <c r="P260" s="35" t="s">
        <v>304</v>
      </c>
      <c r="Q260" s="29" t="s">
        <v>555</v>
      </c>
    </row>
    <row r="261" spans="1:17" ht="14.25" customHeight="1" x14ac:dyDescent="0.3">
      <c r="A261" s="28">
        <v>45973</v>
      </c>
      <c r="B261" s="29" t="s">
        <v>552</v>
      </c>
      <c r="C261" s="30" t="s">
        <v>103</v>
      </c>
      <c r="D261" s="30" t="s">
        <v>558</v>
      </c>
      <c r="E261" s="31" t="s">
        <v>559</v>
      </c>
      <c r="F261" s="31" t="s">
        <v>351</v>
      </c>
      <c r="G261" s="30" t="s">
        <v>81</v>
      </c>
      <c r="H261" s="30" t="s">
        <v>560</v>
      </c>
      <c r="I261" s="32">
        <v>45970</v>
      </c>
      <c r="J261" s="30" t="s">
        <v>83</v>
      </c>
      <c r="K261" s="32" t="s">
        <v>45</v>
      </c>
      <c r="L261" s="30" t="s">
        <v>84</v>
      </c>
      <c r="M261" s="30" t="s">
        <v>561</v>
      </c>
      <c r="N261" s="37" t="s">
        <v>81</v>
      </c>
      <c r="O261" s="34" t="s">
        <v>86</v>
      </c>
      <c r="P261" s="35" t="s">
        <v>304</v>
      </c>
      <c r="Q261" s="29" t="s">
        <v>555</v>
      </c>
    </row>
    <row r="262" spans="1:17" ht="14.25" customHeight="1" x14ac:dyDescent="0.3">
      <c r="A262" s="28">
        <v>45975</v>
      </c>
      <c r="B262" s="29" t="s">
        <v>552</v>
      </c>
      <c r="C262" s="30" t="s">
        <v>219</v>
      </c>
      <c r="D262" s="30" t="s">
        <v>562</v>
      </c>
      <c r="E262" s="31" t="s">
        <v>322</v>
      </c>
      <c r="F262" s="31" t="s">
        <v>99</v>
      </c>
      <c r="G262" s="30" t="s">
        <v>81</v>
      </c>
      <c r="H262" s="30" t="s">
        <v>124</v>
      </c>
      <c r="I262" s="32">
        <v>45973</v>
      </c>
      <c r="J262" s="30" t="s">
        <v>83</v>
      </c>
      <c r="K262" s="32" t="s">
        <v>32</v>
      </c>
      <c r="L262" s="30" t="s">
        <v>84</v>
      </c>
      <c r="M262" s="30" t="s">
        <v>101</v>
      </c>
      <c r="N262" s="37" t="s">
        <v>81</v>
      </c>
      <c r="O262" s="34" t="s">
        <v>86</v>
      </c>
      <c r="P262" s="35" t="s">
        <v>304</v>
      </c>
      <c r="Q262" s="29" t="s">
        <v>555</v>
      </c>
    </row>
    <row r="263" spans="1:17" ht="14.25" customHeight="1" x14ac:dyDescent="0.3">
      <c r="A263" s="28">
        <v>45975</v>
      </c>
      <c r="B263" s="29" t="s">
        <v>552</v>
      </c>
      <c r="C263" s="30" t="s">
        <v>219</v>
      </c>
      <c r="D263" s="30" t="s">
        <v>563</v>
      </c>
      <c r="E263" s="31" t="s">
        <v>322</v>
      </c>
      <c r="F263" s="31" t="s">
        <v>99</v>
      </c>
      <c r="G263" s="30" t="s">
        <v>81</v>
      </c>
      <c r="H263" s="30" t="s">
        <v>124</v>
      </c>
      <c r="I263" s="32">
        <v>45973</v>
      </c>
      <c r="J263" s="30" t="s">
        <v>83</v>
      </c>
      <c r="K263" s="32" t="s">
        <v>32</v>
      </c>
      <c r="L263" s="30" t="s">
        <v>84</v>
      </c>
      <c r="M263" s="30" t="s">
        <v>101</v>
      </c>
      <c r="N263" s="37" t="s">
        <v>81</v>
      </c>
      <c r="O263" s="34" t="s">
        <v>86</v>
      </c>
      <c r="P263" s="35" t="s">
        <v>304</v>
      </c>
      <c r="Q263" s="29" t="s">
        <v>555</v>
      </c>
    </row>
    <row r="264" spans="1:17" ht="14.25" customHeight="1" x14ac:dyDescent="0.3">
      <c r="A264" s="28">
        <v>45979</v>
      </c>
      <c r="B264" s="29" t="s">
        <v>552</v>
      </c>
      <c r="C264" s="30" t="s">
        <v>219</v>
      </c>
      <c r="D264" s="30" t="s">
        <v>564</v>
      </c>
      <c r="E264" s="31" t="s">
        <v>226</v>
      </c>
      <c r="F264" s="31" t="s">
        <v>99</v>
      </c>
      <c r="G264" s="30" t="s">
        <v>81</v>
      </c>
      <c r="H264" s="30" t="s">
        <v>227</v>
      </c>
      <c r="I264" s="32">
        <v>45977</v>
      </c>
      <c r="J264" s="30" t="s">
        <v>83</v>
      </c>
      <c r="K264" s="32" t="s">
        <v>44</v>
      </c>
      <c r="L264" s="30" t="s">
        <v>84</v>
      </c>
      <c r="M264" s="30" t="s">
        <v>101</v>
      </c>
      <c r="N264" s="37" t="s">
        <v>81</v>
      </c>
      <c r="O264" s="34" t="s">
        <v>86</v>
      </c>
      <c r="P264" s="35" t="s">
        <v>304</v>
      </c>
      <c r="Q264" s="29" t="s">
        <v>555</v>
      </c>
    </row>
    <row r="265" spans="1:17" ht="14.25" customHeight="1" x14ac:dyDescent="0.3">
      <c r="A265" s="28">
        <v>45983</v>
      </c>
      <c r="B265" s="29" t="s">
        <v>552</v>
      </c>
      <c r="C265" s="30" t="s">
        <v>219</v>
      </c>
      <c r="D265" s="30" t="s">
        <v>565</v>
      </c>
      <c r="E265" s="31" t="s">
        <v>221</v>
      </c>
      <c r="F265" s="31" t="s">
        <v>99</v>
      </c>
      <c r="G265" s="30" t="s">
        <v>112</v>
      </c>
      <c r="H265" s="30" t="s">
        <v>135</v>
      </c>
      <c r="I265" s="32">
        <v>45981</v>
      </c>
      <c r="J265" s="30" t="s">
        <v>83</v>
      </c>
      <c r="K265" s="32" t="s">
        <v>42</v>
      </c>
      <c r="L265" s="30" t="s">
        <v>84</v>
      </c>
      <c r="M265" s="30" t="s">
        <v>101</v>
      </c>
      <c r="N265" s="37">
        <v>1935</v>
      </c>
      <c r="O265" s="34" t="s">
        <v>86</v>
      </c>
      <c r="P265" s="35" t="s">
        <v>304</v>
      </c>
      <c r="Q265" s="29" t="s">
        <v>555</v>
      </c>
    </row>
    <row r="266" spans="1:17" ht="14.25" customHeight="1" x14ac:dyDescent="0.3">
      <c r="A266" s="28">
        <v>45983</v>
      </c>
      <c r="B266" s="29" t="s">
        <v>552</v>
      </c>
      <c r="C266" s="30" t="s">
        <v>219</v>
      </c>
      <c r="D266" s="30" t="s">
        <v>566</v>
      </c>
      <c r="E266" s="31" t="s">
        <v>221</v>
      </c>
      <c r="F266" s="31" t="s">
        <v>99</v>
      </c>
      <c r="G266" s="30" t="s">
        <v>112</v>
      </c>
      <c r="H266" s="30" t="s">
        <v>135</v>
      </c>
      <c r="I266" s="32">
        <v>45981</v>
      </c>
      <c r="J266" s="30" t="s">
        <v>83</v>
      </c>
      <c r="K266" s="32" t="s">
        <v>42</v>
      </c>
      <c r="L266" s="30" t="s">
        <v>84</v>
      </c>
      <c r="M266" s="30" t="s">
        <v>101</v>
      </c>
      <c r="N266" s="37">
        <v>1935</v>
      </c>
      <c r="O266" s="34" t="s">
        <v>86</v>
      </c>
      <c r="P266" s="35" t="s">
        <v>304</v>
      </c>
      <c r="Q266" s="29" t="s">
        <v>555</v>
      </c>
    </row>
    <row r="267" spans="1:17" ht="14.25" customHeight="1" x14ac:dyDescent="0.3">
      <c r="A267" s="28">
        <v>45985</v>
      </c>
      <c r="B267" s="29" t="s">
        <v>552</v>
      </c>
      <c r="C267" s="30" t="s">
        <v>170</v>
      </c>
      <c r="D267" s="30" t="s">
        <v>567</v>
      </c>
      <c r="E267" s="31" t="s">
        <v>172</v>
      </c>
      <c r="F267" s="31" t="s">
        <v>568</v>
      </c>
      <c r="G267" s="30" t="s">
        <v>81</v>
      </c>
      <c r="H267" s="30" t="s">
        <v>445</v>
      </c>
      <c r="I267" s="32">
        <v>45984</v>
      </c>
      <c r="J267" s="30" t="s">
        <v>83</v>
      </c>
      <c r="K267" s="32" t="s">
        <v>46</v>
      </c>
      <c r="L267" s="30" t="s">
        <v>84</v>
      </c>
      <c r="M267" s="30" t="s">
        <v>176</v>
      </c>
      <c r="N267" s="37" t="s">
        <v>81</v>
      </c>
      <c r="O267" s="34" t="s">
        <v>86</v>
      </c>
      <c r="P267" s="35" t="s">
        <v>304</v>
      </c>
      <c r="Q267" s="29" t="s">
        <v>555</v>
      </c>
    </row>
    <row r="268" spans="1:17" ht="14.25" customHeight="1" x14ac:dyDescent="0.3">
      <c r="A268" s="28">
        <v>45986</v>
      </c>
      <c r="B268" s="29" t="s">
        <v>552</v>
      </c>
      <c r="C268" s="30" t="s">
        <v>77</v>
      </c>
      <c r="D268" s="30" t="s">
        <v>569</v>
      </c>
      <c r="E268" s="31" t="s">
        <v>90</v>
      </c>
      <c r="F268" s="31" t="s">
        <v>91</v>
      </c>
      <c r="G268" s="30" t="s">
        <v>81</v>
      </c>
      <c r="H268" s="30" t="s">
        <v>570</v>
      </c>
      <c r="I268" s="32">
        <v>45984</v>
      </c>
      <c r="J268" s="30" t="s">
        <v>83</v>
      </c>
      <c r="K268" s="32" t="s">
        <v>39</v>
      </c>
      <c r="L268" s="30" t="s">
        <v>84</v>
      </c>
      <c r="M268" s="30" t="s">
        <v>85</v>
      </c>
      <c r="N268" s="37" t="s">
        <v>81</v>
      </c>
      <c r="O268" s="34" t="s">
        <v>86</v>
      </c>
      <c r="P268" s="35" t="s">
        <v>304</v>
      </c>
      <c r="Q268" s="29" t="s">
        <v>555</v>
      </c>
    </row>
    <row r="269" spans="1:17" ht="14.25" customHeight="1" x14ac:dyDescent="0.3">
      <c r="A269" s="28">
        <v>45987</v>
      </c>
      <c r="B269" s="29" t="s">
        <v>552</v>
      </c>
      <c r="C269" s="30" t="s">
        <v>103</v>
      </c>
      <c r="D269" s="30" t="s">
        <v>571</v>
      </c>
      <c r="E269" s="31" t="s">
        <v>164</v>
      </c>
      <c r="F269" s="31" t="s">
        <v>165</v>
      </c>
      <c r="G269" s="30" t="s">
        <v>81</v>
      </c>
      <c r="H269" s="30" t="s">
        <v>513</v>
      </c>
      <c r="I269" s="32">
        <v>45985</v>
      </c>
      <c r="J269" s="30" t="s">
        <v>83</v>
      </c>
      <c r="K269" s="32" t="s">
        <v>42</v>
      </c>
      <c r="L269" s="30" t="s">
        <v>114</v>
      </c>
      <c r="M269" s="30" t="s">
        <v>572</v>
      </c>
      <c r="N269" s="37" t="s">
        <v>81</v>
      </c>
      <c r="O269" s="34" t="s">
        <v>86</v>
      </c>
      <c r="P269" s="35" t="s">
        <v>304</v>
      </c>
      <c r="Q269" s="29" t="s">
        <v>555</v>
      </c>
    </row>
    <row r="270" spans="1:17" ht="14.25" customHeight="1" x14ac:dyDescent="0.3">
      <c r="A270" s="28">
        <v>45987</v>
      </c>
      <c r="B270" s="29" t="s">
        <v>552</v>
      </c>
      <c r="C270" s="30" t="s">
        <v>103</v>
      </c>
      <c r="D270" s="30" t="s">
        <v>573</v>
      </c>
      <c r="E270" s="31" t="s">
        <v>164</v>
      </c>
      <c r="F270" s="31" t="s">
        <v>165</v>
      </c>
      <c r="G270" s="30" t="s">
        <v>81</v>
      </c>
      <c r="H270" s="30" t="s">
        <v>513</v>
      </c>
      <c r="I270" s="32">
        <v>45985</v>
      </c>
      <c r="J270" s="30" t="s">
        <v>83</v>
      </c>
      <c r="K270" s="32" t="s">
        <v>42</v>
      </c>
      <c r="L270" s="30" t="s">
        <v>114</v>
      </c>
      <c r="M270" s="30" t="s">
        <v>572</v>
      </c>
      <c r="N270" s="37" t="s">
        <v>81</v>
      </c>
      <c r="O270" s="34" t="s">
        <v>86</v>
      </c>
      <c r="P270" s="35" t="s">
        <v>304</v>
      </c>
      <c r="Q270" s="29" t="s">
        <v>555</v>
      </c>
    </row>
    <row r="271" spans="1:17" ht="14.25" customHeight="1" x14ac:dyDescent="0.3">
      <c r="A271" s="28">
        <v>45987</v>
      </c>
      <c r="B271" s="29" t="s">
        <v>552</v>
      </c>
      <c r="C271" s="30" t="s">
        <v>103</v>
      </c>
      <c r="D271" s="30" t="s">
        <v>574</v>
      </c>
      <c r="E271" s="31" t="s">
        <v>164</v>
      </c>
      <c r="F271" s="31" t="s">
        <v>165</v>
      </c>
      <c r="G271" s="30" t="s">
        <v>81</v>
      </c>
      <c r="H271" s="30" t="s">
        <v>513</v>
      </c>
      <c r="I271" s="32">
        <v>45985</v>
      </c>
      <c r="J271" s="30" t="s">
        <v>83</v>
      </c>
      <c r="K271" s="32" t="s">
        <v>42</v>
      </c>
      <c r="L271" s="30" t="s">
        <v>114</v>
      </c>
      <c r="M271" s="30" t="s">
        <v>572</v>
      </c>
      <c r="N271" s="37" t="s">
        <v>81</v>
      </c>
      <c r="O271" s="34" t="s">
        <v>86</v>
      </c>
      <c r="P271" s="35" t="s">
        <v>304</v>
      </c>
      <c r="Q271" s="29" t="s">
        <v>555</v>
      </c>
    </row>
    <row r="272" spans="1:17" ht="14.25" customHeight="1" x14ac:dyDescent="0.3">
      <c r="A272" s="28">
        <v>45987</v>
      </c>
      <c r="B272" s="29" t="s">
        <v>552</v>
      </c>
      <c r="C272" s="30" t="s">
        <v>103</v>
      </c>
      <c r="D272" s="30" t="s">
        <v>575</v>
      </c>
      <c r="E272" s="31" t="s">
        <v>164</v>
      </c>
      <c r="F272" s="31" t="s">
        <v>165</v>
      </c>
      <c r="G272" s="30" t="s">
        <v>81</v>
      </c>
      <c r="H272" s="30" t="s">
        <v>513</v>
      </c>
      <c r="I272" s="32">
        <v>45985</v>
      </c>
      <c r="J272" s="30" t="s">
        <v>83</v>
      </c>
      <c r="K272" s="32" t="s">
        <v>42</v>
      </c>
      <c r="L272" s="30" t="s">
        <v>114</v>
      </c>
      <c r="M272" s="30" t="s">
        <v>572</v>
      </c>
      <c r="N272" s="37" t="s">
        <v>81</v>
      </c>
      <c r="O272" s="34" t="s">
        <v>86</v>
      </c>
      <c r="P272" s="35" t="s">
        <v>304</v>
      </c>
      <c r="Q272" s="29" t="s">
        <v>555</v>
      </c>
    </row>
    <row r="273" spans="1:17" ht="14.25" customHeight="1" x14ac:dyDescent="0.3">
      <c r="A273" s="28">
        <v>45987</v>
      </c>
      <c r="B273" s="29" t="s">
        <v>552</v>
      </c>
      <c r="C273" s="30" t="s">
        <v>103</v>
      </c>
      <c r="D273" s="30" t="s">
        <v>576</v>
      </c>
      <c r="E273" s="31" t="s">
        <v>164</v>
      </c>
      <c r="F273" s="31" t="s">
        <v>165</v>
      </c>
      <c r="G273" s="30" t="s">
        <v>81</v>
      </c>
      <c r="H273" s="30" t="s">
        <v>513</v>
      </c>
      <c r="I273" s="32">
        <v>45985</v>
      </c>
      <c r="J273" s="30" t="s">
        <v>83</v>
      </c>
      <c r="K273" s="32" t="s">
        <v>42</v>
      </c>
      <c r="L273" s="30" t="s">
        <v>114</v>
      </c>
      <c r="M273" s="30" t="s">
        <v>572</v>
      </c>
      <c r="N273" s="37" t="s">
        <v>81</v>
      </c>
      <c r="O273" s="34" t="s">
        <v>86</v>
      </c>
      <c r="P273" s="35" t="s">
        <v>304</v>
      </c>
      <c r="Q273" s="29" t="s">
        <v>555</v>
      </c>
    </row>
    <row r="274" spans="1:17" ht="14.25" customHeight="1" x14ac:dyDescent="0.3">
      <c r="A274" s="28">
        <v>45987</v>
      </c>
      <c r="B274" s="29" t="s">
        <v>552</v>
      </c>
      <c r="C274" s="30" t="s">
        <v>103</v>
      </c>
      <c r="D274" s="30" t="s">
        <v>577</v>
      </c>
      <c r="E274" s="31" t="s">
        <v>164</v>
      </c>
      <c r="F274" s="31" t="s">
        <v>165</v>
      </c>
      <c r="G274" s="30" t="s">
        <v>81</v>
      </c>
      <c r="H274" s="30" t="s">
        <v>513</v>
      </c>
      <c r="I274" s="32">
        <v>45985</v>
      </c>
      <c r="J274" s="30" t="s">
        <v>83</v>
      </c>
      <c r="K274" s="32" t="s">
        <v>42</v>
      </c>
      <c r="L274" s="30" t="s">
        <v>114</v>
      </c>
      <c r="M274" s="30" t="s">
        <v>572</v>
      </c>
      <c r="N274" s="37" t="s">
        <v>81</v>
      </c>
      <c r="O274" s="34" t="s">
        <v>86</v>
      </c>
      <c r="P274" s="35" t="s">
        <v>304</v>
      </c>
      <c r="Q274" s="29" t="s">
        <v>555</v>
      </c>
    </row>
    <row r="275" spans="1:17" ht="14.25" customHeight="1" x14ac:dyDescent="0.3">
      <c r="A275" s="28">
        <v>45987</v>
      </c>
      <c r="B275" s="29" t="s">
        <v>552</v>
      </c>
      <c r="C275" s="30" t="s">
        <v>103</v>
      </c>
      <c r="D275" s="30" t="s">
        <v>578</v>
      </c>
      <c r="E275" s="31" t="s">
        <v>164</v>
      </c>
      <c r="F275" s="31" t="s">
        <v>165</v>
      </c>
      <c r="G275" s="30" t="s">
        <v>81</v>
      </c>
      <c r="H275" s="30" t="s">
        <v>513</v>
      </c>
      <c r="I275" s="32">
        <v>45985</v>
      </c>
      <c r="J275" s="30" t="s">
        <v>83</v>
      </c>
      <c r="K275" s="32" t="s">
        <v>42</v>
      </c>
      <c r="L275" s="30" t="s">
        <v>114</v>
      </c>
      <c r="M275" s="30" t="s">
        <v>572</v>
      </c>
      <c r="N275" s="37" t="s">
        <v>81</v>
      </c>
      <c r="O275" s="34" t="s">
        <v>86</v>
      </c>
      <c r="P275" s="35" t="s">
        <v>304</v>
      </c>
      <c r="Q275" s="29" t="s">
        <v>555</v>
      </c>
    </row>
    <row r="276" spans="1:17" ht="14.25" customHeight="1" x14ac:dyDescent="0.3">
      <c r="A276" s="28">
        <v>45987</v>
      </c>
      <c r="B276" s="29" t="s">
        <v>552</v>
      </c>
      <c r="C276" s="30" t="s">
        <v>103</v>
      </c>
      <c r="D276" s="30" t="s">
        <v>579</v>
      </c>
      <c r="E276" s="31" t="s">
        <v>433</v>
      </c>
      <c r="F276" s="31" t="s">
        <v>434</v>
      </c>
      <c r="G276" s="30" t="s">
        <v>81</v>
      </c>
      <c r="H276" s="30" t="s">
        <v>435</v>
      </c>
      <c r="I276" s="32">
        <v>45985</v>
      </c>
      <c r="J276" s="30" t="s">
        <v>83</v>
      </c>
      <c r="K276" s="32" t="s">
        <v>45</v>
      </c>
      <c r="L276" s="30" t="s">
        <v>84</v>
      </c>
      <c r="M276" s="30" t="s">
        <v>436</v>
      </c>
      <c r="N276" s="37" t="s">
        <v>81</v>
      </c>
      <c r="O276" s="34" t="s">
        <v>86</v>
      </c>
      <c r="P276" s="35" t="s">
        <v>304</v>
      </c>
      <c r="Q276" s="29" t="s">
        <v>555</v>
      </c>
    </row>
    <row r="277" spans="1:17" ht="14.25" customHeight="1" x14ac:dyDescent="0.3">
      <c r="A277" s="28">
        <v>45987</v>
      </c>
      <c r="B277" s="29" t="s">
        <v>552</v>
      </c>
      <c r="C277" s="30" t="s">
        <v>103</v>
      </c>
      <c r="D277" s="30" t="s">
        <v>580</v>
      </c>
      <c r="E277" s="31" t="s">
        <v>433</v>
      </c>
      <c r="F277" s="31" t="s">
        <v>434</v>
      </c>
      <c r="G277" s="30" t="s">
        <v>81</v>
      </c>
      <c r="H277" s="30" t="s">
        <v>435</v>
      </c>
      <c r="I277" s="32">
        <v>45985</v>
      </c>
      <c r="J277" s="30" t="s">
        <v>83</v>
      </c>
      <c r="K277" s="32" t="s">
        <v>45</v>
      </c>
      <c r="L277" s="30" t="s">
        <v>84</v>
      </c>
      <c r="M277" s="30" t="s">
        <v>436</v>
      </c>
      <c r="N277" s="37" t="s">
        <v>81</v>
      </c>
      <c r="O277" s="34" t="s">
        <v>86</v>
      </c>
      <c r="P277" s="35" t="s">
        <v>304</v>
      </c>
      <c r="Q277" s="29" t="s">
        <v>555</v>
      </c>
    </row>
    <row r="278" spans="1:17" ht="14.25" customHeight="1" x14ac:dyDescent="0.3">
      <c r="A278" s="28">
        <v>45987</v>
      </c>
      <c r="B278" s="29" t="s">
        <v>552</v>
      </c>
      <c r="C278" s="30" t="s">
        <v>77</v>
      </c>
      <c r="D278" s="30" t="s">
        <v>581</v>
      </c>
      <c r="E278" s="31" t="s">
        <v>582</v>
      </c>
      <c r="F278" s="31" t="s">
        <v>370</v>
      </c>
      <c r="G278" s="30" t="s">
        <v>112</v>
      </c>
      <c r="H278" s="30" t="s">
        <v>156</v>
      </c>
      <c r="I278" s="32">
        <v>45986</v>
      </c>
      <c r="J278" s="30" t="s">
        <v>83</v>
      </c>
      <c r="K278" s="32" t="s">
        <v>44</v>
      </c>
      <c r="L278" s="30" t="s">
        <v>114</v>
      </c>
      <c r="M278" s="30" t="s">
        <v>184</v>
      </c>
      <c r="N278" s="37">
        <v>1008</v>
      </c>
      <c r="O278" s="34" t="s">
        <v>86</v>
      </c>
      <c r="P278" s="35" t="s">
        <v>304</v>
      </c>
      <c r="Q278" s="29" t="s">
        <v>555</v>
      </c>
    </row>
    <row r="279" spans="1:17" ht="14.25" customHeight="1" x14ac:dyDescent="0.3">
      <c r="A279" s="28">
        <v>45987</v>
      </c>
      <c r="B279" s="29" t="s">
        <v>552</v>
      </c>
      <c r="C279" s="30" t="s">
        <v>77</v>
      </c>
      <c r="D279" s="30" t="s">
        <v>583</v>
      </c>
      <c r="E279" s="31" t="s">
        <v>582</v>
      </c>
      <c r="F279" s="31" t="s">
        <v>370</v>
      </c>
      <c r="G279" s="30" t="s">
        <v>112</v>
      </c>
      <c r="H279" s="30" t="s">
        <v>156</v>
      </c>
      <c r="I279" s="32">
        <v>45986</v>
      </c>
      <c r="J279" s="30" t="s">
        <v>83</v>
      </c>
      <c r="K279" s="32" t="s">
        <v>44</v>
      </c>
      <c r="L279" s="30" t="s">
        <v>114</v>
      </c>
      <c r="M279" s="30" t="s">
        <v>184</v>
      </c>
      <c r="N279" s="37">
        <v>1008</v>
      </c>
      <c r="O279" s="34" t="s">
        <v>86</v>
      </c>
      <c r="P279" s="35" t="s">
        <v>304</v>
      </c>
      <c r="Q279" s="29" t="s">
        <v>555</v>
      </c>
    </row>
    <row r="280" spans="1:17" ht="14.25" customHeight="1" x14ac:dyDescent="0.3">
      <c r="A280" s="28">
        <v>45987</v>
      </c>
      <c r="B280" s="29" t="s">
        <v>552</v>
      </c>
      <c r="C280" s="30" t="s">
        <v>77</v>
      </c>
      <c r="D280" s="30" t="s">
        <v>584</v>
      </c>
      <c r="E280" s="31" t="s">
        <v>182</v>
      </c>
      <c r="F280" s="31" t="s">
        <v>370</v>
      </c>
      <c r="G280" s="30" t="s">
        <v>112</v>
      </c>
      <c r="H280" s="30" t="s">
        <v>156</v>
      </c>
      <c r="I280" s="32">
        <v>45985</v>
      </c>
      <c r="J280" s="30" t="s">
        <v>83</v>
      </c>
      <c r="K280" s="32" t="s">
        <v>44</v>
      </c>
      <c r="L280" s="30" t="s">
        <v>84</v>
      </c>
      <c r="M280" s="30" t="s">
        <v>184</v>
      </c>
      <c r="N280" s="37">
        <v>1008</v>
      </c>
      <c r="O280" s="34" t="s">
        <v>86</v>
      </c>
      <c r="P280" s="35" t="s">
        <v>304</v>
      </c>
      <c r="Q280" s="29" t="s">
        <v>555</v>
      </c>
    </row>
    <row r="281" spans="1:17" ht="14.25" customHeight="1" x14ac:dyDescent="0.3">
      <c r="A281" s="28">
        <v>45988</v>
      </c>
      <c r="B281" s="29" t="s">
        <v>552</v>
      </c>
      <c r="C281" s="30" t="s">
        <v>219</v>
      </c>
      <c r="D281" s="30" t="s">
        <v>585</v>
      </c>
      <c r="E281" s="31" t="s">
        <v>295</v>
      </c>
      <c r="F281" s="31" t="s">
        <v>134</v>
      </c>
      <c r="G281" s="30" t="s">
        <v>81</v>
      </c>
      <c r="H281" s="30" t="s">
        <v>544</v>
      </c>
      <c r="I281" s="32">
        <v>45988</v>
      </c>
      <c r="J281" s="30" t="s">
        <v>108</v>
      </c>
      <c r="K281" s="32" t="s">
        <v>44</v>
      </c>
      <c r="L281" s="30" t="s">
        <v>586</v>
      </c>
      <c r="M281" s="30" t="s">
        <v>138</v>
      </c>
      <c r="N281" s="37" t="s">
        <v>81</v>
      </c>
      <c r="O281" s="34" t="s">
        <v>86</v>
      </c>
      <c r="P281" s="35" t="s">
        <v>304</v>
      </c>
      <c r="Q281" s="29" t="s">
        <v>555</v>
      </c>
    </row>
    <row r="282" spans="1:17" ht="14.25" customHeight="1" x14ac:dyDescent="0.3">
      <c r="A282" s="28">
        <v>45988</v>
      </c>
      <c r="B282" s="29" t="s">
        <v>552</v>
      </c>
      <c r="C282" s="30" t="s">
        <v>219</v>
      </c>
      <c r="D282" s="30" t="s">
        <v>587</v>
      </c>
      <c r="E282" s="31" t="s">
        <v>295</v>
      </c>
      <c r="F282" s="31" t="s">
        <v>134</v>
      </c>
      <c r="G282" s="30" t="s">
        <v>81</v>
      </c>
      <c r="H282" s="30" t="s">
        <v>544</v>
      </c>
      <c r="I282" s="32">
        <v>45988</v>
      </c>
      <c r="J282" s="30" t="s">
        <v>108</v>
      </c>
      <c r="K282" s="32" t="s">
        <v>44</v>
      </c>
      <c r="L282" s="30" t="s">
        <v>586</v>
      </c>
      <c r="M282" s="30" t="s">
        <v>138</v>
      </c>
      <c r="N282" s="37" t="s">
        <v>81</v>
      </c>
      <c r="O282" s="34" t="s">
        <v>86</v>
      </c>
      <c r="P282" s="35" t="s">
        <v>304</v>
      </c>
      <c r="Q282" s="29" t="s">
        <v>555</v>
      </c>
    </row>
    <row r="283" spans="1:17" ht="14.25" customHeight="1" x14ac:dyDescent="0.3">
      <c r="A283" s="28">
        <v>45988</v>
      </c>
      <c r="B283" s="29" t="s">
        <v>552</v>
      </c>
      <c r="C283" s="30" t="s">
        <v>103</v>
      </c>
      <c r="D283" s="30" t="s">
        <v>588</v>
      </c>
      <c r="E283" s="31" t="s">
        <v>241</v>
      </c>
      <c r="F283" s="31" t="s">
        <v>242</v>
      </c>
      <c r="G283" s="30" t="s">
        <v>81</v>
      </c>
      <c r="H283" s="30" t="s">
        <v>243</v>
      </c>
      <c r="I283" s="32">
        <v>45989</v>
      </c>
      <c r="J283" s="30" t="s">
        <v>136</v>
      </c>
      <c r="K283" s="32" t="s">
        <v>28</v>
      </c>
      <c r="L283" s="30" t="s">
        <v>586</v>
      </c>
      <c r="M283" s="30" t="s">
        <v>244</v>
      </c>
      <c r="N283" s="37" t="s">
        <v>81</v>
      </c>
      <c r="O283" s="34" t="s">
        <v>86</v>
      </c>
      <c r="P283" s="35" t="s">
        <v>304</v>
      </c>
      <c r="Q283" s="29" t="s">
        <v>555</v>
      </c>
    </row>
    <row r="284" spans="1:17" ht="14.25" customHeight="1" x14ac:dyDescent="0.3">
      <c r="A284" s="28">
        <v>45989</v>
      </c>
      <c r="B284" s="29" t="s">
        <v>552</v>
      </c>
      <c r="C284" s="30" t="s">
        <v>219</v>
      </c>
      <c r="D284" s="30" t="s">
        <v>589</v>
      </c>
      <c r="E284" s="31" t="s">
        <v>590</v>
      </c>
      <c r="F284" s="31" t="s">
        <v>327</v>
      </c>
      <c r="G284" s="30" t="s">
        <v>112</v>
      </c>
      <c r="H284" s="30" t="s">
        <v>135</v>
      </c>
      <c r="I284" s="32">
        <v>45987</v>
      </c>
      <c r="J284" s="30" t="s">
        <v>83</v>
      </c>
      <c r="K284" s="32" t="s">
        <v>42</v>
      </c>
      <c r="L284" s="30" t="s">
        <v>84</v>
      </c>
      <c r="M284" s="30" t="s">
        <v>328</v>
      </c>
      <c r="N284" s="37">
        <v>1840</v>
      </c>
      <c r="O284" s="34" t="s">
        <v>86</v>
      </c>
      <c r="P284" s="35" t="s">
        <v>304</v>
      </c>
      <c r="Q284" s="29" t="s">
        <v>555</v>
      </c>
    </row>
    <row r="285" spans="1:17" ht="14.25" customHeight="1" x14ac:dyDescent="0.3">
      <c r="A285" s="28">
        <v>45989</v>
      </c>
      <c r="B285" s="29" t="s">
        <v>552</v>
      </c>
      <c r="C285" s="30" t="s">
        <v>219</v>
      </c>
      <c r="D285" s="30" t="s">
        <v>591</v>
      </c>
      <c r="E285" s="31" t="s">
        <v>590</v>
      </c>
      <c r="F285" s="31" t="s">
        <v>327</v>
      </c>
      <c r="G285" s="30" t="s">
        <v>112</v>
      </c>
      <c r="H285" s="30" t="s">
        <v>135</v>
      </c>
      <c r="I285" s="32">
        <v>45987</v>
      </c>
      <c r="J285" s="30" t="s">
        <v>83</v>
      </c>
      <c r="K285" s="32" t="s">
        <v>42</v>
      </c>
      <c r="L285" s="30" t="s">
        <v>84</v>
      </c>
      <c r="M285" s="30" t="s">
        <v>328</v>
      </c>
      <c r="N285" s="37">
        <v>1840</v>
      </c>
      <c r="O285" s="34" t="s">
        <v>86</v>
      </c>
      <c r="P285" s="35" t="s">
        <v>304</v>
      </c>
      <c r="Q285" s="29" t="s">
        <v>555</v>
      </c>
    </row>
    <row r="286" spans="1:17" ht="14.25" customHeight="1" x14ac:dyDescent="0.3">
      <c r="A286" s="28">
        <v>45989</v>
      </c>
      <c r="B286" s="29" t="s">
        <v>552</v>
      </c>
      <c r="C286" s="30" t="s">
        <v>219</v>
      </c>
      <c r="D286" s="30" t="s">
        <v>592</v>
      </c>
      <c r="E286" s="31" t="s">
        <v>590</v>
      </c>
      <c r="F286" s="31" t="s">
        <v>327</v>
      </c>
      <c r="G286" s="30" t="s">
        <v>112</v>
      </c>
      <c r="H286" s="30" t="s">
        <v>135</v>
      </c>
      <c r="I286" s="32">
        <v>45987</v>
      </c>
      <c r="J286" s="30" t="s">
        <v>83</v>
      </c>
      <c r="K286" s="32" t="s">
        <v>42</v>
      </c>
      <c r="L286" s="30" t="s">
        <v>84</v>
      </c>
      <c r="M286" s="30" t="s">
        <v>328</v>
      </c>
      <c r="N286" s="37">
        <v>1840</v>
      </c>
      <c r="O286" s="34" t="s">
        <v>86</v>
      </c>
      <c r="P286" s="35" t="s">
        <v>304</v>
      </c>
      <c r="Q286" s="29" t="s">
        <v>555</v>
      </c>
    </row>
    <row r="287" spans="1:17" ht="14.25" customHeight="1" x14ac:dyDescent="0.3">
      <c r="A287" s="28">
        <v>45989</v>
      </c>
      <c r="B287" s="29" t="s">
        <v>552</v>
      </c>
      <c r="C287" s="30" t="s">
        <v>219</v>
      </c>
      <c r="D287" s="30" t="s">
        <v>593</v>
      </c>
      <c r="E287" s="31" t="s">
        <v>590</v>
      </c>
      <c r="F287" s="31" t="s">
        <v>327</v>
      </c>
      <c r="G287" s="30" t="s">
        <v>112</v>
      </c>
      <c r="H287" s="30" t="s">
        <v>135</v>
      </c>
      <c r="I287" s="32">
        <v>45987</v>
      </c>
      <c r="J287" s="30" t="s">
        <v>83</v>
      </c>
      <c r="K287" s="32" t="s">
        <v>42</v>
      </c>
      <c r="L287" s="30" t="s">
        <v>84</v>
      </c>
      <c r="M287" s="30" t="s">
        <v>328</v>
      </c>
      <c r="N287" s="37">
        <v>1840</v>
      </c>
      <c r="O287" s="34" t="s">
        <v>86</v>
      </c>
      <c r="P287" s="35" t="s">
        <v>304</v>
      </c>
      <c r="Q287" s="29" t="s">
        <v>555</v>
      </c>
    </row>
    <row r="288" spans="1:17" ht="14.25" customHeight="1" x14ac:dyDescent="0.3">
      <c r="A288" s="28">
        <v>45989</v>
      </c>
      <c r="B288" s="29" t="s">
        <v>552</v>
      </c>
      <c r="C288" s="30" t="s">
        <v>219</v>
      </c>
      <c r="D288" s="30" t="s">
        <v>594</v>
      </c>
      <c r="E288" s="31" t="s">
        <v>590</v>
      </c>
      <c r="F288" s="31" t="s">
        <v>327</v>
      </c>
      <c r="G288" s="30" t="s">
        <v>112</v>
      </c>
      <c r="H288" s="30" t="s">
        <v>135</v>
      </c>
      <c r="I288" s="32">
        <v>45987</v>
      </c>
      <c r="J288" s="30" t="s">
        <v>83</v>
      </c>
      <c r="K288" s="32" t="s">
        <v>42</v>
      </c>
      <c r="L288" s="30" t="s">
        <v>84</v>
      </c>
      <c r="M288" s="30" t="s">
        <v>328</v>
      </c>
      <c r="N288" s="37">
        <v>1840</v>
      </c>
      <c r="O288" s="34" t="s">
        <v>86</v>
      </c>
      <c r="P288" s="35" t="s">
        <v>304</v>
      </c>
      <c r="Q288" s="29" t="s">
        <v>555</v>
      </c>
    </row>
    <row r="289" spans="1:17" ht="14.25" customHeight="1" x14ac:dyDescent="0.3">
      <c r="A289" s="28">
        <v>45989</v>
      </c>
      <c r="B289" s="29" t="s">
        <v>552</v>
      </c>
      <c r="C289" s="30" t="s">
        <v>103</v>
      </c>
      <c r="D289" s="30" t="s">
        <v>595</v>
      </c>
      <c r="E289" s="31" t="s">
        <v>350</v>
      </c>
      <c r="F289" s="31" t="s">
        <v>351</v>
      </c>
      <c r="G289" s="30" t="s">
        <v>81</v>
      </c>
      <c r="H289" s="30" t="s">
        <v>513</v>
      </c>
      <c r="I289" s="32">
        <v>45989</v>
      </c>
      <c r="J289" s="30" t="s">
        <v>108</v>
      </c>
      <c r="K289" s="32" t="s">
        <v>44</v>
      </c>
      <c r="L289" s="30" t="s">
        <v>223</v>
      </c>
      <c r="M289" s="30" t="s">
        <v>596</v>
      </c>
      <c r="N289" s="37" t="s">
        <v>81</v>
      </c>
      <c r="O289" s="34" t="s">
        <v>86</v>
      </c>
      <c r="P289" s="35" t="s">
        <v>304</v>
      </c>
      <c r="Q289" s="29" t="s">
        <v>555</v>
      </c>
    </row>
    <row r="290" spans="1:17" ht="14.25" customHeight="1" x14ac:dyDescent="0.3">
      <c r="A290" s="28">
        <v>45989</v>
      </c>
      <c r="B290" s="29" t="s">
        <v>552</v>
      </c>
      <c r="C290" s="30" t="s">
        <v>103</v>
      </c>
      <c r="D290" s="30" t="s">
        <v>597</v>
      </c>
      <c r="E290" s="31" t="s">
        <v>350</v>
      </c>
      <c r="F290" s="31" t="s">
        <v>351</v>
      </c>
      <c r="G290" s="30" t="s">
        <v>81</v>
      </c>
      <c r="H290" s="30" t="s">
        <v>513</v>
      </c>
      <c r="I290" s="32">
        <v>45989</v>
      </c>
      <c r="J290" s="30" t="s">
        <v>108</v>
      </c>
      <c r="K290" s="32" t="s">
        <v>44</v>
      </c>
      <c r="L290" s="30" t="s">
        <v>223</v>
      </c>
      <c r="M290" s="30" t="s">
        <v>596</v>
      </c>
      <c r="N290" s="37" t="s">
        <v>81</v>
      </c>
      <c r="O290" s="34" t="s">
        <v>86</v>
      </c>
      <c r="P290" s="35" t="s">
        <v>304</v>
      </c>
      <c r="Q290" s="29" t="s">
        <v>555</v>
      </c>
    </row>
    <row r="291" spans="1:17" ht="14.25" customHeight="1" x14ac:dyDescent="0.3">
      <c r="A291" s="28">
        <v>45989</v>
      </c>
      <c r="B291" s="29" t="s">
        <v>552</v>
      </c>
      <c r="C291" s="30" t="s">
        <v>103</v>
      </c>
      <c r="D291" s="30" t="s">
        <v>598</v>
      </c>
      <c r="E291" s="31" t="s">
        <v>164</v>
      </c>
      <c r="F291" s="31" t="s">
        <v>165</v>
      </c>
      <c r="G291" s="30" t="s">
        <v>81</v>
      </c>
      <c r="H291" s="30" t="s">
        <v>513</v>
      </c>
      <c r="I291" s="32">
        <v>45987</v>
      </c>
      <c r="J291" s="30" t="s">
        <v>83</v>
      </c>
      <c r="K291" s="32" t="s">
        <v>42</v>
      </c>
      <c r="L291" s="30" t="s">
        <v>114</v>
      </c>
      <c r="M291" s="30" t="s">
        <v>572</v>
      </c>
      <c r="N291" s="37" t="s">
        <v>81</v>
      </c>
      <c r="O291" s="34" t="s">
        <v>86</v>
      </c>
      <c r="P291" s="35" t="s">
        <v>304</v>
      </c>
      <c r="Q291" s="29" t="s">
        <v>555</v>
      </c>
    </row>
    <row r="292" spans="1:17" ht="14.25" customHeight="1" x14ac:dyDescent="0.3">
      <c r="A292" s="28">
        <v>45989</v>
      </c>
      <c r="B292" s="29" t="s">
        <v>552</v>
      </c>
      <c r="C292" s="30" t="s">
        <v>103</v>
      </c>
      <c r="D292" s="30" t="s">
        <v>599</v>
      </c>
      <c r="E292" s="31" t="s">
        <v>164</v>
      </c>
      <c r="F292" s="31" t="s">
        <v>165</v>
      </c>
      <c r="G292" s="30" t="s">
        <v>81</v>
      </c>
      <c r="H292" s="30" t="s">
        <v>513</v>
      </c>
      <c r="I292" s="32">
        <v>45987</v>
      </c>
      <c r="J292" s="30" t="s">
        <v>83</v>
      </c>
      <c r="K292" s="32" t="s">
        <v>42</v>
      </c>
      <c r="L292" s="30" t="s">
        <v>114</v>
      </c>
      <c r="M292" s="30" t="s">
        <v>572</v>
      </c>
      <c r="N292" s="37" t="s">
        <v>81</v>
      </c>
      <c r="O292" s="34" t="s">
        <v>86</v>
      </c>
      <c r="P292" s="35" t="s">
        <v>304</v>
      </c>
      <c r="Q292" s="29" t="s">
        <v>555</v>
      </c>
    </row>
    <row r="293" spans="1:17" ht="14.25" customHeight="1" x14ac:dyDescent="0.3">
      <c r="A293" s="28">
        <v>45989</v>
      </c>
      <c r="B293" s="29" t="s">
        <v>552</v>
      </c>
      <c r="C293" s="30" t="s">
        <v>103</v>
      </c>
      <c r="D293" s="30" t="s">
        <v>600</v>
      </c>
      <c r="E293" s="31" t="s">
        <v>164</v>
      </c>
      <c r="F293" s="31" t="s">
        <v>165</v>
      </c>
      <c r="G293" s="30" t="s">
        <v>81</v>
      </c>
      <c r="H293" s="30" t="s">
        <v>513</v>
      </c>
      <c r="I293" s="32">
        <v>45987</v>
      </c>
      <c r="J293" s="30" t="s">
        <v>83</v>
      </c>
      <c r="K293" s="32" t="s">
        <v>42</v>
      </c>
      <c r="L293" s="30" t="s">
        <v>114</v>
      </c>
      <c r="M293" s="30" t="s">
        <v>572</v>
      </c>
      <c r="N293" s="37" t="s">
        <v>81</v>
      </c>
      <c r="O293" s="34" t="s">
        <v>86</v>
      </c>
      <c r="P293" s="35" t="s">
        <v>304</v>
      </c>
      <c r="Q293" s="29" t="s">
        <v>555</v>
      </c>
    </row>
    <row r="294" spans="1:17" ht="14.25" customHeight="1" x14ac:dyDescent="0.3">
      <c r="A294" s="28">
        <v>45989</v>
      </c>
      <c r="B294" s="29" t="s">
        <v>552</v>
      </c>
      <c r="C294" s="30" t="s">
        <v>103</v>
      </c>
      <c r="D294" s="30" t="s">
        <v>601</v>
      </c>
      <c r="E294" s="31" t="s">
        <v>164</v>
      </c>
      <c r="F294" s="31" t="s">
        <v>165</v>
      </c>
      <c r="G294" s="30" t="s">
        <v>81</v>
      </c>
      <c r="H294" s="30" t="s">
        <v>513</v>
      </c>
      <c r="I294" s="32">
        <v>45987</v>
      </c>
      <c r="J294" s="30" t="s">
        <v>83</v>
      </c>
      <c r="K294" s="32" t="s">
        <v>42</v>
      </c>
      <c r="L294" s="30" t="s">
        <v>114</v>
      </c>
      <c r="M294" s="30" t="s">
        <v>572</v>
      </c>
      <c r="N294" s="37" t="s">
        <v>81</v>
      </c>
      <c r="O294" s="34" t="s">
        <v>86</v>
      </c>
      <c r="P294" s="35" t="s">
        <v>304</v>
      </c>
      <c r="Q294" s="29" t="s">
        <v>555</v>
      </c>
    </row>
    <row r="295" spans="1:17" ht="14.25" customHeight="1" x14ac:dyDescent="0.3">
      <c r="A295" s="28">
        <v>45990</v>
      </c>
      <c r="B295" s="29" t="s">
        <v>552</v>
      </c>
      <c r="C295" s="30" t="s">
        <v>103</v>
      </c>
      <c r="D295" s="30" t="s">
        <v>602</v>
      </c>
      <c r="E295" s="31" t="s">
        <v>350</v>
      </c>
      <c r="F295" s="31" t="s">
        <v>351</v>
      </c>
      <c r="G295" s="30" t="s">
        <v>81</v>
      </c>
      <c r="H295" s="30" t="s">
        <v>513</v>
      </c>
      <c r="I295" s="32">
        <v>45989</v>
      </c>
      <c r="J295" s="30" t="s">
        <v>83</v>
      </c>
      <c r="K295" s="32" t="s">
        <v>34</v>
      </c>
      <c r="L295" s="30" t="s">
        <v>114</v>
      </c>
      <c r="M295" s="30" t="s">
        <v>524</v>
      </c>
      <c r="N295" s="37" t="s">
        <v>81</v>
      </c>
      <c r="O295" s="34" t="s">
        <v>86</v>
      </c>
      <c r="P295" s="35" t="s">
        <v>304</v>
      </c>
      <c r="Q295" s="29" t="s">
        <v>555</v>
      </c>
    </row>
    <row r="296" spans="1:17" ht="14.25" customHeight="1" x14ac:dyDescent="0.3">
      <c r="A296" s="28">
        <v>45990</v>
      </c>
      <c r="B296" s="29" t="s">
        <v>552</v>
      </c>
      <c r="C296" s="30" t="s">
        <v>103</v>
      </c>
      <c r="D296" s="30" t="s">
        <v>603</v>
      </c>
      <c r="E296" s="31" t="s">
        <v>350</v>
      </c>
      <c r="F296" s="31" t="s">
        <v>351</v>
      </c>
      <c r="G296" s="30" t="s">
        <v>81</v>
      </c>
      <c r="H296" s="30" t="s">
        <v>513</v>
      </c>
      <c r="I296" s="32">
        <v>45989</v>
      </c>
      <c r="J296" s="30" t="s">
        <v>83</v>
      </c>
      <c r="K296" s="32" t="s">
        <v>34</v>
      </c>
      <c r="L296" s="30" t="s">
        <v>114</v>
      </c>
      <c r="M296" s="30" t="s">
        <v>524</v>
      </c>
      <c r="N296" s="37" t="s">
        <v>81</v>
      </c>
      <c r="O296" s="34" t="s">
        <v>86</v>
      </c>
      <c r="P296" s="35" t="s">
        <v>304</v>
      </c>
      <c r="Q296" s="29" t="s">
        <v>555</v>
      </c>
    </row>
    <row r="297" spans="1:17" ht="14.25" customHeight="1" x14ac:dyDescent="0.3">
      <c r="A297" s="28">
        <v>45990</v>
      </c>
      <c r="B297" s="29" t="s">
        <v>552</v>
      </c>
      <c r="C297" s="30" t="s">
        <v>103</v>
      </c>
      <c r="D297" s="30" t="s">
        <v>604</v>
      </c>
      <c r="E297" s="31" t="s">
        <v>350</v>
      </c>
      <c r="F297" s="31" t="s">
        <v>351</v>
      </c>
      <c r="G297" s="30" t="s">
        <v>81</v>
      </c>
      <c r="H297" s="30" t="s">
        <v>513</v>
      </c>
      <c r="I297" s="32">
        <v>45989</v>
      </c>
      <c r="J297" s="30" t="s">
        <v>83</v>
      </c>
      <c r="K297" s="32" t="s">
        <v>34</v>
      </c>
      <c r="L297" s="30" t="s">
        <v>114</v>
      </c>
      <c r="M297" s="30" t="s">
        <v>524</v>
      </c>
      <c r="N297" s="37" t="s">
        <v>81</v>
      </c>
      <c r="O297" s="34" t="s">
        <v>86</v>
      </c>
      <c r="P297" s="35" t="s">
        <v>304</v>
      </c>
      <c r="Q297" s="29" t="s">
        <v>555</v>
      </c>
    </row>
    <row r="298" spans="1:17" ht="14.25" customHeight="1" x14ac:dyDescent="0.3">
      <c r="A298" s="28">
        <v>45990</v>
      </c>
      <c r="B298" s="29" t="s">
        <v>552</v>
      </c>
      <c r="C298" s="30" t="s">
        <v>219</v>
      </c>
      <c r="D298" s="30" t="s">
        <v>605</v>
      </c>
      <c r="E298" s="31" t="s">
        <v>383</v>
      </c>
      <c r="F298" s="31" t="s">
        <v>134</v>
      </c>
      <c r="G298" s="30" t="s">
        <v>81</v>
      </c>
      <c r="H298" s="30" t="s">
        <v>124</v>
      </c>
      <c r="I298" s="32">
        <v>45990</v>
      </c>
      <c r="J298" s="30" t="s">
        <v>108</v>
      </c>
      <c r="K298" s="32" t="s">
        <v>25</v>
      </c>
      <c r="L298" s="30" t="s">
        <v>223</v>
      </c>
      <c r="M298" s="30" t="s">
        <v>381</v>
      </c>
      <c r="N298" s="37" t="s">
        <v>81</v>
      </c>
      <c r="O298" s="34" t="s">
        <v>86</v>
      </c>
      <c r="P298" s="35" t="s">
        <v>304</v>
      </c>
      <c r="Q298" s="29" t="s">
        <v>555</v>
      </c>
    </row>
    <row r="299" spans="1:17" ht="14.25" customHeight="1" x14ac:dyDescent="0.3">
      <c r="A299" s="28">
        <v>45990</v>
      </c>
      <c r="B299" s="29" t="s">
        <v>552</v>
      </c>
      <c r="C299" s="30" t="s">
        <v>219</v>
      </c>
      <c r="D299" s="30" t="s">
        <v>606</v>
      </c>
      <c r="E299" s="31" t="s">
        <v>383</v>
      </c>
      <c r="F299" s="31" t="s">
        <v>134</v>
      </c>
      <c r="G299" s="30" t="s">
        <v>81</v>
      </c>
      <c r="H299" s="30" t="s">
        <v>124</v>
      </c>
      <c r="I299" s="32">
        <v>45990</v>
      </c>
      <c r="J299" s="30" t="s">
        <v>108</v>
      </c>
      <c r="K299" s="32" t="s">
        <v>25</v>
      </c>
      <c r="L299" s="30" t="s">
        <v>223</v>
      </c>
      <c r="M299" s="30" t="s">
        <v>381</v>
      </c>
      <c r="N299" s="37" t="s">
        <v>81</v>
      </c>
      <c r="O299" s="34" t="s">
        <v>86</v>
      </c>
      <c r="P299" s="35" t="s">
        <v>304</v>
      </c>
      <c r="Q299" s="29" t="s">
        <v>555</v>
      </c>
    </row>
    <row r="300" spans="1:17" ht="14.25" customHeight="1" x14ac:dyDescent="0.3">
      <c r="A300" s="28">
        <v>45990</v>
      </c>
      <c r="B300" s="29" t="s">
        <v>552</v>
      </c>
      <c r="C300" s="30" t="s">
        <v>219</v>
      </c>
      <c r="D300" s="30" t="s">
        <v>607</v>
      </c>
      <c r="E300" s="31" t="s">
        <v>383</v>
      </c>
      <c r="F300" s="31" t="s">
        <v>134</v>
      </c>
      <c r="G300" s="30" t="s">
        <v>81</v>
      </c>
      <c r="H300" s="30" t="s">
        <v>124</v>
      </c>
      <c r="I300" s="32">
        <v>45990</v>
      </c>
      <c r="J300" s="30" t="s">
        <v>108</v>
      </c>
      <c r="K300" s="32" t="s">
        <v>25</v>
      </c>
      <c r="L300" s="30" t="s">
        <v>223</v>
      </c>
      <c r="M300" s="30" t="s">
        <v>381</v>
      </c>
      <c r="N300" s="37" t="s">
        <v>81</v>
      </c>
      <c r="O300" s="34" t="s">
        <v>86</v>
      </c>
      <c r="P300" s="35" t="s">
        <v>304</v>
      </c>
      <c r="Q300" s="29" t="s">
        <v>555</v>
      </c>
    </row>
    <row r="301" spans="1:17" ht="14.25" customHeight="1" x14ac:dyDescent="0.3">
      <c r="A301" s="28">
        <v>45990</v>
      </c>
      <c r="B301" s="29" t="s">
        <v>552</v>
      </c>
      <c r="C301" s="30" t="s">
        <v>103</v>
      </c>
      <c r="D301" s="30" t="s">
        <v>608</v>
      </c>
      <c r="E301" s="31" t="s">
        <v>609</v>
      </c>
      <c r="F301" s="31" t="s">
        <v>610</v>
      </c>
      <c r="G301" s="30" t="s">
        <v>81</v>
      </c>
      <c r="H301" s="30" t="s">
        <v>611</v>
      </c>
      <c r="I301" s="32">
        <v>45987</v>
      </c>
      <c r="J301" s="30" t="s">
        <v>83</v>
      </c>
      <c r="K301" s="32" t="s">
        <v>25</v>
      </c>
      <c r="L301" s="30" t="s">
        <v>114</v>
      </c>
      <c r="M301" s="30" t="s">
        <v>612</v>
      </c>
      <c r="N301" s="37" t="s">
        <v>81</v>
      </c>
      <c r="O301" s="34" t="s">
        <v>86</v>
      </c>
      <c r="P301" s="35" t="s">
        <v>304</v>
      </c>
      <c r="Q301" s="29" t="s">
        <v>555</v>
      </c>
    </row>
    <row r="302" spans="1:17" ht="14.25" customHeight="1" x14ac:dyDescent="0.3">
      <c r="A302" s="28">
        <v>45990</v>
      </c>
      <c r="B302" s="29" t="s">
        <v>552</v>
      </c>
      <c r="C302" s="30" t="s">
        <v>103</v>
      </c>
      <c r="D302" s="30" t="s">
        <v>613</v>
      </c>
      <c r="E302" s="31" t="s">
        <v>609</v>
      </c>
      <c r="F302" s="31" t="s">
        <v>610</v>
      </c>
      <c r="G302" s="30" t="s">
        <v>81</v>
      </c>
      <c r="H302" s="30" t="s">
        <v>611</v>
      </c>
      <c r="I302" s="32">
        <v>45987</v>
      </c>
      <c r="J302" s="30" t="s">
        <v>83</v>
      </c>
      <c r="K302" s="32" t="s">
        <v>25</v>
      </c>
      <c r="L302" s="30" t="s">
        <v>114</v>
      </c>
      <c r="M302" s="30" t="s">
        <v>612</v>
      </c>
      <c r="N302" s="37" t="s">
        <v>81</v>
      </c>
      <c r="O302" s="34" t="s">
        <v>86</v>
      </c>
      <c r="P302" s="35" t="s">
        <v>304</v>
      </c>
      <c r="Q302" s="29" t="s">
        <v>555</v>
      </c>
    </row>
    <row r="303" spans="1:17" ht="14.25" customHeight="1" x14ac:dyDescent="0.3">
      <c r="A303" s="28">
        <v>45997</v>
      </c>
      <c r="B303" s="29" t="s">
        <v>614</v>
      </c>
      <c r="C303" s="30" t="s">
        <v>103</v>
      </c>
      <c r="D303" s="30" t="s">
        <v>615</v>
      </c>
      <c r="E303" s="31" t="s">
        <v>208</v>
      </c>
      <c r="F303" s="31" t="s">
        <v>209</v>
      </c>
      <c r="G303" s="30" t="s">
        <v>81</v>
      </c>
      <c r="H303" s="30" t="s">
        <v>616</v>
      </c>
      <c r="I303" s="32">
        <v>45995</v>
      </c>
      <c r="J303" s="30" t="s">
        <v>83</v>
      </c>
      <c r="K303" s="32" t="s">
        <v>23</v>
      </c>
      <c r="L303" s="30" t="s">
        <v>114</v>
      </c>
      <c r="M303" s="30" t="s">
        <v>617</v>
      </c>
      <c r="N303" s="37" t="s">
        <v>81</v>
      </c>
      <c r="O303" s="34" t="s">
        <v>86</v>
      </c>
      <c r="P303" s="35" t="s">
        <v>304</v>
      </c>
      <c r="Q303" s="29" t="s">
        <v>618</v>
      </c>
    </row>
    <row r="304" spans="1:17" ht="14.25" customHeight="1" x14ac:dyDescent="0.3">
      <c r="A304" s="28">
        <v>45999</v>
      </c>
      <c r="B304" s="29" t="s">
        <v>614</v>
      </c>
      <c r="C304" s="30" t="s">
        <v>77</v>
      </c>
      <c r="D304" s="30" t="s">
        <v>619</v>
      </c>
      <c r="E304" s="31" t="s">
        <v>620</v>
      </c>
      <c r="F304" s="31" t="s">
        <v>253</v>
      </c>
      <c r="G304" s="30" t="s">
        <v>81</v>
      </c>
      <c r="H304" s="30" t="s">
        <v>621</v>
      </c>
      <c r="I304" s="32">
        <v>45997</v>
      </c>
      <c r="J304" s="30" t="s">
        <v>83</v>
      </c>
      <c r="K304" s="32" t="s">
        <v>31</v>
      </c>
      <c r="L304" s="30" t="s">
        <v>114</v>
      </c>
      <c r="M304" s="30" t="s">
        <v>85</v>
      </c>
      <c r="N304" s="37" t="s">
        <v>81</v>
      </c>
      <c r="O304" s="34" t="s">
        <v>86</v>
      </c>
      <c r="P304" s="35" t="s">
        <v>304</v>
      </c>
      <c r="Q304" s="29" t="s">
        <v>618</v>
      </c>
    </row>
    <row r="305" spans="1:17" ht="14.25" customHeight="1" x14ac:dyDescent="0.3">
      <c r="A305" s="28">
        <v>45999</v>
      </c>
      <c r="B305" s="29" t="s">
        <v>614</v>
      </c>
      <c r="C305" s="30" t="s">
        <v>103</v>
      </c>
      <c r="D305" s="30" t="s">
        <v>622</v>
      </c>
      <c r="E305" s="31" t="s">
        <v>623</v>
      </c>
      <c r="F305" s="31" t="s">
        <v>209</v>
      </c>
      <c r="G305" s="30" t="s">
        <v>81</v>
      </c>
      <c r="H305" s="30" t="s">
        <v>624</v>
      </c>
      <c r="I305" s="32">
        <v>45997</v>
      </c>
      <c r="J305" s="30" t="s">
        <v>83</v>
      </c>
      <c r="K305" s="32" t="s">
        <v>34</v>
      </c>
      <c r="L305" s="30" t="s">
        <v>114</v>
      </c>
      <c r="M305" s="30" t="s">
        <v>625</v>
      </c>
      <c r="N305" s="37" t="s">
        <v>81</v>
      </c>
      <c r="O305" s="34" t="s">
        <v>86</v>
      </c>
      <c r="P305" s="35" t="s">
        <v>304</v>
      </c>
      <c r="Q305" s="29" t="s">
        <v>618</v>
      </c>
    </row>
    <row r="306" spans="1:17" ht="14.25" customHeight="1" x14ac:dyDescent="0.3">
      <c r="A306" s="28">
        <v>45999</v>
      </c>
      <c r="B306" s="29" t="s">
        <v>614</v>
      </c>
      <c r="C306" s="30" t="s">
        <v>103</v>
      </c>
      <c r="D306" s="30" t="s">
        <v>626</v>
      </c>
      <c r="E306" s="31" t="s">
        <v>623</v>
      </c>
      <c r="F306" s="31" t="s">
        <v>209</v>
      </c>
      <c r="G306" s="30" t="s">
        <v>81</v>
      </c>
      <c r="H306" s="30" t="s">
        <v>624</v>
      </c>
      <c r="I306" s="32">
        <v>45997</v>
      </c>
      <c r="J306" s="30" t="s">
        <v>83</v>
      </c>
      <c r="K306" s="32" t="s">
        <v>34</v>
      </c>
      <c r="L306" s="30" t="s">
        <v>114</v>
      </c>
      <c r="M306" s="30" t="s">
        <v>625</v>
      </c>
      <c r="N306" s="37" t="s">
        <v>81</v>
      </c>
      <c r="O306" s="34" t="s">
        <v>86</v>
      </c>
      <c r="P306" s="35" t="s">
        <v>304</v>
      </c>
      <c r="Q306" s="29" t="s">
        <v>618</v>
      </c>
    </row>
    <row r="307" spans="1:17" ht="14.25" customHeight="1" x14ac:dyDescent="0.3">
      <c r="A307" s="28">
        <v>45999</v>
      </c>
      <c r="B307" s="29" t="s">
        <v>614</v>
      </c>
      <c r="C307" s="30" t="s">
        <v>103</v>
      </c>
      <c r="D307" s="30" t="s">
        <v>627</v>
      </c>
      <c r="E307" s="31" t="s">
        <v>623</v>
      </c>
      <c r="F307" s="31" t="s">
        <v>209</v>
      </c>
      <c r="G307" s="30" t="s">
        <v>81</v>
      </c>
      <c r="H307" s="30" t="s">
        <v>624</v>
      </c>
      <c r="I307" s="32">
        <v>45997</v>
      </c>
      <c r="J307" s="30" t="s">
        <v>83</v>
      </c>
      <c r="K307" s="32" t="s">
        <v>34</v>
      </c>
      <c r="L307" s="30" t="s">
        <v>114</v>
      </c>
      <c r="M307" s="30" t="s">
        <v>625</v>
      </c>
      <c r="N307" s="37" t="s">
        <v>81</v>
      </c>
      <c r="O307" s="34" t="s">
        <v>86</v>
      </c>
      <c r="P307" s="35" t="s">
        <v>304</v>
      </c>
      <c r="Q307" s="29" t="s">
        <v>618</v>
      </c>
    </row>
    <row r="308" spans="1:17" ht="14.25" customHeight="1" x14ac:dyDescent="0.3">
      <c r="A308" s="28">
        <v>45999</v>
      </c>
      <c r="B308" s="29" t="s">
        <v>614</v>
      </c>
      <c r="C308" s="30" t="s">
        <v>103</v>
      </c>
      <c r="D308" s="30" t="s">
        <v>628</v>
      </c>
      <c r="E308" s="31" t="s">
        <v>623</v>
      </c>
      <c r="F308" s="31" t="s">
        <v>209</v>
      </c>
      <c r="G308" s="30" t="s">
        <v>81</v>
      </c>
      <c r="H308" s="30" t="s">
        <v>624</v>
      </c>
      <c r="I308" s="32">
        <v>45997</v>
      </c>
      <c r="J308" s="30" t="s">
        <v>83</v>
      </c>
      <c r="K308" s="32" t="s">
        <v>34</v>
      </c>
      <c r="L308" s="30" t="s">
        <v>114</v>
      </c>
      <c r="M308" s="30" t="s">
        <v>625</v>
      </c>
      <c r="N308" s="37" t="s">
        <v>81</v>
      </c>
      <c r="O308" s="34" t="s">
        <v>86</v>
      </c>
      <c r="P308" s="35" t="s">
        <v>304</v>
      </c>
      <c r="Q308" s="29" t="s">
        <v>618</v>
      </c>
    </row>
    <row r="309" spans="1:17" ht="14.25" customHeight="1" x14ac:dyDescent="0.3">
      <c r="A309" s="28">
        <v>46000</v>
      </c>
      <c r="B309" s="29" t="s">
        <v>614</v>
      </c>
      <c r="C309" s="30" t="s">
        <v>219</v>
      </c>
      <c r="D309" s="30" t="s">
        <v>629</v>
      </c>
      <c r="E309" s="31" t="s">
        <v>326</v>
      </c>
      <c r="F309" s="31" t="s">
        <v>630</v>
      </c>
      <c r="G309" s="30" t="s">
        <v>81</v>
      </c>
      <c r="H309" s="30" t="s">
        <v>492</v>
      </c>
      <c r="I309" s="32">
        <v>45998</v>
      </c>
      <c r="J309" s="30" t="s">
        <v>83</v>
      </c>
      <c r="K309" s="32" t="s">
        <v>45</v>
      </c>
      <c r="L309" s="30" t="s">
        <v>84</v>
      </c>
      <c r="M309" s="30" t="s">
        <v>631</v>
      </c>
      <c r="N309" s="37" t="s">
        <v>81</v>
      </c>
      <c r="O309" s="34" t="s">
        <v>86</v>
      </c>
      <c r="P309" s="35" t="s">
        <v>304</v>
      </c>
      <c r="Q309" s="29" t="s">
        <v>618</v>
      </c>
    </row>
    <row r="310" spans="1:17" ht="14.25" customHeight="1" x14ac:dyDescent="0.3">
      <c r="A310" s="28">
        <v>46003</v>
      </c>
      <c r="B310" s="29" t="s">
        <v>614</v>
      </c>
      <c r="C310" s="30" t="s">
        <v>219</v>
      </c>
      <c r="D310" s="30" t="s">
        <v>632</v>
      </c>
      <c r="E310" s="31" t="s">
        <v>295</v>
      </c>
      <c r="F310" s="31" t="s">
        <v>134</v>
      </c>
      <c r="G310" s="30" t="s">
        <v>81</v>
      </c>
      <c r="H310" s="30" t="s">
        <v>544</v>
      </c>
      <c r="I310" s="32">
        <v>46002</v>
      </c>
      <c r="J310" s="30" t="s">
        <v>136</v>
      </c>
      <c r="K310" s="32" t="s">
        <v>44</v>
      </c>
      <c r="L310" s="30" t="s">
        <v>586</v>
      </c>
      <c r="M310" s="30" t="s">
        <v>138</v>
      </c>
      <c r="N310" s="37" t="s">
        <v>81</v>
      </c>
      <c r="O310" s="34" t="s">
        <v>86</v>
      </c>
      <c r="P310" s="35" t="s">
        <v>304</v>
      </c>
      <c r="Q310" s="29" t="s">
        <v>618</v>
      </c>
    </row>
    <row r="311" spans="1:17" ht="14.25" customHeight="1" x14ac:dyDescent="0.3">
      <c r="A311" s="28">
        <v>46003</v>
      </c>
      <c r="B311" s="29" t="s">
        <v>614</v>
      </c>
      <c r="C311" s="30" t="s">
        <v>219</v>
      </c>
      <c r="D311" s="30" t="s">
        <v>633</v>
      </c>
      <c r="E311" s="31" t="s">
        <v>295</v>
      </c>
      <c r="F311" s="31" t="s">
        <v>134</v>
      </c>
      <c r="G311" s="30" t="s">
        <v>81</v>
      </c>
      <c r="H311" s="30" t="s">
        <v>544</v>
      </c>
      <c r="I311" s="32">
        <v>46002</v>
      </c>
      <c r="J311" s="30" t="s">
        <v>136</v>
      </c>
      <c r="K311" s="32" t="s">
        <v>44</v>
      </c>
      <c r="L311" s="30" t="s">
        <v>586</v>
      </c>
      <c r="M311" s="30" t="s">
        <v>138</v>
      </c>
      <c r="N311" s="37" t="s">
        <v>81</v>
      </c>
      <c r="O311" s="34" t="s">
        <v>86</v>
      </c>
      <c r="P311" s="35" t="s">
        <v>304</v>
      </c>
      <c r="Q311" s="29" t="s">
        <v>618</v>
      </c>
    </row>
    <row r="312" spans="1:17" ht="14.25" customHeight="1" x14ac:dyDescent="0.3">
      <c r="A312" s="28">
        <v>46003</v>
      </c>
      <c r="B312" s="29" t="s">
        <v>614</v>
      </c>
      <c r="C312" s="30" t="s">
        <v>219</v>
      </c>
      <c r="D312" s="30" t="s">
        <v>634</v>
      </c>
      <c r="E312" s="31" t="s">
        <v>295</v>
      </c>
      <c r="F312" s="31" t="s">
        <v>134</v>
      </c>
      <c r="G312" s="30" t="s">
        <v>81</v>
      </c>
      <c r="H312" s="30" t="s">
        <v>544</v>
      </c>
      <c r="I312" s="32">
        <v>46002</v>
      </c>
      <c r="J312" s="30" t="s">
        <v>136</v>
      </c>
      <c r="K312" s="32" t="s">
        <v>44</v>
      </c>
      <c r="L312" s="30" t="s">
        <v>586</v>
      </c>
      <c r="M312" s="30" t="s">
        <v>138</v>
      </c>
      <c r="N312" s="37" t="s">
        <v>81</v>
      </c>
      <c r="O312" s="34" t="s">
        <v>86</v>
      </c>
      <c r="P312" s="35" t="s">
        <v>304</v>
      </c>
      <c r="Q312" s="29" t="s">
        <v>618</v>
      </c>
    </row>
    <row r="313" spans="1:17" ht="14.25" customHeight="1" x14ac:dyDescent="0.3">
      <c r="A313" s="28">
        <v>46003</v>
      </c>
      <c r="B313" s="29" t="s">
        <v>614</v>
      </c>
      <c r="C313" s="30" t="s">
        <v>219</v>
      </c>
      <c r="D313" s="30" t="s">
        <v>635</v>
      </c>
      <c r="E313" s="31" t="s">
        <v>295</v>
      </c>
      <c r="F313" s="31" t="s">
        <v>134</v>
      </c>
      <c r="G313" s="30" t="s">
        <v>81</v>
      </c>
      <c r="H313" s="30" t="s">
        <v>544</v>
      </c>
      <c r="I313" s="32">
        <v>46002</v>
      </c>
      <c r="J313" s="30" t="s">
        <v>136</v>
      </c>
      <c r="K313" s="32" t="s">
        <v>44</v>
      </c>
      <c r="L313" s="30" t="s">
        <v>586</v>
      </c>
      <c r="M313" s="30" t="s">
        <v>138</v>
      </c>
      <c r="N313" s="37" t="s">
        <v>81</v>
      </c>
      <c r="O313" s="34" t="s">
        <v>86</v>
      </c>
      <c r="P313" s="35" t="s">
        <v>304</v>
      </c>
      <c r="Q313" s="29" t="s">
        <v>618</v>
      </c>
    </row>
    <row r="314" spans="1:17" ht="14.25" customHeight="1" x14ac:dyDescent="0.3">
      <c r="A314" s="28">
        <v>46003</v>
      </c>
      <c r="B314" s="29" t="s">
        <v>614</v>
      </c>
      <c r="C314" s="30" t="s">
        <v>219</v>
      </c>
      <c r="D314" s="30" t="s">
        <v>636</v>
      </c>
      <c r="E314" s="31" t="s">
        <v>295</v>
      </c>
      <c r="F314" s="31" t="s">
        <v>134</v>
      </c>
      <c r="G314" s="30" t="s">
        <v>81</v>
      </c>
      <c r="H314" s="30" t="s">
        <v>544</v>
      </c>
      <c r="I314" s="32">
        <v>46002</v>
      </c>
      <c r="J314" s="30" t="s">
        <v>136</v>
      </c>
      <c r="K314" s="32" t="s">
        <v>44</v>
      </c>
      <c r="L314" s="30" t="s">
        <v>586</v>
      </c>
      <c r="M314" s="30" t="s">
        <v>138</v>
      </c>
      <c r="N314" s="37" t="s">
        <v>81</v>
      </c>
      <c r="O314" s="34" t="s">
        <v>86</v>
      </c>
      <c r="P314" s="35" t="s">
        <v>304</v>
      </c>
      <c r="Q314" s="29" t="s">
        <v>618</v>
      </c>
    </row>
    <row r="315" spans="1:17" ht="14.25" customHeight="1" x14ac:dyDescent="0.3">
      <c r="A315" s="28">
        <v>46003</v>
      </c>
      <c r="B315" s="29" t="s">
        <v>614</v>
      </c>
      <c r="C315" s="30" t="s">
        <v>103</v>
      </c>
      <c r="D315" s="30" t="s">
        <v>637</v>
      </c>
      <c r="E315" s="31" t="s">
        <v>241</v>
      </c>
      <c r="F315" s="31" t="s">
        <v>242</v>
      </c>
      <c r="G315" s="30" t="s">
        <v>81</v>
      </c>
      <c r="H315" s="30" t="s">
        <v>243</v>
      </c>
      <c r="I315" s="32">
        <v>46002</v>
      </c>
      <c r="J315" s="30" t="s">
        <v>136</v>
      </c>
      <c r="K315" s="32" t="s">
        <v>44</v>
      </c>
      <c r="L315" s="30" t="s">
        <v>586</v>
      </c>
      <c r="M315" s="30" t="s">
        <v>244</v>
      </c>
      <c r="N315" s="37" t="s">
        <v>81</v>
      </c>
      <c r="O315" s="34" t="s">
        <v>86</v>
      </c>
      <c r="P315" s="35" t="s">
        <v>304</v>
      </c>
      <c r="Q315" s="29" t="s">
        <v>618</v>
      </c>
    </row>
    <row r="316" spans="1:17" ht="14.25" customHeight="1" x14ac:dyDescent="0.3">
      <c r="A316" s="28">
        <v>46003</v>
      </c>
      <c r="B316" s="29" t="s">
        <v>614</v>
      </c>
      <c r="C316" s="30" t="s">
        <v>219</v>
      </c>
      <c r="D316" s="30" t="s">
        <v>638</v>
      </c>
      <c r="E316" s="31" t="s">
        <v>226</v>
      </c>
      <c r="F316" s="31" t="s">
        <v>410</v>
      </c>
      <c r="G316" s="30" t="s">
        <v>81</v>
      </c>
      <c r="H316" s="30" t="s">
        <v>227</v>
      </c>
      <c r="I316" s="32">
        <v>46003</v>
      </c>
      <c r="J316" s="30" t="s">
        <v>136</v>
      </c>
      <c r="K316" s="32" t="s">
        <v>25</v>
      </c>
      <c r="L316" s="30" t="s">
        <v>586</v>
      </c>
      <c r="M316" s="30" t="s">
        <v>101</v>
      </c>
      <c r="N316" s="37" t="s">
        <v>81</v>
      </c>
      <c r="O316" s="34" t="s">
        <v>86</v>
      </c>
      <c r="P316" s="35" t="s">
        <v>304</v>
      </c>
      <c r="Q316" s="29" t="s">
        <v>618</v>
      </c>
    </row>
    <row r="317" spans="1:17" ht="14.25" customHeight="1" x14ac:dyDescent="0.3">
      <c r="A317" s="28">
        <v>46003</v>
      </c>
      <c r="B317" s="29" t="s">
        <v>614</v>
      </c>
      <c r="C317" s="30" t="s">
        <v>219</v>
      </c>
      <c r="D317" s="30" t="s">
        <v>639</v>
      </c>
      <c r="E317" s="31" t="s">
        <v>226</v>
      </c>
      <c r="F317" s="31" t="s">
        <v>410</v>
      </c>
      <c r="G317" s="30" t="s">
        <v>81</v>
      </c>
      <c r="H317" s="30" t="s">
        <v>227</v>
      </c>
      <c r="I317" s="32">
        <v>46003</v>
      </c>
      <c r="J317" s="30" t="s">
        <v>136</v>
      </c>
      <c r="K317" s="32" t="s">
        <v>25</v>
      </c>
      <c r="L317" s="30" t="s">
        <v>586</v>
      </c>
      <c r="M317" s="30" t="s">
        <v>101</v>
      </c>
      <c r="N317" s="37" t="s">
        <v>81</v>
      </c>
      <c r="O317" s="34" t="s">
        <v>86</v>
      </c>
      <c r="P317" s="35" t="s">
        <v>304</v>
      </c>
      <c r="Q317" s="29" t="s">
        <v>618</v>
      </c>
    </row>
    <row r="318" spans="1:17" ht="14.25" customHeight="1" x14ac:dyDescent="0.3">
      <c r="A318" s="28">
        <v>46003</v>
      </c>
      <c r="B318" s="29" t="s">
        <v>614</v>
      </c>
      <c r="C318" s="30" t="s">
        <v>219</v>
      </c>
      <c r="D318" s="30" t="s">
        <v>640</v>
      </c>
      <c r="E318" s="31" t="s">
        <v>226</v>
      </c>
      <c r="F318" s="31" t="s">
        <v>410</v>
      </c>
      <c r="G318" s="30" t="s">
        <v>81</v>
      </c>
      <c r="H318" s="30" t="s">
        <v>227</v>
      </c>
      <c r="I318" s="32">
        <v>46003</v>
      </c>
      <c r="J318" s="30" t="s">
        <v>136</v>
      </c>
      <c r="K318" s="32" t="s">
        <v>25</v>
      </c>
      <c r="L318" s="30" t="s">
        <v>586</v>
      </c>
      <c r="M318" s="30" t="s">
        <v>101</v>
      </c>
      <c r="N318" s="37" t="s">
        <v>81</v>
      </c>
      <c r="O318" s="34" t="s">
        <v>86</v>
      </c>
      <c r="P318" s="35" t="s">
        <v>304</v>
      </c>
      <c r="Q318" s="29" t="s">
        <v>618</v>
      </c>
    </row>
    <row r="319" spans="1:17" ht="14.25" customHeight="1" x14ac:dyDescent="0.3">
      <c r="A319" s="28">
        <v>46003</v>
      </c>
      <c r="B319" s="29" t="s">
        <v>614</v>
      </c>
      <c r="C319" s="30" t="s">
        <v>219</v>
      </c>
      <c r="D319" s="30" t="s">
        <v>641</v>
      </c>
      <c r="E319" s="31" t="s">
        <v>226</v>
      </c>
      <c r="F319" s="31" t="s">
        <v>410</v>
      </c>
      <c r="G319" s="30" t="s">
        <v>81</v>
      </c>
      <c r="H319" s="30" t="s">
        <v>227</v>
      </c>
      <c r="I319" s="32">
        <v>46003</v>
      </c>
      <c r="J319" s="30" t="s">
        <v>136</v>
      </c>
      <c r="K319" s="32" t="s">
        <v>25</v>
      </c>
      <c r="L319" s="30" t="s">
        <v>586</v>
      </c>
      <c r="M319" s="30" t="s">
        <v>101</v>
      </c>
      <c r="N319" s="37" t="s">
        <v>81</v>
      </c>
      <c r="O319" s="34" t="s">
        <v>86</v>
      </c>
      <c r="P319" s="35" t="s">
        <v>304</v>
      </c>
      <c r="Q319" s="29" t="s">
        <v>618</v>
      </c>
    </row>
    <row r="320" spans="1:17" ht="14.25" customHeight="1" x14ac:dyDescent="0.3">
      <c r="A320" s="28">
        <v>46004</v>
      </c>
      <c r="B320" s="29" t="s">
        <v>614</v>
      </c>
      <c r="C320" s="30" t="s">
        <v>219</v>
      </c>
      <c r="D320" s="30" t="s">
        <v>642</v>
      </c>
      <c r="E320" s="31" t="s">
        <v>221</v>
      </c>
      <c r="F320" s="31" t="s">
        <v>410</v>
      </c>
      <c r="G320" s="30" t="s">
        <v>112</v>
      </c>
      <c r="H320" s="30" t="s">
        <v>166</v>
      </c>
      <c r="I320" s="32">
        <v>46004</v>
      </c>
      <c r="J320" s="30" t="s">
        <v>108</v>
      </c>
      <c r="K320" s="32" t="s">
        <v>25</v>
      </c>
      <c r="L320" s="30" t="s">
        <v>223</v>
      </c>
      <c r="M320" s="30" t="s">
        <v>101</v>
      </c>
      <c r="N320" s="37">
        <v>1490</v>
      </c>
      <c r="O320" s="34" t="s">
        <v>86</v>
      </c>
      <c r="P320" s="35" t="s">
        <v>304</v>
      </c>
      <c r="Q320" s="29" t="s">
        <v>618</v>
      </c>
    </row>
    <row r="321" spans="1:17" ht="14.25" customHeight="1" x14ac:dyDescent="0.3">
      <c r="A321" s="28">
        <v>46004</v>
      </c>
      <c r="B321" s="29" t="s">
        <v>614</v>
      </c>
      <c r="C321" s="30" t="s">
        <v>219</v>
      </c>
      <c r="D321" s="30" t="s">
        <v>643</v>
      </c>
      <c r="E321" s="31" t="s">
        <v>221</v>
      </c>
      <c r="F321" s="31" t="s">
        <v>410</v>
      </c>
      <c r="G321" s="30" t="s">
        <v>112</v>
      </c>
      <c r="H321" s="30" t="s">
        <v>166</v>
      </c>
      <c r="I321" s="32">
        <v>46004</v>
      </c>
      <c r="J321" s="30" t="s">
        <v>108</v>
      </c>
      <c r="K321" s="32" t="s">
        <v>25</v>
      </c>
      <c r="L321" s="30" t="s">
        <v>223</v>
      </c>
      <c r="M321" s="30" t="s">
        <v>101</v>
      </c>
      <c r="N321" s="37">
        <v>1490</v>
      </c>
      <c r="O321" s="34" t="s">
        <v>86</v>
      </c>
      <c r="P321" s="35" t="s">
        <v>304</v>
      </c>
      <c r="Q321" s="29" t="s">
        <v>618</v>
      </c>
    </row>
    <row r="322" spans="1:17" ht="14.25" customHeight="1" x14ac:dyDescent="0.3">
      <c r="A322" s="28">
        <v>46005</v>
      </c>
      <c r="B322" s="29" t="s">
        <v>614</v>
      </c>
      <c r="C322" s="30" t="s">
        <v>219</v>
      </c>
      <c r="D322" s="30" t="s">
        <v>644</v>
      </c>
      <c r="E322" s="31" t="s">
        <v>292</v>
      </c>
      <c r="F322" s="31" t="s">
        <v>293</v>
      </c>
      <c r="G322" s="30" t="s">
        <v>81</v>
      </c>
      <c r="H322" s="30" t="s">
        <v>645</v>
      </c>
      <c r="I322" s="32">
        <v>46003</v>
      </c>
      <c r="J322" s="30" t="s">
        <v>83</v>
      </c>
      <c r="K322" s="32" t="s">
        <v>34</v>
      </c>
      <c r="L322" s="30" t="s">
        <v>114</v>
      </c>
      <c r="M322" s="30" t="s">
        <v>646</v>
      </c>
      <c r="N322" s="37" t="s">
        <v>81</v>
      </c>
      <c r="O322" s="34" t="s">
        <v>86</v>
      </c>
      <c r="P322" s="35" t="s">
        <v>304</v>
      </c>
      <c r="Q322" s="29" t="s">
        <v>618</v>
      </c>
    </row>
    <row r="323" spans="1:17" ht="14.25" customHeight="1" x14ac:dyDescent="0.3">
      <c r="A323" s="28">
        <v>46005</v>
      </c>
      <c r="B323" s="29" t="s">
        <v>614</v>
      </c>
      <c r="C323" s="30" t="s">
        <v>103</v>
      </c>
      <c r="D323" s="30" t="s">
        <v>647</v>
      </c>
      <c r="E323" s="31" t="s">
        <v>236</v>
      </c>
      <c r="F323" s="31" t="s">
        <v>237</v>
      </c>
      <c r="G323" s="30" t="s">
        <v>81</v>
      </c>
      <c r="H323" s="30" t="s">
        <v>648</v>
      </c>
      <c r="I323" s="32">
        <v>46006</v>
      </c>
      <c r="J323" s="30" t="s">
        <v>136</v>
      </c>
      <c r="K323" s="32" t="s">
        <v>44</v>
      </c>
      <c r="L323" s="30" t="s">
        <v>586</v>
      </c>
      <c r="M323" s="30" t="s">
        <v>239</v>
      </c>
      <c r="N323" s="37" t="s">
        <v>81</v>
      </c>
      <c r="O323" s="34" t="s">
        <v>86</v>
      </c>
      <c r="P323" s="35" t="s">
        <v>304</v>
      </c>
      <c r="Q323" s="29" t="s">
        <v>618</v>
      </c>
    </row>
    <row r="324" spans="1:17" ht="14.25" customHeight="1" x14ac:dyDescent="0.3">
      <c r="A324" s="28">
        <v>46005</v>
      </c>
      <c r="B324" s="29" t="s">
        <v>614</v>
      </c>
      <c r="C324" s="30" t="s">
        <v>103</v>
      </c>
      <c r="D324" s="30" t="s">
        <v>649</v>
      </c>
      <c r="E324" s="31" t="s">
        <v>236</v>
      </c>
      <c r="F324" s="31" t="s">
        <v>237</v>
      </c>
      <c r="G324" s="30" t="s">
        <v>81</v>
      </c>
      <c r="H324" s="30" t="s">
        <v>648</v>
      </c>
      <c r="I324" s="32">
        <v>46006</v>
      </c>
      <c r="J324" s="30" t="s">
        <v>136</v>
      </c>
      <c r="K324" s="32" t="s">
        <v>44</v>
      </c>
      <c r="L324" s="30" t="s">
        <v>586</v>
      </c>
      <c r="M324" s="30" t="s">
        <v>239</v>
      </c>
      <c r="N324" s="37" t="s">
        <v>81</v>
      </c>
      <c r="O324" s="34" t="s">
        <v>86</v>
      </c>
      <c r="P324" s="35" t="s">
        <v>304</v>
      </c>
      <c r="Q324" s="29" t="s">
        <v>618</v>
      </c>
    </row>
    <row r="325" spans="1:17" ht="14.25" customHeight="1" x14ac:dyDescent="0.3">
      <c r="A325" s="28">
        <v>46007</v>
      </c>
      <c r="B325" s="29" t="s">
        <v>614</v>
      </c>
      <c r="C325" s="30" t="s">
        <v>219</v>
      </c>
      <c r="D325" s="30" t="s">
        <v>650</v>
      </c>
      <c r="E325" s="31" t="s">
        <v>326</v>
      </c>
      <c r="F325" s="31" t="s">
        <v>630</v>
      </c>
      <c r="G325" s="30" t="s">
        <v>81</v>
      </c>
      <c r="H325" s="30" t="s">
        <v>492</v>
      </c>
      <c r="I325" s="32">
        <v>46006</v>
      </c>
      <c r="J325" s="30" t="s">
        <v>83</v>
      </c>
      <c r="K325" s="32" t="s">
        <v>32</v>
      </c>
      <c r="L325" s="30" t="s">
        <v>114</v>
      </c>
      <c r="M325" s="30" t="s">
        <v>631</v>
      </c>
      <c r="N325" s="37" t="s">
        <v>81</v>
      </c>
      <c r="O325" s="34" t="s">
        <v>86</v>
      </c>
      <c r="P325" s="35" t="s">
        <v>304</v>
      </c>
      <c r="Q325" s="29" t="s">
        <v>618</v>
      </c>
    </row>
    <row r="326" spans="1:17" ht="14.25" customHeight="1" x14ac:dyDescent="0.3">
      <c r="A326" s="28">
        <v>46015</v>
      </c>
      <c r="B326" s="29" t="s">
        <v>614</v>
      </c>
      <c r="C326" s="30" t="s">
        <v>103</v>
      </c>
      <c r="D326" s="30" t="s">
        <v>651</v>
      </c>
      <c r="E326" s="31" t="s">
        <v>164</v>
      </c>
      <c r="F326" s="31" t="s">
        <v>165</v>
      </c>
      <c r="G326" s="30" t="s">
        <v>81</v>
      </c>
      <c r="H326" s="30" t="s">
        <v>513</v>
      </c>
      <c r="I326" s="32">
        <v>46013</v>
      </c>
      <c r="J326" s="30" t="s">
        <v>83</v>
      </c>
      <c r="K326" s="32" t="s">
        <v>42</v>
      </c>
      <c r="L326" s="30" t="s">
        <v>114</v>
      </c>
      <c r="M326" s="30" t="s">
        <v>167</v>
      </c>
      <c r="N326" s="37" t="s">
        <v>81</v>
      </c>
      <c r="O326" s="34" t="s">
        <v>86</v>
      </c>
      <c r="P326" s="35" t="s">
        <v>304</v>
      </c>
      <c r="Q326" s="29" t="s">
        <v>618</v>
      </c>
    </row>
    <row r="327" spans="1:17" ht="14.25" customHeight="1" x14ac:dyDescent="0.3">
      <c r="A327" s="28">
        <v>46015</v>
      </c>
      <c r="B327" s="29" t="s">
        <v>614</v>
      </c>
      <c r="C327" s="30" t="s">
        <v>103</v>
      </c>
      <c r="D327" s="30" t="s">
        <v>652</v>
      </c>
      <c r="E327" s="31" t="s">
        <v>164</v>
      </c>
      <c r="F327" s="31" t="s">
        <v>165</v>
      </c>
      <c r="G327" s="30" t="s">
        <v>81</v>
      </c>
      <c r="H327" s="30" t="s">
        <v>513</v>
      </c>
      <c r="I327" s="32">
        <v>46013</v>
      </c>
      <c r="J327" s="30" t="s">
        <v>83</v>
      </c>
      <c r="K327" s="32" t="s">
        <v>42</v>
      </c>
      <c r="L327" s="30" t="s">
        <v>114</v>
      </c>
      <c r="M327" s="30" t="s">
        <v>167</v>
      </c>
      <c r="N327" s="37" t="s">
        <v>81</v>
      </c>
      <c r="O327" s="34" t="s">
        <v>86</v>
      </c>
      <c r="P327" s="35" t="s">
        <v>304</v>
      </c>
      <c r="Q327" s="29" t="s">
        <v>618</v>
      </c>
    </row>
    <row r="328" spans="1:17" ht="14.25" customHeight="1" x14ac:dyDescent="0.3">
      <c r="A328" s="28">
        <v>46018</v>
      </c>
      <c r="B328" s="29" t="s">
        <v>614</v>
      </c>
      <c r="C328" s="30" t="s">
        <v>103</v>
      </c>
      <c r="D328" s="30" t="s">
        <v>653</v>
      </c>
      <c r="E328" s="31" t="s">
        <v>350</v>
      </c>
      <c r="F328" s="31" t="s">
        <v>351</v>
      </c>
      <c r="G328" s="30" t="s">
        <v>81</v>
      </c>
      <c r="H328" s="30" t="s">
        <v>513</v>
      </c>
      <c r="I328" s="32">
        <v>46015</v>
      </c>
      <c r="J328" s="30" t="s">
        <v>83</v>
      </c>
      <c r="K328" s="32" t="s">
        <v>34</v>
      </c>
      <c r="L328" s="30" t="s">
        <v>114</v>
      </c>
      <c r="M328" s="30" t="s">
        <v>524</v>
      </c>
      <c r="N328" s="37" t="s">
        <v>81</v>
      </c>
      <c r="O328" s="34" t="s">
        <v>86</v>
      </c>
      <c r="P328" s="35" t="s">
        <v>304</v>
      </c>
      <c r="Q328" s="29" t="s">
        <v>618</v>
      </c>
    </row>
    <row r="329" spans="1:17" ht="14.25" customHeight="1" x14ac:dyDescent="0.3">
      <c r="A329" s="28">
        <v>46018</v>
      </c>
      <c r="B329" s="29" t="s">
        <v>614</v>
      </c>
      <c r="C329" s="30" t="s">
        <v>103</v>
      </c>
      <c r="D329" s="30" t="s">
        <v>654</v>
      </c>
      <c r="E329" s="31" t="s">
        <v>350</v>
      </c>
      <c r="F329" s="31" t="s">
        <v>351</v>
      </c>
      <c r="G329" s="30" t="s">
        <v>81</v>
      </c>
      <c r="H329" s="30" t="s">
        <v>513</v>
      </c>
      <c r="I329" s="32">
        <v>46015</v>
      </c>
      <c r="J329" s="30" t="s">
        <v>83</v>
      </c>
      <c r="K329" s="32" t="s">
        <v>34</v>
      </c>
      <c r="L329" s="30" t="s">
        <v>114</v>
      </c>
      <c r="M329" s="30" t="s">
        <v>524</v>
      </c>
      <c r="N329" s="37" t="s">
        <v>81</v>
      </c>
      <c r="O329" s="34" t="s">
        <v>86</v>
      </c>
      <c r="P329" s="35" t="s">
        <v>304</v>
      </c>
      <c r="Q329" s="29" t="s">
        <v>618</v>
      </c>
    </row>
    <row r="330" spans="1:17" ht="14.25" customHeight="1" x14ac:dyDescent="0.3">
      <c r="A330" s="28">
        <v>46018</v>
      </c>
      <c r="B330" s="29" t="s">
        <v>614</v>
      </c>
      <c r="C330" s="30" t="s">
        <v>103</v>
      </c>
      <c r="D330" s="30" t="s">
        <v>655</v>
      </c>
      <c r="E330" s="31" t="s">
        <v>350</v>
      </c>
      <c r="F330" s="31" t="s">
        <v>351</v>
      </c>
      <c r="G330" s="30" t="s">
        <v>81</v>
      </c>
      <c r="H330" s="30" t="s">
        <v>513</v>
      </c>
      <c r="I330" s="32">
        <v>46015</v>
      </c>
      <c r="J330" s="30" t="s">
        <v>83</v>
      </c>
      <c r="K330" s="32" t="s">
        <v>34</v>
      </c>
      <c r="L330" s="30" t="s">
        <v>114</v>
      </c>
      <c r="M330" s="30" t="s">
        <v>524</v>
      </c>
      <c r="N330" s="37" t="s">
        <v>81</v>
      </c>
      <c r="O330" s="34" t="s">
        <v>86</v>
      </c>
      <c r="P330" s="35" t="s">
        <v>304</v>
      </c>
      <c r="Q330" s="29" t="s">
        <v>618</v>
      </c>
    </row>
    <row r="331" spans="1:17" ht="14.25" customHeight="1" x14ac:dyDescent="0.3">
      <c r="A331" s="28">
        <v>46019</v>
      </c>
      <c r="B331" s="29" t="s">
        <v>614</v>
      </c>
      <c r="C331" s="30" t="s">
        <v>103</v>
      </c>
      <c r="D331" s="30" t="s">
        <v>656</v>
      </c>
      <c r="E331" s="31" t="s">
        <v>433</v>
      </c>
      <c r="F331" s="31" t="s">
        <v>657</v>
      </c>
      <c r="G331" s="30" t="s">
        <v>81</v>
      </c>
      <c r="H331" s="30" t="s">
        <v>238</v>
      </c>
      <c r="I331" s="32">
        <v>46017</v>
      </c>
      <c r="J331" s="30" t="s">
        <v>83</v>
      </c>
      <c r="K331" s="32" t="s">
        <v>44</v>
      </c>
      <c r="L331" s="30" t="s">
        <v>84</v>
      </c>
      <c r="M331" s="30" t="s">
        <v>658</v>
      </c>
      <c r="N331" s="37" t="s">
        <v>81</v>
      </c>
      <c r="O331" s="34" t="s">
        <v>86</v>
      </c>
      <c r="P331" s="35" t="s">
        <v>304</v>
      </c>
      <c r="Q331" s="29" t="s">
        <v>618</v>
      </c>
    </row>
    <row r="332" spans="1:17" ht="14.25" customHeight="1" x14ac:dyDescent="0.3">
      <c r="A332" s="28">
        <v>46020</v>
      </c>
      <c r="B332" s="29" t="s">
        <v>614</v>
      </c>
      <c r="C332" s="30" t="s">
        <v>77</v>
      </c>
      <c r="D332" s="30" t="s">
        <v>659</v>
      </c>
      <c r="E332" s="31" t="s">
        <v>369</v>
      </c>
      <c r="F332" s="31" t="s">
        <v>80</v>
      </c>
      <c r="G332" s="30" t="s">
        <v>112</v>
      </c>
      <c r="H332" s="30" t="s">
        <v>124</v>
      </c>
      <c r="I332" s="32">
        <v>46019</v>
      </c>
      <c r="J332" s="30" t="s">
        <v>83</v>
      </c>
      <c r="K332" s="32" t="s">
        <v>30</v>
      </c>
      <c r="L332" s="30"/>
      <c r="M332" s="30"/>
      <c r="N332" s="37">
        <v>975</v>
      </c>
      <c r="O332" s="34" t="s">
        <v>86</v>
      </c>
      <c r="P332" s="35" t="s">
        <v>304</v>
      </c>
      <c r="Q332" s="29" t="s">
        <v>618</v>
      </c>
    </row>
    <row r="333" spans="1:17" ht="14.25" customHeight="1" x14ac:dyDescent="0.3">
      <c r="A333" s="28">
        <v>46021</v>
      </c>
      <c r="B333" s="29" t="s">
        <v>614</v>
      </c>
      <c r="C333" s="30" t="s">
        <v>219</v>
      </c>
      <c r="D333" s="30" t="s">
        <v>660</v>
      </c>
      <c r="E333" s="31" t="s">
        <v>537</v>
      </c>
      <c r="F333" s="31" t="s">
        <v>538</v>
      </c>
      <c r="G333" s="30" t="s">
        <v>112</v>
      </c>
      <c r="H333" s="30" t="s">
        <v>661</v>
      </c>
      <c r="I333" s="32">
        <v>46020</v>
      </c>
      <c r="J333" s="30" t="s">
        <v>136</v>
      </c>
      <c r="K333" s="32" t="s">
        <v>44</v>
      </c>
      <c r="L333" s="30" t="s">
        <v>586</v>
      </c>
      <c r="M333" s="30" t="s">
        <v>662</v>
      </c>
      <c r="N333" s="37">
        <v>2290</v>
      </c>
      <c r="O333" s="34" t="s">
        <v>86</v>
      </c>
      <c r="P333" s="35" t="s">
        <v>304</v>
      </c>
      <c r="Q333" s="29" t="s">
        <v>618</v>
      </c>
    </row>
    <row r="334" spans="1:17" ht="14.25" customHeight="1" x14ac:dyDescent="0.3">
      <c r="A334" s="28">
        <v>46021</v>
      </c>
      <c r="B334" s="29" t="s">
        <v>614</v>
      </c>
      <c r="C334" s="30" t="s">
        <v>219</v>
      </c>
      <c r="D334" s="30" t="s">
        <v>663</v>
      </c>
      <c r="E334" s="31" t="s">
        <v>537</v>
      </c>
      <c r="F334" s="31" t="s">
        <v>538</v>
      </c>
      <c r="G334" s="30" t="s">
        <v>112</v>
      </c>
      <c r="H334" s="30" t="s">
        <v>661</v>
      </c>
      <c r="I334" s="32">
        <v>46020</v>
      </c>
      <c r="J334" s="30" t="s">
        <v>136</v>
      </c>
      <c r="K334" s="32" t="s">
        <v>44</v>
      </c>
      <c r="L334" s="30" t="s">
        <v>586</v>
      </c>
      <c r="M334" s="30" t="s">
        <v>662</v>
      </c>
      <c r="N334" s="37">
        <v>2290</v>
      </c>
      <c r="O334" s="34" t="s">
        <v>86</v>
      </c>
      <c r="P334" s="35" t="s">
        <v>304</v>
      </c>
      <c r="Q334" s="29" t="s">
        <v>618</v>
      </c>
    </row>
    <row r="335" spans="1:17" ht="14.25" customHeight="1" x14ac:dyDescent="0.3">
      <c r="A335" s="28">
        <v>46021</v>
      </c>
      <c r="B335" s="29" t="s">
        <v>614</v>
      </c>
      <c r="C335" s="30" t="s">
        <v>103</v>
      </c>
      <c r="D335" s="30" t="s">
        <v>664</v>
      </c>
      <c r="E335" s="31" t="s">
        <v>105</v>
      </c>
      <c r="F335" s="31" t="s">
        <v>320</v>
      </c>
      <c r="G335" s="30" t="s">
        <v>112</v>
      </c>
      <c r="H335" s="30" t="s">
        <v>147</v>
      </c>
      <c r="I335" s="32">
        <v>46020</v>
      </c>
      <c r="J335" s="30" t="s">
        <v>108</v>
      </c>
      <c r="K335" s="32" t="s">
        <v>34</v>
      </c>
      <c r="L335" s="30" t="s">
        <v>586</v>
      </c>
      <c r="M335" s="30" t="s">
        <v>109</v>
      </c>
      <c r="N335" s="37">
        <v>1095</v>
      </c>
      <c r="O335" s="34" t="s">
        <v>86</v>
      </c>
      <c r="P335" s="35" t="s">
        <v>304</v>
      </c>
      <c r="Q335" s="29" t="s">
        <v>618</v>
      </c>
    </row>
    <row r="336" spans="1:17" ht="14.25" customHeight="1" x14ac:dyDescent="0.3">
      <c r="A336" s="28">
        <v>46021</v>
      </c>
      <c r="B336" s="29" t="s">
        <v>614</v>
      </c>
      <c r="C336" s="30" t="s">
        <v>77</v>
      </c>
      <c r="D336" s="30" t="s">
        <v>665</v>
      </c>
      <c r="E336" s="31" t="s">
        <v>666</v>
      </c>
      <c r="F336" s="31" t="s">
        <v>667</v>
      </c>
      <c r="G336" s="30" t="s">
        <v>81</v>
      </c>
      <c r="H336" s="30" t="s">
        <v>668</v>
      </c>
      <c r="I336" s="32">
        <v>46021</v>
      </c>
      <c r="J336" s="30" t="s">
        <v>136</v>
      </c>
      <c r="K336" s="32" t="s">
        <v>25</v>
      </c>
      <c r="L336" s="30" t="s">
        <v>586</v>
      </c>
      <c r="M336" s="30" t="s">
        <v>669</v>
      </c>
      <c r="N336" s="37" t="s">
        <v>81</v>
      </c>
      <c r="O336" s="34" t="s">
        <v>86</v>
      </c>
      <c r="P336" s="35" t="s">
        <v>304</v>
      </c>
      <c r="Q336" s="29" t="s">
        <v>618</v>
      </c>
    </row>
    <row r="337" spans="1:17" ht="14.25" customHeight="1" x14ac:dyDescent="0.3">
      <c r="A337" s="28">
        <v>46021</v>
      </c>
      <c r="B337" s="29" t="s">
        <v>614</v>
      </c>
      <c r="C337" s="30" t="s">
        <v>77</v>
      </c>
      <c r="D337" s="30" t="s">
        <v>670</v>
      </c>
      <c r="E337" s="31" t="s">
        <v>666</v>
      </c>
      <c r="F337" s="31" t="s">
        <v>667</v>
      </c>
      <c r="G337" s="30" t="s">
        <v>81</v>
      </c>
      <c r="H337" s="30" t="s">
        <v>668</v>
      </c>
      <c r="I337" s="32">
        <v>46021</v>
      </c>
      <c r="J337" s="30" t="s">
        <v>136</v>
      </c>
      <c r="K337" s="32" t="s">
        <v>25</v>
      </c>
      <c r="L337" s="30" t="s">
        <v>586</v>
      </c>
      <c r="M337" s="30" t="s">
        <v>669</v>
      </c>
      <c r="N337" s="37" t="s">
        <v>81</v>
      </c>
      <c r="O337" s="34" t="s">
        <v>86</v>
      </c>
      <c r="P337" s="35" t="s">
        <v>304</v>
      </c>
      <c r="Q337" s="29" t="s">
        <v>618</v>
      </c>
    </row>
    <row r="338" spans="1:17" ht="14.25" customHeight="1" x14ac:dyDescent="0.3">
      <c r="A338" s="28">
        <v>46022</v>
      </c>
      <c r="B338" s="29" t="s">
        <v>614</v>
      </c>
      <c r="C338" s="30" t="s">
        <v>103</v>
      </c>
      <c r="D338" s="30" t="s">
        <v>671</v>
      </c>
      <c r="E338" s="31" t="s">
        <v>105</v>
      </c>
      <c r="F338" s="31" t="s">
        <v>320</v>
      </c>
      <c r="G338" s="30" t="s">
        <v>112</v>
      </c>
      <c r="H338" s="30" t="s">
        <v>672</v>
      </c>
      <c r="I338" s="32">
        <v>46019</v>
      </c>
      <c r="J338" s="30" t="s">
        <v>83</v>
      </c>
      <c r="K338" s="32" t="s">
        <v>34</v>
      </c>
      <c r="L338" s="30" t="s">
        <v>84</v>
      </c>
      <c r="M338" s="30" t="s">
        <v>109</v>
      </c>
      <c r="N338" s="37">
        <v>1095</v>
      </c>
      <c r="O338" s="34" t="s">
        <v>86</v>
      </c>
      <c r="P338" s="35" t="s">
        <v>304</v>
      </c>
      <c r="Q338" s="29" t="s">
        <v>618</v>
      </c>
    </row>
    <row r="339" spans="1:17" ht="14.25" customHeight="1" x14ac:dyDescent="0.3">
      <c r="A339" s="28">
        <v>46022</v>
      </c>
      <c r="B339" s="29" t="s">
        <v>614</v>
      </c>
      <c r="C339" s="30" t="s">
        <v>103</v>
      </c>
      <c r="D339" s="30" t="s">
        <v>673</v>
      </c>
      <c r="E339" s="31" t="s">
        <v>105</v>
      </c>
      <c r="F339" s="31" t="s">
        <v>320</v>
      </c>
      <c r="G339" s="30" t="s">
        <v>112</v>
      </c>
      <c r="H339" s="30" t="s">
        <v>672</v>
      </c>
      <c r="I339" s="32">
        <v>46019</v>
      </c>
      <c r="J339" s="30" t="s">
        <v>83</v>
      </c>
      <c r="K339" s="32" t="s">
        <v>34</v>
      </c>
      <c r="L339" s="30" t="s">
        <v>84</v>
      </c>
      <c r="M339" s="30" t="s">
        <v>109</v>
      </c>
      <c r="N339" s="37">
        <v>1095</v>
      </c>
      <c r="O339" s="34" t="s">
        <v>86</v>
      </c>
      <c r="P339" s="35" t="s">
        <v>304</v>
      </c>
      <c r="Q339" s="29" t="s">
        <v>618</v>
      </c>
    </row>
    <row r="340" spans="1:17" ht="14.25" customHeight="1" x14ac:dyDescent="0.3">
      <c r="A340" s="28">
        <v>46021</v>
      </c>
      <c r="B340" s="29" t="s">
        <v>614</v>
      </c>
      <c r="C340" s="30" t="s">
        <v>103</v>
      </c>
      <c r="D340" s="30" t="s">
        <v>674</v>
      </c>
      <c r="E340" s="31" t="s">
        <v>609</v>
      </c>
      <c r="F340" s="31" t="s">
        <v>610</v>
      </c>
      <c r="G340" s="30" t="s">
        <v>81</v>
      </c>
      <c r="H340" s="30" t="s">
        <v>675</v>
      </c>
      <c r="I340" s="32">
        <v>46021</v>
      </c>
      <c r="J340" s="30" t="s">
        <v>136</v>
      </c>
      <c r="K340" s="32" t="s">
        <v>44</v>
      </c>
      <c r="L340" s="30" t="s">
        <v>586</v>
      </c>
      <c r="M340" s="30" t="s">
        <v>612</v>
      </c>
      <c r="N340" s="37" t="s">
        <v>81</v>
      </c>
      <c r="O340" s="34" t="s">
        <v>86</v>
      </c>
      <c r="P340" s="35" t="s">
        <v>304</v>
      </c>
      <c r="Q340" s="29" t="s">
        <v>618</v>
      </c>
    </row>
    <row r="341" spans="1:17" ht="14.25" customHeight="1" x14ac:dyDescent="0.3">
      <c r="A341" s="28">
        <v>46023</v>
      </c>
      <c r="B341" s="29" t="s">
        <v>676</v>
      </c>
      <c r="C341" s="30" t="s">
        <v>77</v>
      </c>
      <c r="D341" s="30" t="s">
        <v>677</v>
      </c>
      <c r="E341" s="31" t="s">
        <v>678</v>
      </c>
      <c r="F341" s="31" t="s">
        <v>679</v>
      </c>
      <c r="G341" s="30" t="s">
        <v>81</v>
      </c>
      <c r="H341" s="30" t="s">
        <v>680</v>
      </c>
      <c r="I341" s="32">
        <v>46021</v>
      </c>
      <c r="J341" s="30" t="s">
        <v>83</v>
      </c>
      <c r="K341" s="32" t="s">
        <v>49</v>
      </c>
      <c r="L341" s="30" t="s">
        <v>114</v>
      </c>
      <c r="M341" s="30" t="s">
        <v>681</v>
      </c>
      <c r="N341" s="37" t="s">
        <v>81</v>
      </c>
      <c r="O341" s="34" t="s">
        <v>86</v>
      </c>
      <c r="P341" s="35" t="s">
        <v>304</v>
      </c>
      <c r="Q341" s="29" t="s">
        <v>682</v>
      </c>
    </row>
    <row r="342" spans="1:17" ht="14.25" customHeight="1" x14ac:dyDescent="0.3">
      <c r="A342" s="28">
        <v>46023</v>
      </c>
      <c r="B342" s="29" t="s">
        <v>676</v>
      </c>
      <c r="C342" s="30" t="s">
        <v>77</v>
      </c>
      <c r="D342" s="30" t="s">
        <v>683</v>
      </c>
      <c r="E342" s="31" t="s">
        <v>678</v>
      </c>
      <c r="F342" s="31" t="s">
        <v>679</v>
      </c>
      <c r="G342" s="30" t="s">
        <v>81</v>
      </c>
      <c r="H342" s="30" t="s">
        <v>680</v>
      </c>
      <c r="I342" s="32">
        <v>46021</v>
      </c>
      <c r="J342" s="30" t="s">
        <v>83</v>
      </c>
      <c r="K342" s="32" t="s">
        <v>49</v>
      </c>
      <c r="L342" s="30" t="s">
        <v>114</v>
      </c>
      <c r="M342" s="30" t="s">
        <v>681</v>
      </c>
      <c r="N342" s="37" t="s">
        <v>81</v>
      </c>
      <c r="O342" s="34" t="s">
        <v>86</v>
      </c>
      <c r="P342" s="35" t="s">
        <v>304</v>
      </c>
      <c r="Q342" s="29" t="s">
        <v>682</v>
      </c>
    </row>
    <row r="343" spans="1:17" ht="14.25" customHeight="1" x14ac:dyDescent="0.3">
      <c r="A343" s="28">
        <v>46027</v>
      </c>
      <c r="B343" s="29" t="s">
        <v>676</v>
      </c>
      <c r="C343" s="30" t="s">
        <v>219</v>
      </c>
      <c r="D343" s="30" t="s">
        <v>684</v>
      </c>
      <c r="E343" s="31" t="s">
        <v>2</v>
      </c>
      <c r="F343" s="31" t="s">
        <v>134</v>
      </c>
      <c r="G343" s="30" t="s">
        <v>81</v>
      </c>
      <c r="H343" s="30" t="s">
        <v>544</v>
      </c>
      <c r="I343" s="32">
        <v>46025</v>
      </c>
      <c r="J343" s="30" t="s">
        <v>83</v>
      </c>
      <c r="K343" s="32" t="s">
        <v>44</v>
      </c>
      <c r="L343" s="30" t="s">
        <v>114</v>
      </c>
      <c r="M343" s="30" t="s">
        <v>141</v>
      </c>
      <c r="N343" s="37"/>
      <c r="O343" s="34" t="s">
        <v>86</v>
      </c>
      <c r="P343" s="35" t="s">
        <v>304</v>
      </c>
      <c r="Q343" s="29" t="s">
        <v>682</v>
      </c>
    </row>
    <row r="344" spans="1:17" ht="14.25" customHeight="1" x14ac:dyDescent="0.3">
      <c r="A344" s="28">
        <v>46027</v>
      </c>
      <c r="B344" s="29" t="s">
        <v>676</v>
      </c>
      <c r="C344" s="30" t="s">
        <v>219</v>
      </c>
      <c r="D344" s="30" t="s">
        <v>685</v>
      </c>
      <c r="E344" s="31" t="s">
        <v>2</v>
      </c>
      <c r="F344" s="31" t="s">
        <v>134</v>
      </c>
      <c r="G344" s="30" t="s">
        <v>81</v>
      </c>
      <c r="H344" s="30" t="s">
        <v>544</v>
      </c>
      <c r="I344" s="32">
        <v>46025</v>
      </c>
      <c r="J344" s="30" t="s">
        <v>83</v>
      </c>
      <c r="K344" s="32" t="s">
        <v>44</v>
      </c>
      <c r="L344" s="30" t="s">
        <v>114</v>
      </c>
      <c r="M344" s="30" t="s">
        <v>141</v>
      </c>
      <c r="N344" s="37"/>
      <c r="O344" s="34" t="s">
        <v>86</v>
      </c>
      <c r="P344" s="35" t="s">
        <v>304</v>
      </c>
      <c r="Q344" s="29" t="s">
        <v>682</v>
      </c>
    </row>
    <row r="345" spans="1:17" ht="14.25" customHeight="1" x14ac:dyDescent="0.3">
      <c r="A345" s="28">
        <v>46027</v>
      </c>
      <c r="B345" s="29" t="s">
        <v>676</v>
      </c>
      <c r="C345" s="30" t="s">
        <v>219</v>
      </c>
      <c r="D345" s="30" t="s">
        <v>686</v>
      </c>
      <c r="E345" s="31" t="s">
        <v>2</v>
      </c>
      <c r="F345" s="31" t="s">
        <v>134</v>
      </c>
      <c r="G345" s="30" t="s">
        <v>81</v>
      </c>
      <c r="H345" s="30" t="s">
        <v>544</v>
      </c>
      <c r="I345" s="32">
        <v>46025</v>
      </c>
      <c r="J345" s="30" t="s">
        <v>83</v>
      </c>
      <c r="K345" s="32" t="s">
        <v>44</v>
      </c>
      <c r="L345" s="30" t="s">
        <v>114</v>
      </c>
      <c r="M345" s="30" t="s">
        <v>141</v>
      </c>
      <c r="N345" s="37"/>
      <c r="O345" s="34" t="s">
        <v>86</v>
      </c>
      <c r="P345" s="35" t="s">
        <v>304</v>
      </c>
      <c r="Q345" s="29" t="s">
        <v>682</v>
      </c>
    </row>
    <row r="346" spans="1:17" ht="14.25" customHeight="1" x14ac:dyDescent="0.3">
      <c r="A346" s="28">
        <v>46027</v>
      </c>
      <c r="B346" s="29" t="s">
        <v>676</v>
      </c>
      <c r="C346" s="30" t="s">
        <v>219</v>
      </c>
      <c r="D346" s="30" t="s">
        <v>687</v>
      </c>
      <c r="E346" s="31" t="s">
        <v>2</v>
      </c>
      <c r="F346" s="31" t="s">
        <v>134</v>
      </c>
      <c r="G346" s="30" t="s">
        <v>81</v>
      </c>
      <c r="H346" s="30" t="s">
        <v>544</v>
      </c>
      <c r="I346" s="32">
        <v>46025</v>
      </c>
      <c r="J346" s="30" t="s">
        <v>83</v>
      </c>
      <c r="K346" s="32" t="s">
        <v>44</v>
      </c>
      <c r="L346" s="30" t="s">
        <v>114</v>
      </c>
      <c r="M346" s="30" t="s">
        <v>141</v>
      </c>
      <c r="N346" s="37"/>
      <c r="O346" s="34" t="s">
        <v>86</v>
      </c>
      <c r="P346" s="35" t="s">
        <v>304</v>
      </c>
      <c r="Q346" s="29" t="s">
        <v>682</v>
      </c>
    </row>
    <row r="347" spans="1:17" ht="14.25" customHeight="1" x14ac:dyDescent="0.3">
      <c r="A347" s="28">
        <v>46033</v>
      </c>
      <c r="B347" s="29" t="s">
        <v>676</v>
      </c>
      <c r="C347" s="30" t="s">
        <v>103</v>
      </c>
      <c r="D347" s="30" t="s">
        <v>688</v>
      </c>
      <c r="E347" s="31" t="s">
        <v>515</v>
      </c>
      <c r="F347" s="31" t="s">
        <v>247</v>
      </c>
      <c r="G347" s="30" t="s">
        <v>81</v>
      </c>
      <c r="H347" s="30" t="s">
        <v>689</v>
      </c>
      <c r="I347" s="32">
        <v>46031</v>
      </c>
      <c r="J347" s="30" t="s">
        <v>497</v>
      </c>
      <c r="K347" s="32" t="s">
        <v>25</v>
      </c>
      <c r="L347" s="30" t="s">
        <v>586</v>
      </c>
      <c r="M347" s="30" t="s">
        <v>249</v>
      </c>
      <c r="N347" s="37" t="s">
        <v>81</v>
      </c>
      <c r="O347" s="34" t="s">
        <v>86</v>
      </c>
      <c r="P347" s="35" t="s">
        <v>304</v>
      </c>
      <c r="Q347" s="29" t="s">
        <v>682</v>
      </c>
    </row>
    <row r="348" spans="1:17" ht="14.25" customHeight="1" x14ac:dyDescent="0.3">
      <c r="A348" s="28">
        <v>46038</v>
      </c>
      <c r="B348" s="29" t="s">
        <v>676</v>
      </c>
      <c r="C348" s="30" t="s">
        <v>77</v>
      </c>
      <c r="D348" s="30" t="s">
        <v>690</v>
      </c>
      <c r="E348" s="31" t="s">
        <v>691</v>
      </c>
      <c r="F348" s="31" t="s">
        <v>80</v>
      </c>
      <c r="G348" s="30" t="s">
        <v>112</v>
      </c>
      <c r="H348" s="30" t="s">
        <v>156</v>
      </c>
      <c r="I348" s="32">
        <v>46036</v>
      </c>
      <c r="J348" s="30" t="s">
        <v>83</v>
      </c>
      <c r="K348" s="32" t="s">
        <v>55</v>
      </c>
      <c r="L348" s="30" t="s">
        <v>114</v>
      </c>
      <c r="M348" s="30" t="s">
        <v>85</v>
      </c>
      <c r="N348" s="37">
        <v>225</v>
      </c>
      <c r="O348" s="34" t="s">
        <v>86</v>
      </c>
      <c r="P348" s="35" t="s">
        <v>304</v>
      </c>
      <c r="Q348" s="29" t="s">
        <v>682</v>
      </c>
    </row>
    <row r="349" spans="1:17" ht="14.25" customHeight="1" x14ac:dyDescent="0.3">
      <c r="A349" s="28">
        <v>46038</v>
      </c>
      <c r="B349" s="29" t="s">
        <v>676</v>
      </c>
      <c r="C349" s="30" t="s">
        <v>77</v>
      </c>
      <c r="D349" s="30" t="s">
        <v>692</v>
      </c>
      <c r="E349" s="31" t="s">
        <v>691</v>
      </c>
      <c r="F349" s="31" t="s">
        <v>80</v>
      </c>
      <c r="G349" s="30" t="s">
        <v>112</v>
      </c>
      <c r="H349" s="30" t="s">
        <v>156</v>
      </c>
      <c r="I349" s="32">
        <v>46036</v>
      </c>
      <c r="J349" s="30" t="s">
        <v>83</v>
      </c>
      <c r="K349" s="32" t="s">
        <v>55</v>
      </c>
      <c r="L349" s="30" t="s">
        <v>114</v>
      </c>
      <c r="M349" s="30" t="s">
        <v>85</v>
      </c>
      <c r="N349" s="37">
        <v>225</v>
      </c>
      <c r="O349" s="34" t="s">
        <v>86</v>
      </c>
      <c r="P349" s="35" t="s">
        <v>304</v>
      </c>
      <c r="Q349" s="29" t="s">
        <v>682</v>
      </c>
    </row>
    <row r="350" spans="1:17" ht="14.25" customHeight="1" x14ac:dyDescent="0.3">
      <c r="A350" s="28">
        <v>46038</v>
      </c>
      <c r="B350" s="29" t="s">
        <v>676</v>
      </c>
      <c r="C350" s="30" t="s">
        <v>103</v>
      </c>
      <c r="D350" s="30" t="s">
        <v>693</v>
      </c>
      <c r="E350" s="31" t="s">
        <v>433</v>
      </c>
      <c r="F350" s="31" t="s">
        <v>434</v>
      </c>
      <c r="G350" s="30" t="s">
        <v>81</v>
      </c>
      <c r="H350" s="30" t="s">
        <v>435</v>
      </c>
      <c r="I350" s="32">
        <v>46036</v>
      </c>
      <c r="J350" s="30" t="s">
        <v>83</v>
      </c>
      <c r="K350" s="32" t="s">
        <v>45</v>
      </c>
      <c r="L350" s="30" t="s">
        <v>114</v>
      </c>
      <c r="M350" s="30" t="s">
        <v>694</v>
      </c>
      <c r="N350" s="37" t="s">
        <v>81</v>
      </c>
      <c r="O350" s="34" t="s">
        <v>86</v>
      </c>
      <c r="P350" s="35" t="s">
        <v>304</v>
      </c>
      <c r="Q350" s="29" t="s">
        <v>682</v>
      </c>
    </row>
    <row r="351" spans="1:17" ht="14.25" customHeight="1" x14ac:dyDescent="0.3">
      <c r="A351" s="28">
        <v>46038</v>
      </c>
      <c r="B351" s="29" t="s">
        <v>676</v>
      </c>
      <c r="C351" s="30" t="s">
        <v>103</v>
      </c>
      <c r="D351" s="30" t="s">
        <v>695</v>
      </c>
      <c r="E351" s="31" t="s">
        <v>433</v>
      </c>
      <c r="F351" s="31" t="s">
        <v>434</v>
      </c>
      <c r="G351" s="30" t="s">
        <v>81</v>
      </c>
      <c r="H351" s="30" t="s">
        <v>435</v>
      </c>
      <c r="I351" s="32">
        <v>46036</v>
      </c>
      <c r="J351" s="30" t="s">
        <v>83</v>
      </c>
      <c r="K351" s="32" t="s">
        <v>45</v>
      </c>
      <c r="L351" s="30" t="s">
        <v>114</v>
      </c>
      <c r="M351" s="30" t="s">
        <v>694</v>
      </c>
      <c r="N351" s="37" t="s">
        <v>81</v>
      </c>
      <c r="O351" s="34" t="s">
        <v>86</v>
      </c>
      <c r="P351" s="35" t="s">
        <v>304</v>
      </c>
      <c r="Q351" s="29" t="s">
        <v>682</v>
      </c>
    </row>
    <row r="352" spans="1:17" ht="14.25" customHeight="1" x14ac:dyDescent="0.3">
      <c r="A352" s="28">
        <v>46039</v>
      </c>
      <c r="B352" s="29" t="s">
        <v>676</v>
      </c>
      <c r="C352" s="30" t="s">
        <v>219</v>
      </c>
      <c r="D352" s="30" t="s">
        <v>696</v>
      </c>
      <c r="E352" s="31" t="s">
        <v>2</v>
      </c>
      <c r="F352" s="31" t="s">
        <v>134</v>
      </c>
      <c r="G352" s="30" t="s">
        <v>81</v>
      </c>
      <c r="H352" s="30" t="s">
        <v>346</v>
      </c>
      <c r="I352" s="32">
        <v>46039</v>
      </c>
      <c r="J352" s="30" t="s">
        <v>136</v>
      </c>
      <c r="K352" s="32" t="s">
        <v>44</v>
      </c>
      <c r="L352" s="30" t="s">
        <v>586</v>
      </c>
      <c r="M352" s="30" t="s">
        <v>697</v>
      </c>
      <c r="N352" s="37"/>
      <c r="O352" s="34" t="s">
        <v>86</v>
      </c>
      <c r="P352" s="35" t="s">
        <v>304</v>
      </c>
      <c r="Q352" s="29" t="s">
        <v>682</v>
      </c>
    </row>
    <row r="353" spans="1:17" ht="14.25" customHeight="1" x14ac:dyDescent="0.3">
      <c r="A353" s="28">
        <v>46039</v>
      </c>
      <c r="B353" s="29" t="s">
        <v>676</v>
      </c>
      <c r="C353" s="30" t="s">
        <v>219</v>
      </c>
      <c r="D353" s="30" t="s">
        <v>698</v>
      </c>
      <c r="E353" s="31" t="s">
        <v>2</v>
      </c>
      <c r="F353" s="31" t="s">
        <v>134</v>
      </c>
      <c r="G353" s="30" t="s">
        <v>81</v>
      </c>
      <c r="H353" s="30" t="s">
        <v>346</v>
      </c>
      <c r="I353" s="32">
        <v>46039</v>
      </c>
      <c r="J353" s="30" t="s">
        <v>136</v>
      </c>
      <c r="K353" s="32" t="s">
        <v>44</v>
      </c>
      <c r="L353" s="30" t="s">
        <v>586</v>
      </c>
      <c r="M353" s="30" t="s">
        <v>697</v>
      </c>
      <c r="N353" s="37"/>
      <c r="O353" s="34" t="s">
        <v>86</v>
      </c>
      <c r="P353" s="35" t="s">
        <v>304</v>
      </c>
      <c r="Q353" s="29" t="s">
        <v>682</v>
      </c>
    </row>
    <row r="354" spans="1:17" ht="14.25" customHeight="1" x14ac:dyDescent="0.3">
      <c r="A354" s="28">
        <v>46039</v>
      </c>
      <c r="B354" s="29" t="s">
        <v>676</v>
      </c>
      <c r="C354" s="30" t="s">
        <v>219</v>
      </c>
      <c r="D354" s="30" t="s">
        <v>699</v>
      </c>
      <c r="E354" s="31" t="s">
        <v>2</v>
      </c>
      <c r="F354" s="31" t="s">
        <v>134</v>
      </c>
      <c r="G354" s="30" t="s">
        <v>81</v>
      </c>
      <c r="H354" s="30" t="s">
        <v>346</v>
      </c>
      <c r="I354" s="32">
        <v>46039</v>
      </c>
      <c r="J354" s="30" t="s">
        <v>136</v>
      </c>
      <c r="K354" s="32" t="s">
        <v>44</v>
      </c>
      <c r="L354" s="30" t="s">
        <v>586</v>
      </c>
      <c r="M354" s="30" t="s">
        <v>697</v>
      </c>
      <c r="N354" s="37"/>
      <c r="O354" s="34" t="s">
        <v>86</v>
      </c>
      <c r="P354" s="35" t="s">
        <v>304</v>
      </c>
      <c r="Q354" s="29" t="s">
        <v>682</v>
      </c>
    </row>
    <row r="355" spans="1:17" ht="14.25" customHeight="1" x14ac:dyDescent="0.3">
      <c r="A355" s="28">
        <v>46039</v>
      </c>
      <c r="B355" s="29" t="s">
        <v>676</v>
      </c>
      <c r="C355" s="30" t="s">
        <v>219</v>
      </c>
      <c r="D355" s="30" t="s">
        <v>700</v>
      </c>
      <c r="E355" s="31" t="s">
        <v>2</v>
      </c>
      <c r="F355" s="31" t="s">
        <v>134</v>
      </c>
      <c r="G355" s="30" t="s">
        <v>81</v>
      </c>
      <c r="H355" s="30" t="s">
        <v>346</v>
      </c>
      <c r="I355" s="32">
        <v>46039</v>
      </c>
      <c r="J355" s="30" t="s">
        <v>136</v>
      </c>
      <c r="K355" s="32" t="s">
        <v>44</v>
      </c>
      <c r="L355" s="30" t="s">
        <v>586</v>
      </c>
      <c r="M355" s="30" t="s">
        <v>697</v>
      </c>
      <c r="N355" s="37"/>
      <c r="O355" s="34" t="s">
        <v>86</v>
      </c>
      <c r="P355" s="35" t="s">
        <v>304</v>
      </c>
      <c r="Q355" s="29" t="s">
        <v>682</v>
      </c>
    </row>
    <row r="356" spans="1:17" ht="14.25" customHeight="1" x14ac:dyDescent="0.3">
      <c r="A356" s="28">
        <v>46039</v>
      </c>
      <c r="B356" s="29" t="s">
        <v>676</v>
      </c>
      <c r="C356" s="30" t="s">
        <v>219</v>
      </c>
      <c r="D356" s="30" t="s">
        <v>701</v>
      </c>
      <c r="E356" s="31" t="s">
        <v>2</v>
      </c>
      <c r="F356" s="31" t="s">
        <v>134</v>
      </c>
      <c r="G356" s="30" t="s">
        <v>81</v>
      </c>
      <c r="H356" s="30" t="s">
        <v>346</v>
      </c>
      <c r="I356" s="32">
        <v>46039</v>
      </c>
      <c r="J356" s="30" t="s">
        <v>136</v>
      </c>
      <c r="K356" s="32" t="s">
        <v>44</v>
      </c>
      <c r="L356" s="30" t="s">
        <v>586</v>
      </c>
      <c r="M356" s="30" t="s">
        <v>697</v>
      </c>
      <c r="N356" s="37"/>
      <c r="O356" s="34" t="s">
        <v>86</v>
      </c>
      <c r="P356" s="35" t="s">
        <v>304</v>
      </c>
      <c r="Q356" s="29" t="s">
        <v>682</v>
      </c>
    </row>
    <row r="357" spans="1:17" ht="14.25" customHeight="1" x14ac:dyDescent="0.3">
      <c r="A357" s="28">
        <v>46039</v>
      </c>
      <c r="B357" s="29" t="s">
        <v>676</v>
      </c>
      <c r="C357" s="30" t="s">
        <v>219</v>
      </c>
      <c r="D357" s="30" t="s">
        <v>702</v>
      </c>
      <c r="E357" s="31" t="s">
        <v>2</v>
      </c>
      <c r="F357" s="31" t="s">
        <v>134</v>
      </c>
      <c r="G357" s="30" t="s">
        <v>81</v>
      </c>
      <c r="H357" s="30" t="s">
        <v>346</v>
      </c>
      <c r="I357" s="32">
        <v>46039</v>
      </c>
      <c r="J357" s="30" t="s">
        <v>136</v>
      </c>
      <c r="K357" s="32" t="s">
        <v>44</v>
      </c>
      <c r="L357" s="30" t="s">
        <v>586</v>
      </c>
      <c r="M357" s="30" t="s">
        <v>703</v>
      </c>
      <c r="N357" s="37"/>
      <c r="O357" s="34" t="s">
        <v>86</v>
      </c>
      <c r="P357" s="35" t="s">
        <v>304</v>
      </c>
      <c r="Q357" s="29" t="s">
        <v>682</v>
      </c>
    </row>
    <row r="358" spans="1:17" ht="14.25" customHeight="1" x14ac:dyDescent="0.3">
      <c r="A358" s="28">
        <v>46039</v>
      </c>
      <c r="B358" s="29" t="s">
        <v>676</v>
      </c>
      <c r="C358" s="30" t="s">
        <v>704</v>
      </c>
      <c r="D358" s="30" t="s">
        <v>705</v>
      </c>
      <c r="E358" s="31" t="s">
        <v>706</v>
      </c>
      <c r="F358" s="31" t="s">
        <v>481</v>
      </c>
      <c r="G358" s="30" t="s">
        <v>112</v>
      </c>
      <c r="H358" s="30" t="s">
        <v>147</v>
      </c>
      <c r="I358" s="32">
        <v>46036</v>
      </c>
      <c r="J358" s="30" t="s">
        <v>83</v>
      </c>
      <c r="K358" s="32" t="s">
        <v>48</v>
      </c>
      <c r="L358" s="30" t="s">
        <v>114</v>
      </c>
      <c r="M358" s="30" t="s">
        <v>707</v>
      </c>
      <c r="N358" s="37">
        <v>1860</v>
      </c>
      <c r="O358" s="34" t="s">
        <v>86</v>
      </c>
      <c r="P358" s="35" t="s">
        <v>304</v>
      </c>
      <c r="Q358" s="29" t="s">
        <v>682</v>
      </c>
    </row>
    <row r="359" spans="1:17" ht="14.25" customHeight="1" x14ac:dyDescent="0.3">
      <c r="A359" s="28">
        <v>46039</v>
      </c>
      <c r="B359" s="29" t="s">
        <v>676</v>
      </c>
      <c r="C359" s="30" t="s">
        <v>704</v>
      </c>
      <c r="D359" s="30" t="s">
        <v>708</v>
      </c>
      <c r="E359" s="31" t="s">
        <v>706</v>
      </c>
      <c r="F359" s="31" t="s">
        <v>481</v>
      </c>
      <c r="G359" s="30" t="s">
        <v>112</v>
      </c>
      <c r="H359" s="30" t="s">
        <v>147</v>
      </c>
      <c r="I359" s="32">
        <v>46036</v>
      </c>
      <c r="J359" s="30" t="s">
        <v>83</v>
      </c>
      <c r="K359" s="32" t="s">
        <v>48</v>
      </c>
      <c r="L359" s="30" t="s">
        <v>114</v>
      </c>
      <c r="M359" s="30" t="s">
        <v>709</v>
      </c>
      <c r="N359" s="37">
        <v>1860</v>
      </c>
      <c r="O359" s="34" t="s">
        <v>86</v>
      </c>
      <c r="P359" s="35" t="s">
        <v>304</v>
      </c>
      <c r="Q359" s="29" t="s">
        <v>682</v>
      </c>
    </row>
    <row r="360" spans="1:17" ht="14.25" customHeight="1" x14ac:dyDescent="0.3">
      <c r="A360" s="28">
        <v>46045</v>
      </c>
      <c r="B360" s="29" t="s">
        <v>676</v>
      </c>
      <c r="C360" s="30" t="s">
        <v>219</v>
      </c>
      <c r="D360" s="30" t="s">
        <v>710</v>
      </c>
      <c r="E360" s="31" t="s">
        <v>383</v>
      </c>
      <c r="F360" s="31" t="s">
        <v>134</v>
      </c>
      <c r="G360" s="30" t="s">
        <v>81</v>
      </c>
      <c r="H360" s="30" t="s">
        <v>711</v>
      </c>
      <c r="I360" s="32">
        <v>46043</v>
      </c>
      <c r="J360" s="30" t="s">
        <v>83</v>
      </c>
      <c r="K360" s="32" t="s">
        <v>44</v>
      </c>
      <c r="L360" s="30" t="s">
        <v>114</v>
      </c>
      <c r="M360" s="30" t="s">
        <v>381</v>
      </c>
      <c r="N360" s="37"/>
      <c r="O360" s="34" t="s">
        <v>86</v>
      </c>
      <c r="P360" s="35" t="s">
        <v>304</v>
      </c>
      <c r="Q360" s="29" t="s">
        <v>682</v>
      </c>
    </row>
    <row r="361" spans="1:17" ht="14.25" customHeight="1" x14ac:dyDescent="0.3">
      <c r="A361" s="28">
        <v>46045</v>
      </c>
      <c r="B361" s="29" t="s">
        <v>676</v>
      </c>
      <c r="C361" s="30" t="s">
        <v>219</v>
      </c>
      <c r="D361" s="30" t="s">
        <v>712</v>
      </c>
      <c r="E361" s="31" t="s">
        <v>383</v>
      </c>
      <c r="F361" s="31" t="s">
        <v>134</v>
      </c>
      <c r="G361" s="30" t="s">
        <v>81</v>
      </c>
      <c r="H361" s="30" t="s">
        <v>711</v>
      </c>
      <c r="I361" s="32">
        <v>46043</v>
      </c>
      <c r="J361" s="30" t="s">
        <v>83</v>
      </c>
      <c r="K361" s="32" t="s">
        <v>44</v>
      </c>
      <c r="L361" s="30" t="s">
        <v>114</v>
      </c>
      <c r="M361" s="30" t="s">
        <v>381</v>
      </c>
      <c r="N361" s="37"/>
      <c r="O361" s="34" t="s">
        <v>86</v>
      </c>
      <c r="P361" s="35" t="s">
        <v>304</v>
      </c>
      <c r="Q361" s="29" t="s">
        <v>682</v>
      </c>
    </row>
    <row r="362" spans="1:17" ht="14.25" customHeight="1" x14ac:dyDescent="0.3">
      <c r="A362" s="28">
        <v>46045</v>
      </c>
      <c r="B362" s="29" t="s">
        <v>676</v>
      </c>
      <c r="C362" s="30" t="s">
        <v>219</v>
      </c>
      <c r="D362" s="30" t="s">
        <v>713</v>
      </c>
      <c r="E362" s="31" t="s">
        <v>383</v>
      </c>
      <c r="F362" s="31" t="s">
        <v>134</v>
      </c>
      <c r="G362" s="30" t="s">
        <v>81</v>
      </c>
      <c r="H362" s="30" t="s">
        <v>711</v>
      </c>
      <c r="I362" s="32">
        <v>46043</v>
      </c>
      <c r="J362" s="30" t="s">
        <v>83</v>
      </c>
      <c r="K362" s="32" t="s">
        <v>44</v>
      </c>
      <c r="L362" s="30" t="s">
        <v>114</v>
      </c>
      <c r="M362" s="30" t="s">
        <v>381</v>
      </c>
      <c r="N362" s="37"/>
      <c r="O362" s="34" t="s">
        <v>86</v>
      </c>
      <c r="P362" s="35" t="s">
        <v>304</v>
      </c>
      <c r="Q362" s="29" t="s">
        <v>682</v>
      </c>
    </row>
    <row r="363" spans="1:17" ht="14.25" customHeight="1" x14ac:dyDescent="0.3">
      <c r="A363" s="28">
        <v>46045</v>
      </c>
      <c r="B363" s="29" t="s">
        <v>676</v>
      </c>
      <c r="C363" s="30" t="s">
        <v>219</v>
      </c>
      <c r="D363" s="30" t="s">
        <v>714</v>
      </c>
      <c r="E363" s="31" t="s">
        <v>383</v>
      </c>
      <c r="F363" s="31" t="s">
        <v>134</v>
      </c>
      <c r="G363" s="30" t="s">
        <v>81</v>
      </c>
      <c r="H363" s="30" t="s">
        <v>711</v>
      </c>
      <c r="I363" s="32">
        <v>46043</v>
      </c>
      <c r="J363" s="30" t="s">
        <v>83</v>
      </c>
      <c r="K363" s="32" t="s">
        <v>44</v>
      </c>
      <c r="L363" s="30" t="s">
        <v>114</v>
      </c>
      <c r="M363" s="30" t="s">
        <v>381</v>
      </c>
      <c r="N363" s="37"/>
      <c r="O363" s="34" t="s">
        <v>86</v>
      </c>
      <c r="P363" s="35" t="s">
        <v>304</v>
      </c>
      <c r="Q363" s="29" t="s">
        <v>682</v>
      </c>
    </row>
    <row r="364" spans="1:17" ht="14.25" customHeight="1" x14ac:dyDescent="0.3">
      <c r="A364" s="28">
        <v>46046</v>
      </c>
      <c r="B364" s="29" t="s">
        <v>676</v>
      </c>
      <c r="C364" s="30" t="s">
        <v>77</v>
      </c>
      <c r="D364" s="30" t="s">
        <v>715</v>
      </c>
      <c r="E364" s="31" t="s">
        <v>330</v>
      </c>
      <c r="F364" s="31" t="s">
        <v>428</v>
      </c>
      <c r="G364" s="30" t="s">
        <v>112</v>
      </c>
      <c r="H364" s="30" t="s">
        <v>124</v>
      </c>
      <c r="I364" s="32">
        <v>46044</v>
      </c>
      <c r="J364" s="30" t="s">
        <v>83</v>
      </c>
      <c r="K364" s="32" t="s">
        <v>44</v>
      </c>
      <c r="L364" s="30" t="s">
        <v>114</v>
      </c>
      <c r="M364" s="30" t="s">
        <v>331</v>
      </c>
      <c r="N364" s="37">
        <v>660</v>
      </c>
      <c r="O364" s="34" t="s">
        <v>86</v>
      </c>
      <c r="P364" s="35" t="s">
        <v>304</v>
      </c>
      <c r="Q364" s="29" t="s">
        <v>682</v>
      </c>
    </row>
    <row r="365" spans="1:17" ht="14.25" customHeight="1" x14ac:dyDescent="0.3">
      <c r="A365" s="28">
        <v>46046</v>
      </c>
      <c r="B365" s="29" t="s">
        <v>676</v>
      </c>
      <c r="C365" s="30" t="s">
        <v>170</v>
      </c>
      <c r="D365" s="30" t="s">
        <v>716</v>
      </c>
      <c r="E365" s="31" t="s">
        <v>172</v>
      </c>
      <c r="F365" s="31" t="s">
        <v>173</v>
      </c>
      <c r="G365" s="30" t="s">
        <v>81</v>
      </c>
      <c r="H365" s="30" t="s">
        <v>147</v>
      </c>
      <c r="I365" s="32">
        <v>46044</v>
      </c>
      <c r="J365" s="30" t="s">
        <v>83</v>
      </c>
      <c r="K365" s="32" t="s">
        <v>25</v>
      </c>
      <c r="L365" s="30" t="s">
        <v>114</v>
      </c>
      <c r="M365" s="30" t="s">
        <v>176</v>
      </c>
      <c r="N365" s="37">
        <v>475</v>
      </c>
      <c r="O365" s="34" t="s">
        <v>86</v>
      </c>
      <c r="P365" s="35" t="s">
        <v>304</v>
      </c>
      <c r="Q365" s="29" t="s">
        <v>682</v>
      </c>
    </row>
    <row r="366" spans="1:17" ht="14.25" customHeight="1" x14ac:dyDescent="0.3">
      <c r="A366" s="28">
        <v>46047</v>
      </c>
      <c r="B366" s="29" t="s">
        <v>676</v>
      </c>
      <c r="C366" s="30" t="s">
        <v>170</v>
      </c>
      <c r="D366" s="30" t="s">
        <v>717</v>
      </c>
      <c r="E366" s="31" t="s">
        <v>326</v>
      </c>
      <c r="F366" s="31" t="s">
        <v>327</v>
      </c>
      <c r="G366" s="30" t="s">
        <v>81</v>
      </c>
      <c r="H366" s="30" t="s">
        <v>492</v>
      </c>
      <c r="I366" s="32">
        <v>46045</v>
      </c>
      <c r="J366" s="30" t="s">
        <v>83</v>
      </c>
      <c r="K366" s="32" t="s">
        <v>45</v>
      </c>
      <c r="L366" s="30" t="s">
        <v>114</v>
      </c>
      <c r="M366" s="30" t="s">
        <v>328</v>
      </c>
      <c r="N366" s="37" t="s">
        <v>81</v>
      </c>
      <c r="O366" s="34" t="s">
        <v>86</v>
      </c>
      <c r="P366" s="35" t="s">
        <v>304</v>
      </c>
      <c r="Q366" s="29" t="s">
        <v>682</v>
      </c>
    </row>
    <row r="367" spans="1:17" ht="14.25" customHeight="1" x14ac:dyDescent="0.3">
      <c r="A367" s="28">
        <v>46047</v>
      </c>
      <c r="B367" s="29" t="s">
        <v>676</v>
      </c>
      <c r="C367" s="30" t="s">
        <v>170</v>
      </c>
      <c r="D367" s="30" t="s">
        <v>718</v>
      </c>
      <c r="E367" s="31" t="s">
        <v>719</v>
      </c>
      <c r="F367" s="31" t="s">
        <v>720</v>
      </c>
      <c r="G367" s="30" t="s">
        <v>112</v>
      </c>
      <c r="H367" s="30" t="s">
        <v>721</v>
      </c>
      <c r="I367" s="32"/>
      <c r="J367" s="30" t="s">
        <v>722</v>
      </c>
      <c r="K367" s="32"/>
      <c r="L367" s="30" t="s">
        <v>721</v>
      </c>
      <c r="M367" s="30" t="s">
        <v>723</v>
      </c>
      <c r="N367" s="37">
        <v>120000</v>
      </c>
      <c r="O367" s="34" t="s">
        <v>86</v>
      </c>
      <c r="P367" s="35" t="s">
        <v>304</v>
      </c>
      <c r="Q367" s="29" t="s">
        <v>682</v>
      </c>
    </row>
    <row r="368" spans="1:17" ht="14.25" customHeight="1" x14ac:dyDescent="0.3">
      <c r="A368" s="28">
        <v>46047</v>
      </c>
      <c r="B368" s="29" t="s">
        <v>676</v>
      </c>
      <c r="C368" s="30" t="s">
        <v>170</v>
      </c>
      <c r="D368" s="30" t="s">
        <v>724</v>
      </c>
      <c r="E368" s="31" t="s">
        <v>719</v>
      </c>
      <c r="F368" s="31" t="s">
        <v>720</v>
      </c>
      <c r="G368" s="30" t="s">
        <v>112</v>
      </c>
      <c r="H368" s="30" t="s">
        <v>721</v>
      </c>
      <c r="I368" s="32"/>
      <c r="J368" s="30" t="s">
        <v>722</v>
      </c>
      <c r="K368" s="32"/>
      <c r="L368" s="30" t="s">
        <v>721</v>
      </c>
      <c r="M368" s="30" t="s">
        <v>723</v>
      </c>
      <c r="N368" s="37">
        <v>120000</v>
      </c>
      <c r="O368" s="34" t="s">
        <v>86</v>
      </c>
      <c r="P368" s="35" t="s">
        <v>304</v>
      </c>
      <c r="Q368" s="29" t="s">
        <v>682</v>
      </c>
    </row>
    <row r="369" spans="1:17" ht="14.25" customHeight="1" x14ac:dyDescent="0.3">
      <c r="A369" s="28">
        <v>46049</v>
      </c>
      <c r="B369" s="29" t="s">
        <v>676</v>
      </c>
      <c r="C369" s="30" t="s">
        <v>103</v>
      </c>
      <c r="D369" s="30" t="s">
        <v>725</v>
      </c>
      <c r="E369" s="31" t="s">
        <v>236</v>
      </c>
      <c r="F369" s="31" t="s">
        <v>237</v>
      </c>
      <c r="G369" s="30" t="s">
        <v>81</v>
      </c>
      <c r="H369" s="30" t="s">
        <v>315</v>
      </c>
      <c r="I369" s="32">
        <v>46047</v>
      </c>
      <c r="J369" s="30" t="s">
        <v>108</v>
      </c>
      <c r="K369" s="32" t="s">
        <v>44</v>
      </c>
      <c r="L369" s="30" t="s">
        <v>223</v>
      </c>
      <c r="M369" s="30" t="s">
        <v>239</v>
      </c>
      <c r="N369" s="37" t="s">
        <v>81</v>
      </c>
      <c r="O369" s="34" t="s">
        <v>86</v>
      </c>
      <c r="P369" s="35" t="s">
        <v>304</v>
      </c>
      <c r="Q369" s="29" t="s">
        <v>682</v>
      </c>
    </row>
    <row r="370" spans="1:17" ht="14.25" customHeight="1" x14ac:dyDescent="0.3">
      <c r="A370" s="28">
        <v>46050</v>
      </c>
      <c r="B370" s="29" t="s">
        <v>676</v>
      </c>
      <c r="C370" s="30" t="s">
        <v>219</v>
      </c>
      <c r="D370" s="30" t="s">
        <v>726</v>
      </c>
      <c r="E370" s="31" t="s">
        <v>2</v>
      </c>
      <c r="F370" s="31" t="s">
        <v>134</v>
      </c>
      <c r="G370" s="30" t="s">
        <v>81</v>
      </c>
      <c r="H370" s="30" t="s">
        <v>346</v>
      </c>
      <c r="I370" s="32">
        <v>46049</v>
      </c>
      <c r="J370" s="30" t="s">
        <v>136</v>
      </c>
      <c r="K370" s="32" t="s">
        <v>44</v>
      </c>
      <c r="L370" s="30" t="s">
        <v>586</v>
      </c>
      <c r="M370" s="30" t="s">
        <v>141</v>
      </c>
      <c r="N370" s="37" t="s">
        <v>81</v>
      </c>
      <c r="O370" s="34" t="s">
        <v>86</v>
      </c>
      <c r="P370" s="35" t="s">
        <v>304</v>
      </c>
      <c r="Q370" s="29" t="s">
        <v>682</v>
      </c>
    </row>
    <row r="371" spans="1:17" ht="14.25" customHeight="1" x14ac:dyDescent="0.3">
      <c r="A371" s="28">
        <v>46050</v>
      </c>
      <c r="B371" s="29" t="s">
        <v>676</v>
      </c>
      <c r="C371" s="30" t="s">
        <v>219</v>
      </c>
      <c r="D371" s="30" t="s">
        <v>727</v>
      </c>
      <c r="E371" s="31" t="s">
        <v>2</v>
      </c>
      <c r="F371" s="31" t="s">
        <v>134</v>
      </c>
      <c r="G371" s="30" t="s">
        <v>81</v>
      </c>
      <c r="H371" s="30" t="s">
        <v>346</v>
      </c>
      <c r="I371" s="32">
        <v>46049</v>
      </c>
      <c r="J371" s="30" t="s">
        <v>136</v>
      </c>
      <c r="K371" s="32" t="s">
        <v>44</v>
      </c>
      <c r="L371" s="30" t="s">
        <v>586</v>
      </c>
      <c r="M371" s="30" t="s">
        <v>141</v>
      </c>
      <c r="N371" s="37" t="s">
        <v>81</v>
      </c>
      <c r="O371" s="34" t="s">
        <v>86</v>
      </c>
      <c r="P371" s="35" t="s">
        <v>304</v>
      </c>
      <c r="Q371" s="29" t="s">
        <v>682</v>
      </c>
    </row>
    <row r="372" spans="1:17" ht="14.25" customHeight="1" x14ac:dyDescent="0.3">
      <c r="A372" s="28">
        <v>46050</v>
      </c>
      <c r="B372" s="29" t="s">
        <v>676</v>
      </c>
      <c r="C372" s="30" t="s">
        <v>219</v>
      </c>
      <c r="D372" s="30" t="s">
        <v>728</v>
      </c>
      <c r="E372" s="31" t="s">
        <v>2</v>
      </c>
      <c r="F372" s="31" t="s">
        <v>134</v>
      </c>
      <c r="G372" s="30" t="s">
        <v>81</v>
      </c>
      <c r="H372" s="30" t="s">
        <v>346</v>
      </c>
      <c r="I372" s="32">
        <v>46049</v>
      </c>
      <c r="J372" s="30" t="s">
        <v>136</v>
      </c>
      <c r="K372" s="32" t="s">
        <v>44</v>
      </c>
      <c r="L372" s="30" t="s">
        <v>586</v>
      </c>
      <c r="M372" s="30" t="s">
        <v>141</v>
      </c>
      <c r="N372" s="37" t="s">
        <v>81</v>
      </c>
      <c r="O372" s="34" t="s">
        <v>86</v>
      </c>
      <c r="P372" s="35" t="s">
        <v>304</v>
      </c>
      <c r="Q372" s="29" t="s">
        <v>682</v>
      </c>
    </row>
    <row r="373" spans="1:17" ht="14.25" customHeight="1" x14ac:dyDescent="0.3">
      <c r="A373" s="28">
        <v>46050</v>
      </c>
      <c r="B373" s="29" t="s">
        <v>676</v>
      </c>
      <c r="C373" s="30" t="s">
        <v>219</v>
      </c>
      <c r="D373" s="30" t="s">
        <v>729</v>
      </c>
      <c r="E373" s="31" t="s">
        <v>2</v>
      </c>
      <c r="F373" s="31" t="s">
        <v>134</v>
      </c>
      <c r="G373" s="30" t="s">
        <v>81</v>
      </c>
      <c r="H373" s="30" t="s">
        <v>346</v>
      </c>
      <c r="I373" s="32">
        <v>46049</v>
      </c>
      <c r="J373" s="30" t="s">
        <v>136</v>
      </c>
      <c r="K373" s="32" t="s">
        <v>44</v>
      </c>
      <c r="L373" s="30" t="s">
        <v>586</v>
      </c>
      <c r="M373" s="30" t="s">
        <v>141</v>
      </c>
      <c r="N373" s="37" t="s">
        <v>81</v>
      </c>
      <c r="O373" s="34" t="s">
        <v>86</v>
      </c>
      <c r="P373" s="35" t="s">
        <v>304</v>
      </c>
      <c r="Q373" s="29" t="s">
        <v>682</v>
      </c>
    </row>
    <row r="374" spans="1:17" ht="14.25" customHeight="1" x14ac:dyDescent="0.3">
      <c r="A374" s="28">
        <v>46050</v>
      </c>
      <c r="B374" s="29" t="s">
        <v>676</v>
      </c>
      <c r="C374" s="30" t="s">
        <v>219</v>
      </c>
      <c r="D374" s="30" t="s">
        <v>730</v>
      </c>
      <c r="E374" s="31" t="s">
        <v>2</v>
      </c>
      <c r="F374" s="31" t="s">
        <v>134</v>
      </c>
      <c r="G374" s="30" t="s">
        <v>81</v>
      </c>
      <c r="H374" s="30" t="s">
        <v>346</v>
      </c>
      <c r="I374" s="32">
        <v>46049</v>
      </c>
      <c r="J374" s="30" t="s">
        <v>136</v>
      </c>
      <c r="K374" s="32" t="s">
        <v>44</v>
      </c>
      <c r="L374" s="30" t="s">
        <v>586</v>
      </c>
      <c r="M374" s="30" t="s">
        <v>141</v>
      </c>
      <c r="N374" s="37" t="s">
        <v>81</v>
      </c>
      <c r="O374" s="34" t="s">
        <v>86</v>
      </c>
      <c r="P374" s="35" t="s">
        <v>304</v>
      </c>
      <c r="Q374" s="29" t="s">
        <v>682</v>
      </c>
    </row>
    <row r="375" spans="1:17" ht="14.25" customHeight="1" x14ac:dyDescent="0.3">
      <c r="A375" s="28">
        <v>46050</v>
      </c>
      <c r="B375" s="29" t="s">
        <v>676</v>
      </c>
      <c r="C375" s="30" t="s">
        <v>219</v>
      </c>
      <c r="D375" s="30" t="s">
        <v>731</v>
      </c>
      <c r="E375" s="31" t="s">
        <v>2</v>
      </c>
      <c r="F375" s="31" t="s">
        <v>134</v>
      </c>
      <c r="G375" s="30" t="s">
        <v>81</v>
      </c>
      <c r="H375" s="30" t="s">
        <v>346</v>
      </c>
      <c r="I375" s="32">
        <v>46049</v>
      </c>
      <c r="J375" s="30" t="s">
        <v>136</v>
      </c>
      <c r="K375" s="32" t="s">
        <v>44</v>
      </c>
      <c r="L375" s="30" t="s">
        <v>586</v>
      </c>
      <c r="M375" s="30" t="s">
        <v>141</v>
      </c>
      <c r="N375" s="37" t="s">
        <v>81</v>
      </c>
      <c r="O375" s="34" t="s">
        <v>86</v>
      </c>
      <c r="P375" s="35" t="s">
        <v>304</v>
      </c>
      <c r="Q375" s="29" t="s">
        <v>682</v>
      </c>
    </row>
    <row r="376" spans="1:17" ht="14.25" customHeight="1" x14ac:dyDescent="0.3">
      <c r="A376" s="28">
        <v>46050</v>
      </c>
      <c r="B376" s="29" t="s">
        <v>676</v>
      </c>
      <c r="C376" s="30" t="s">
        <v>219</v>
      </c>
      <c r="D376" s="30" t="s">
        <v>732</v>
      </c>
      <c r="E376" s="31" t="s">
        <v>2</v>
      </c>
      <c r="F376" s="31" t="s">
        <v>134</v>
      </c>
      <c r="G376" s="30" t="s">
        <v>81</v>
      </c>
      <c r="H376" s="30" t="s">
        <v>346</v>
      </c>
      <c r="I376" s="32">
        <v>46049</v>
      </c>
      <c r="J376" s="30" t="s">
        <v>136</v>
      </c>
      <c r="K376" s="32" t="s">
        <v>44</v>
      </c>
      <c r="L376" s="30" t="s">
        <v>586</v>
      </c>
      <c r="M376" s="30" t="s">
        <v>141</v>
      </c>
      <c r="N376" s="37" t="s">
        <v>81</v>
      </c>
      <c r="O376" s="34" t="s">
        <v>86</v>
      </c>
      <c r="P376" s="35" t="s">
        <v>304</v>
      </c>
      <c r="Q376" s="29" t="s">
        <v>682</v>
      </c>
    </row>
    <row r="377" spans="1:17" ht="14.25" customHeight="1" x14ac:dyDescent="0.3">
      <c r="A377" s="28">
        <v>46050</v>
      </c>
      <c r="B377" s="29" t="s">
        <v>676</v>
      </c>
      <c r="C377" s="30" t="s">
        <v>77</v>
      </c>
      <c r="D377" s="30" t="s">
        <v>733</v>
      </c>
      <c r="E377" s="31" t="s">
        <v>182</v>
      </c>
      <c r="F377" s="31" t="s">
        <v>183</v>
      </c>
      <c r="G377" s="30" t="s">
        <v>334</v>
      </c>
      <c r="H377" s="30" t="s">
        <v>734</v>
      </c>
      <c r="I377" s="32">
        <v>46049</v>
      </c>
      <c r="J377" s="30" t="s">
        <v>83</v>
      </c>
      <c r="K377" s="32" t="s">
        <v>25</v>
      </c>
      <c r="L377" s="30" t="s">
        <v>114</v>
      </c>
      <c r="M377" s="30" t="s">
        <v>488</v>
      </c>
      <c r="N377" s="37">
        <v>1150</v>
      </c>
      <c r="O377" s="34" t="s">
        <v>86</v>
      </c>
      <c r="P377" s="35" t="s">
        <v>304</v>
      </c>
      <c r="Q377" s="29" t="s">
        <v>682</v>
      </c>
    </row>
    <row r="378" spans="1:17" ht="14.25" customHeight="1" x14ac:dyDescent="0.3">
      <c r="A378" s="28">
        <v>46051</v>
      </c>
      <c r="B378" s="29" t="s">
        <v>676</v>
      </c>
      <c r="C378" s="30" t="s">
        <v>77</v>
      </c>
      <c r="D378" s="30" t="s">
        <v>735</v>
      </c>
      <c r="E378" s="31" t="s">
        <v>691</v>
      </c>
      <c r="F378" s="31" t="s">
        <v>428</v>
      </c>
      <c r="G378" s="30" t="s">
        <v>112</v>
      </c>
      <c r="H378" s="30" t="s">
        <v>124</v>
      </c>
      <c r="I378" s="32">
        <v>46049</v>
      </c>
      <c r="J378" s="30" t="s">
        <v>83</v>
      </c>
      <c r="K378" s="32" t="s">
        <v>44</v>
      </c>
      <c r="L378" s="30" t="s">
        <v>114</v>
      </c>
      <c r="M378" s="30" t="s">
        <v>270</v>
      </c>
      <c r="N378" s="37">
        <v>660</v>
      </c>
      <c r="O378" s="34" t="s">
        <v>86</v>
      </c>
      <c r="P378" s="35" t="s">
        <v>304</v>
      </c>
      <c r="Q378" s="29" t="s">
        <v>682</v>
      </c>
    </row>
    <row r="379" spans="1:17" ht="14.25" customHeight="1" x14ac:dyDescent="0.3">
      <c r="A379" s="28">
        <v>46051</v>
      </c>
      <c r="B379" s="29" t="s">
        <v>676</v>
      </c>
      <c r="C379" s="30" t="s">
        <v>77</v>
      </c>
      <c r="D379" s="30" t="s">
        <v>736</v>
      </c>
      <c r="E379" s="31" t="s">
        <v>691</v>
      </c>
      <c r="F379" s="31" t="s">
        <v>428</v>
      </c>
      <c r="G379" s="30" t="s">
        <v>112</v>
      </c>
      <c r="H379" s="30" t="s">
        <v>124</v>
      </c>
      <c r="I379" s="32">
        <v>46049</v>
      </c>
      <c r="J379" s="30" t="s">
        <v>83</v>
      </c>
      <c r="K379" s="32" t="s">
        <v>44</v>
      </c>
      <c r="L379" s="30" t="s">
        <v>114</v>
      </c>
      <c r="M379" s="30" t="s">
        <v>270</v>
      </c>
      <c r="N379" s="37">
        <v>660</v>
      </c>
      <c r="O379" s="34" t="s">
        <v>86</v>
      </c>
      <c r="P379" s="35" t="s">
        <v>304</v>
      </c>
      <c r="Q379" s="29" t="s">
        <v>682</v>
      </c>
    </row>
    <row r="380" spans="1:17" ht="14.25" customHeight="1" x14ac:dyDescent="0.3">
      <c r="A380" s="28">
        <v>46051</v>
      </c>
      <c r="B380" s="29" t="s">
        <v>676</v>
      </c>
      <c r="C380" s="30" t="s">
        <v>77</v>
      </c>
      <c r="D380" s="30" t="s">
        <v>737</v>
      </c>
      <c r="E380" s="31" t="s">
        <v>691</v>
      </c>
      <c r="F380" s="31" t="s">
        <v>428</v>
      </c>
      <c r="G380" s="30" t="s">
        <v>112</v>
      </c>
      <c r="H380" s="30" t="s">
        <v>124</v>
      </c>
      <c r="I380" s="32">
        <v>46049</v>
      </c>
      <c r="J380" s="30" t="s">
        <v>83</v>
      </c>
      <c r="K380" s="32" t="s">
        <v>44</v>
      </c>
      <c r="L380" s="30" t="s">
        <v>114</v>
      </c>
      <c r="M380" s="30" t="s">
        <v>270</v>
      </c>
      <c r="N380" s="37">
        <v>660</v>
      </c>
      <c r="O380" s="34" t="s">
        <v>86</v>
      </c>
      <c r="P380" s="35" t="s">
        <v>304</v>
      </c>
      <c r="Q380" s="29" t="s">
        <v>682</v>
      </c>
    </row>
    <row r="381" spans="1:17" ht="14.25" customHeight="1" x14ac:dyDescent="0.3">
      <c r="A381" s="28">
        <v>46051</v>
      </c>
      <c r="B381" s="29" t="s">
        <v>676</v>
      </c>
      <c r="C381" s="30" t="s">
        <v>219</v>
      </c>
      <c r="D381" s="30" t="s">
        <v>738</v>
      </c>
      <c r="E381" s="31" t="s">
        <v>2</v>
      </c>
      <c r="F381" s="31" t="s">
        <v>134</v>
      </c>
      <c r="G381" s="30" t="s">
        <v>81</v>
      </c>
      <c r="H381" s="30" t="s">
        <v>346</v>
      </c>
      <c r="I381" s="32">
        <v>46050</v>
      </c>
      <c r="J381" s="30" t="s">
        <v>136</v>
      </c>
      <c r="K381" s="32" t="s">
        <v>44</v>
      </c>
      <c r="L381" s="30" t="s">
        <v>586</v>
      </c>
      <c r="M381" s="30" t="s">
        <v>703</v>
      </c>
      <c r="N381" s="37" t="s">
        <v>81</v>
      </c>
      <c r="O381" s="34" t="s">
        <v>86</v>
      </c>
      <c r="P381" s="35" t="s">
        <v>304</v>
      </c>
      <c r="Q381" s="29" t="s">
        <v>682</v>
      </c>
    </row>
    <row r="382" spans="1:17" ht="14.25" customHeight="1" x14ac:dyDescent="0.3">
      <c r="A382" s="28">
        <v>46051</v>
      </c>
      <c r="B382" s="29" t="s">
        <v>676</v>
      </c>
      <c r="C382" s="30" t="s">
        <v>219</v>
      </c>
      <c r="D382" s="30" t="s">
        <v>739</v>
      </c>
      <c r="E382" s="31" t="s">
        <v>2</v>
      </c>
      <c r="F382" s="31" t="s">
        <v>134</v>
      </c>
      <c r="G382" s="30" t="s">
        <v>81</v>
      </c>
      <c r="H382" s="30" t="s">
        <v>346</v>
      </c>
      <c r="I382" s="32">
        <v>46050</v>
      </c>
      <c r="J382" s="30" t="s">
        <v>136</v>
      </c>
      <c r="K382" s="32" t="s">
        <v>44</v>
      </c>
      <c r="L382" s="30" t="s">
        <v>586</v>
      </c>
      <c r="M382" s="30" t="s">
        <v>703</v>
      </c>
      <c r="N382" s="37" t="s">
        <v>81</v>
      </c>
      <c r="O382" s="34" t="s">
        <v>86</v>
      </c>
      <c r="P382" s="35" t="s">
        <v>304</v>
      </c>
      <c r="Q382" s="29" t="s">
        <v>682</v>
      </c>
    </row>
    <row r="383" spans="1:17" ht="14.25" customHeight="1" x14ac:dyDescent="0.3">
      <c r="A383" s="28">
        <v>46052</v>
      </c>
      <c r="B383" s="29" t="s">
        <v>676</v>
      </c>
      <c r="C383" s="30" t="s">
        <v>103</v>
      </c>
      <c r="D383" s="30" t="s">
        <v>740</v>
      </c>
      <c r="E383" s="31" t="s">
        <v>117</v>
      </c>
      <c r="F383" s="31" t="s">
        <v>118</v>
      </c>
      <c r="G383" s="30" t="s">
        <v>81</v>
      </c>
      <c r="H383" s="30" t="s">
        <v>119</v>
      </c>
      <c r="I383" s="32">
        <v>46050</v>
      </c>
      <c r="J383" s="30" t="s">
        <v>83</v>
      </c>
      <c r="K383" s="32" t="s">
        <v>35</v>
      </c>
      <c r="L383" s="30" t="s">
        <v>114</v>
      </c>
      <c r="M383" s="30" t="s">
        <v>741</v>
      </c>
      <c r="N383" s="37" t="s">
        <v>81</v>
      </c>
      <c r="O383" s="34" t="s">
        <v>86</v>
      </c>
      <c r="P383" s="35" t="s">
        <v>304</v>
      </c>
      <c r="Q383" s="29" t="s">
        <v>682</v>
      </c>
    </row>
    <row r="384" spans="1:17" ht="14.25" customHeight="1" x14ac:dyDescent="0.3">
      <c r="A384" s="28">
        <v>46053</v>
      </c>
      <c r="B384" s="29" t="s">
        <v>676</v>
      </c>
      <c r="C384" s="30" t="s">
        <v>219</v>
      </c>
      <c r="D384" s="30" t="s">
        <v>742</v>
      </c>
      <c r="E384" s="31" t="s">
        <v>326</v>
      </c>
      <c r="F384" s="31" t="s">
        <v>327</v>
      </c>
      <c r="G384" s="30" t="s">
        <v>81</v>
      </c>
      <c r="H384" s="30" t="s">
        <v>492</v>
      </c>
      <c r="I384" s="32">
        <v>46051</v>
      </c>
      <c r="J384" s="30" t="s">
        <v>83</v>
      </c>
      <c r="K384" s="32" t="s">
        <v>32</v>
      </c>
      <c r="L384" s="30" t="s">
        <v>114</v>
      </c>
      <c r="M384" s="30" t="s">
        <v>328</v>
      </c>
      <c r="N384" s="37" t="s">
        <v>81</v>
      </c>
      <c r="O384" s="34" t="s">
        <v>86</v>
      </c>
      <c r="P384" s="35" t="s">
        <v>304</v>
      </c>
      <c r="Q384" s="29" t="s">
        <v>682</v>
      </c>
    </row>
    <row r="385" spans="1:17" ht="14.25" customHeight="1" x14ac:dyDescent="0.3">
      <c r="A385" s="28">
        <v>46052</v>
      </c>
      <c r="B385" s="29" t="s">
        <v>676</v>
      </c>
      <c r="C385" s="30" t="s">
        <v>77</v>
      </c>
      <c r="D385" s="30" t="s">
        <v>743</v>
      </c>
      <c r="E385" s="31" t="s">
        <v>330</v>
      </c>
      <c r="F385" s="31" t="s">
        <v>428</v>
      </c>
      <c r="G385" s="30" t="s">
        <v>112</v>
      </c>
      <c r="H385" s="30" t="s">
        <v>124</v>
      </c>
      <c r="I385" s="32">
        <v>46044</v>
      </c>
      <c r="J385" s="30" t="s">
        <v>83</v>
      </c>
      <c r="K385" s="32" t="s">
        <v>44</v>
      </c>
      <c r="L385" s="30" t="s">
        <v>114</v>
      </c>
      <c r="M385" s="30" t="s">
        <v>331</v>
      </c>
      <c r="N385" s="37">
        <v>660</v>
      </c>
      <c r="O385" s="34" t="s">
        <v>86</v>
      </c>
      <c r="P385" s="35" t="s">
        <v>304</v>
      </c>
      <c r="Q385" s="29" t="s">
        <v>682</v>
      </c>
    </row>
    <row r="386" spans="1:17" ht="14.25" customHeight="1" x14ac:dyDescent="0.3">
      <c r="A386" s="28">
        <v>46053</v>
      </c>
      <c r="B386" s="29" t="s">
        <v>676</v>
      </c>
      <c r="C386" s="30" t="s">
        <v>103</v>
      </c>
      <c r="D386" s="30" t="s">
        <v>744</v>
      </c>
      <c r="E386" s="31" t="s">
        <v>554</v>
      </c>
      <c r="F386" s="31" t="s">
        <v>209</v>
      </c>
      <c r="G386" s="30" t="s">
        <v>112</v>
      </c>
      <c r="H386" s="30" t="s">
        <v>166</v>
      </c>
      <c r="I386" s="32">
        <v>46053</v>
      </c>
      <c r="J386" s="30" t="s">
        <v>136</v>
      </c>
      <c r="K386" s="32" t="s">
        <v>45</v>
      </c>
      <c r="L386" s="30" t="s">
        <v>586</v>
      </c>
      <c r="M386" s="30" t="s">
        <v>617</v>
      </c>
      <c r="N386" s="37">
        <v>1450</v>
      </c>
      <c r="O386" s="34" t="s">
        <v>86</v>
      </c>
      <c r="P386" s="35" t="s">
        <v>304</v>
      </c>
      <c r="Q386" s="29" t="s">
        <v>682</v>
      </c>
    </row>
    <row r="387" spans="1:17" ht="14.25" customHeight="1" x14ac:dyDescent="0.3">
      <c r="A387" s="28">
        <v>46053</v>
      </c>
      <c r="B387" s="29" t="s">
        <v>676</v>
      </c>
      <c r="C387" s="30" t="s">
        <v>103</v>
      </c>
      <c r="D387" s="30" t="s">
        <v>745</v>
      </c>
      <c r="E387" s="31" t="s">
        <v>554</v>
      </c>
      <c r="F387" s="31" t="s">
        <v>209</v>
      </c>
      <c r="G387" s="30" t="s">
        <v>112</v>
      </c>
      <c r="H387" s="30" t="s">
        <v>166</v>
      </c>
      <c r="I387" s="32">
        <v>46053</v>
      </c>
      <c r="J387" s="30" t="s">
        <v>136</v>
      </c>
      <c r="K387" s="32" t="s">
        <v>45</v>
      </c>
      <c r="L387" s="30" t="s">
        <v>586</v>
      </c>
      <c r="M387" s="30" t="s">
        <v>617</v>
      </c>
      <c r="N387" s="37">
        <v>1450</v>
      </c>
      <c r="O387" s="34" t="s">
        <v>86</v>
      </c>
      <c r="P387" s="35" t="s">
        <v>304</v>
      </c>
      <c r="Q387" s="29" t="s">
        <v>682</v>
      </c>
    </row>
    <row r="388" spans="1:17" ht="14.25" customHeight="1" x14ac:dyDescent="0.3">
      <c r="A388" s="28">
        <v>46056</v>
      </c>
      <c r="B388" s="29" t="s">
        <v>746</v>
      </c>
      <c r="C388" s="30" t="s">
        <v>103</v>
      </c>
      <c r="D388" s="30" t="s">
        <v>747</v>
      </c>
      <c r="E388" s="31" t="s">
        <v>609</v>
      </c>
      <c r="F388" s="31" t="s">
        <v>209</v>
      </c>
      <c r="G388" s="30" t="s">
        <v>81</v>
      </c>
      <c r="H388" s="30" t="s">
        <v>675</v>
      </c>
      <c r="I388" s="32">
        <v>46053</v>
      </c>
      <c r="J388" s="30" t="s">
        <v>83</v>
      </c>
      <c r="K388" s="32" t="s">
        <v>44</v>
      </c>
      <c r="L388" s="30" t="s">
        <v>114</v>
      </c>
      <c r="M388" s="30" t="s">
        <v>617</v>
      </c>
      <c r="N388" s="37" t="s">
        <v>81</v>
      </c>
      <c r="O388" s="34" t="s">
        <v>86</v>
      </c>
      <c r="P388" s="35" t="s">
        <v>304</v>
      </c>
      <c r="Q388" s="29" t="s">
        <v>748</v>
      </c>
    </row>
    <row r="389" spans="1:17" ht="14.25" customHeight="1" x14ac:dyDescent="0.3">
      <c r="A389" s="28">
        <v>46059</v>
      </c>
      <c r="B389" s="29" t="s">
        <v>746</v>
      </c>
      <c r="C389" s="30" t="s">
        <v>337</v>
      </c>
      <c r="D389" s="30" t="s">
        <v>749</v>
      </c>
      <c r="E389" s="31" t="s">
        <v>750</v>
      </c>
      <c r="F389" s="31" t="s">
        <v>340</v>
      </c>
      <c r="G389" s="30" t="s">
        <v>334</v>
      </c>
      <c r="H389" s="30" t="s">
        <v>751</v>
      </c>
      <c r="I389" s="32">
        <v>46058</v>
      </c>
      <c r="J389" s="30" t="s">
        <v>83</v>
      </c>
      <c r="K389" s="32" t="s">
        <v>21</v>
      </c>
      <c r="L389" s="30" t="s">
        <v>114</v>
      </c>
      <c r="M389" s="30" t="s">
        <v>752</v>
      </c>
      <c r="N389" s="37">
        <v>2790</v>
      </c>
      <c r="O389" s="34" t="s">
        <v>86</v>
      </c>
      <c r="P389" s="35" t="s">
        <v>304</v>
      </c>
      <c r="Q389" s="29" t="s">
        <v>748</v>
      </c>
    </row>
    <row r="390" spans="1:17" ht="14.25" customHeight="1" x14ac:dyDescent="0.3">
      <c r="A390" s="28">
        <v>46060</v>
      </c>
      <c r="B390" s="29" t="s">
        <v>746</v>
      </c>
      <c r="C390" s="30" t="s">
        <v>219</v>
      </c>
      <c r="D390" s="30" t="s">
        <v>753</v>
      </c>
      <c r="E390" s="31" t="s">
        <v>226</v>
      </c>
      <c r="F390" s="31" t="s">
        <v>99</v>
      </c>
      <c r="G390" s="30" t="s">
        <v>81</v>
      </c>
      <c r="H390" s="30" t="s">
        <v>227</v>
      </c>
      <c r="I390" s="32">
        <v>46058</v>
      </c>
      <c r="J390" s="30" t="s">
        <v>83</v>
      </c>
      <c r="K390" s="32" t="s">
        <v>44</v>
      </c>
      <c r="L390" s="30" t="s">
        <v>114</v>
      </c>
      <c r="M390" s="30" t="s">
        <v>101</v>
      </c>
      <c r="N390" s="37" t="s">
        <v>81</v>
      </c>
      <c r="O390" s="34" t="s">
        <v>86</v>
      </c>
      <c r="P390" s="35" t="s">
        <v>304</v>
      </c>
      <c r="Q390" s="29" t="s">
        <v>748</v>
      </c>
    </row>
    <row r="391" spans="1:17" ht="14.25" customHeight="1" x14ac:dyDescent="0.3">
      <c r="A391" s="28">
        <v>46060</v>
      </c>
      <c r="B391" s="29" t="s">
        <v>746</v>
      </c>
      <c r="C391" s="30" t="s">
        <v>219</v>
      </c>
      <c r="D391" s="30" t="s">
        <v>754</v>
      </c>
      <c r="E391" s="31" t="s">
        <v>226</v>
      </c>
      <c r="F391" s="31" t="s">
        <v>99</v>
      </c>
      <c r="G391" s="30" t="s">
        <v>81</v>
      </c>
      <c r="H391" s="30" t="s">
        <v>227</v>
      </c>
      <c r="I391" s="32">
        <v>46058</v>
      </c>
      <c r="J391" s="30" t="s">
        <v>83</v>
      </c>
      <c r="K391" s="32" t="s">
        <v>44</v>
      </c>
      <c r="L391" s="30" t="s">
        <v>114</v>
      </c>
      <c r="M391" s="30" t="s">
        <v>101</v>
      </c>
      <c r="N391" s="37" t="s">
        <v>81</v>
      </c>
      <c r="O391" s="34" t="s">
        <v>86</v>
      </c>
      <c r="P391" s="35" t="s">
        <v>304</v>
      </c>
      <c r="Q391" s="29" t="s">
        <v>748</v>
      </c>
    </row>
    <row r="392" spans="1:17" ht="14.25" customHeight="1" x14ac:dyDescent="0.3">
      <c r="A392" s="28">
        <v>46064</v>
      </c>
      <c r="B392" s="29" t="s">
        <v>746</v>
      </c>
      <c r="C392" s="30" t="s">
        <v>77</v>
      </c>
      <c r="D392" s="30" t="s">
        <v>755</v>
      </c>
      <c r="E392" s="31" t="s">
        <v>756</v>
      </c>
      <c r="F392" s="31" t="s">
        <v>253</v>
      </c>
      <c r="G392" s="30" t="s">
        <v>112</v>
      </c>
      <c r="H392" s="30" t="s">
        <v>156</v>
      </c>
      <c r="I392" s="32">
        <v>46062</v>
      </c>
      <c r="J392" s="30" t="s">
        <v>83</v>
      </c>
      <c r="K392" s="32" t="s">
        <v>55</v>
      </c>
      <c r="L392" s="30" t="s">
        <v>114</v>
      </c>
      <c r="M392" s="30" t="s">
        <v>85</v>
      </c>
      <c r="N392" s="37">
        <v>247</v>
      </c>
      <c r="O392" s="34" t="s">
        <v>86</v>
      </c>
      <c r="P392" s="35" t="s">
        <v>304</v>
      </c>
      <c r="Q392" s="29" t="s">
        <v>748</v>
      </c>
    </row>
    <row r="393" spans="1:17" ht="14.25" customHeight="1" x14ac:dyDescent="0.3">
      <c r="A393" s="28">
        <v>46065</v>
      </c>
      <c r="B393" s="29" t="s">
        <v>746</v>
      </c>
      <c r="C393" s="30" t="s">
        <v>219</v>
      </c>
      <c r="D393" s="30" t="s">
        <v>757</v>
      </c>
      <c r="E393" s="31" t="s">
        <v>326</v>
      </c>
      <c r="F393" s="31" t="s">
        <v>327</v>
      </c>
      <c r="G393" s="30" t="s">
        <v>81</v>
      </c>
      <c r="H393" s="30" t="s">
        <v>492</v>
      </c>
      <c r="I393" s="32">
        <v>46063</v>
      </c>
      <c r="J393" s="30" t="s">
        <v>83</v>
      </c>
      <c r="K393" s="32" t="s">
        <v>32</v>
      </c>
      <c r="L393" s="30" t="s">
        <v>114</v>
      </c>
      <c r="M393" s="30" t="s">
        <v>328</v>
      </c>
      <c r="N393" s="37" t="s">
        <v>81</v>
      </c>
      <c r="O393" s="34" t="s">
        <v>86</v>
      </c>
      <c r="P393" s="35" t="s">
        <v>304</v>
      </c>
      <c r="Q393" s="29" t="s">
        <v>748</v>
      </c>
    </row>
    <row r="394" spans="1:17" ht="14.25" customHeight="1" x14ac:dyDescent="0.3">
      <c r="A394" s="28">
        <v>46065</v>
      </c>
      <c r="B394" s="29" t="s">
        <v>746</v>
      </c>
      <c r="C394" s="30" t="s">
        <v>337</v>
      </c>
      <c r="D394" s="30" t="s">
        <v>758</v>
      </c>
      <c r="E394" s="31" t="s">
        <v>750</v>
      </c>
      <c r="F394" s="31" t="s">
        <v>340</v>
      </c>
      <c r="G394" s="30" t="s">
        <v>334</v>
      </c>
      <c r="H394" s="30" t="s">
        <v>759</v>
      </c>
      <c r="I394" s="32">
        <v>46066</v>
      </c>
      <c r="J394" s="30" t="s">
        <v>83</v>
      </c>
      <c r="K394" s="32" t="s">
        <v>53</v>
      </c>
      <c r="L394" s="30" t="s">
        <v>114</v>
      </c>
      <c r="M394" s="30" t="s">
        <v>752</v>
      </c>
      <c r="N394" s="37">
        <v>3100</v>
      </c>
      <c r="O394" s="34" t="s">
        <v>86</v>
      </c>
      <c r="P394" s="35" t="s">
        <v>304</v>
      </c>
      <c r="Q394" s="29" t="s">
        <v>748</v>
      </c>
    </row>
    <row r="395" spans="1:17" ht="14.25" customHeight="1" x14ac:dyDescent="0.3">
      <c r="A395" s="28">
        <v>46067</v>
      </c>
      <c r="B395" s="29" t="s">
        <v>746</v>
      </c>
      <c r="C395" s="30" t="s">
        <v>103</v>
      </c>
      <c r="D395" s="30" t="s">
        <v>760</v>
      </c>
      <c r="E395" s="31" t="s">
        <v>164</v>
      </c>
      <c r="F395" s="31" t="s">
        <v>165</v>
      </c>
      <c r="G395" s="30" t="s">
        <v>81</v>
      </c>
      <c r="H395" s="30" t="s">
        <v>500</v>
      </c>
      <c r="I395" s="32">
        <v>46065</v>
      </c>
      <c r="J395" s="30" t="s">
        <v>83</v>
      </c>
      <c r="K395" s="32" t="s">
        <v>44</v>
      </c>
      <c r="L395" s="30" t="s">
        <v>114</v>
      </c>
      <c r="M395" s="30" t="s">
        <v>167</v>
      </c>
      <c r="N395" s="37" t="s">
        <v>81</v>
      </c>
      <c r="O395" s="34" t="s">
        <v>86</v>
      </c>
      <c r="P395" s="35" t="s">
        <v>304</v>
      </c>
      <c r="Q395" s="29" t="s">
        <v>748</v>
      </c>
    </row>
    <row r="396" spans="1:17" ht="14.25" customHeight="1" x14ac:dyDescent="0.3">
      <c r="A396" s="28">
        <v>46067</v>
      </c>
      <c r="B396" s="29" t="s">
        <v>746</v>
      </c>
      <c r="C396" s="30" t="s">
        <v>103</v>
      </c>
      <c r="D396" s="30" t="s">
        <v>761</v>
      </c>
      <c r="E396" s="31" t="s">
        <v>164</v>
      </c>
      <c r="F396" s="31" t="s">
        <v>165</v>
      </c>
      <c r="G396" s="30" t="s">
        <v>81</v>
      </c>
      <c r="H396" s="30" t="s">
        <v>500</v>
      </c>
      <c r="I396" s="32">
        <v>46065</v>
      </c>
      <c r="J396" s="30" t="s">
        <v>83</v>
      </c>
      <c r="K396" s="32" t="s">
        <v>44</v>
      </c>
      <c r="L396" s="30" t="s">
        <v>114</v>
      </c>
      <c r="M396" s="30" t="s">
        <v>167</v>
      </c>
      <c r="N396" s="37" t="s">
        <v>81</v>
      </c>
      <c r="O396" s="34" t="s">
        <v>86</v>
      </c>
      <c r="P396" s="35" t="s">
        <v>304</v>
      </c>
      <c r="Q396" s="29" t="s">
        <v>748</v>
      </c>
    </row>
    <row r="397" spans="1:17" ht="14.25" customHeight="1" x14ac:dyDescent="0.3">
      <c r="A397" s="28">
        <v>46067</v>
      </c>
      <c r="B397" s="29" t="s">
        <v>746</v>
      </c>
      <c r="C397" s="30" t="s">
        <v>103</v>
      </c>
      <c r="D397" s="30" t="s">
        <v>762</v>
      </c>
      <c r="E397" s="31" t="s">
        <v>164</v>
      </c>
      <c r="F397" s="31" t="s">
        <v>165</v>
      </c>
      <c r="G397" s="30" t="s">
        <v>81</v>
      </c>
      <c r="H397" s="30" t="s">
        <v>500</v>
      </c>
      <c r="I397" s="32">
        <v>46065</v>
      </c>
      <c r="J397" s="30" t="s">
        <v>83</v>
      </c>
      <c r="K397" s="32" t="s">
        <v>44</v>
      </c>
      <c r="L397" s="30" t="s">
        <v>114</v>
      </c>
      <c r="M397" s="30" t="s">
        <v>167</v>
      </c>
      <c r="N397" s="37" t="s">
        <v>81</v>
      </c>
      <c r="O397" s="34" t="s">
        <v>86</v>
      </c>
      <c r="P397" s="35" t="s">
        <v>304</v>
      </c>
      <c r="Q397" s="29" t="s">
        <v>748</v>
      </c>
    </row>
    <row r="398" spans="1:17" ht="14.25" customHeight="1" x14ac:dyDescent="0.3">
      <c r="A398" s="28">
        <v>46068</v>
      </c>
      <c r="B398" s="29" t="s">
        <v>746</v>
      </c>
      <c r="C398" s="30" t="s">
        <v>219</v>
      </c>
      <c r="D398" s="30" t="s">
        <v>763</v>
      </c>
      <c r="E398" s="31" t="s">
        <v>221</v>
      </c>
      <c r="F398" s="31" t="s">
        <v>99</v>
      </c>
      <c r="G398" s="30" t="s">
        <v>112</v>
      </c>
      <c r="H398" s="30" t="s">
        <v>166</v>
      </c>
      <c r="I398" s="32">
        <v>46066</v>
      </c>
      <c r="J398" s="30" t="s">
        <v>83</v>
      </c>
      <c r="K398" s="32" t="s">
        <v>42</v>
      </c>
      <c r="L398" s="30" t="s">
        <v>114</v>
      </c>
      <c r="M398" s="30" t="s">
        <v>101</v>
      </c>
      <c r="N398" s="37">
        <v>1550</v>
      </c>
      <c r="O398" s="34" t="s">
        <v>86</v>
      </c>
      <c r="P398" s="35" t="s">
        <v>304</v>
      </c>
      <c r="Q398" s="29" t="s">
        <v>748</v>
      </c>
    </row>
    <row r="399" spans="1:17" ht="14.25" customHeight="1" x14ac:dyDescent="0.3">
      <c r="A399" s="28">
        <v>46068</v>
      </c>
      <c r="B399" s="29" t="s">
        <v>746</v>
      </c>
      <c r="C399" s="30" t="s">
        <v>219</v>
      </c>
      <c r="D399" s="30" t="s">
        <v>764</v>
      </c>
      <c r="E399" s="31" t="s">
        <v>221</v>
      </c>
      <c r="F399" s="31" t="s">
        <v>99</v>
      </c>
      <c r="G399" s="30" t="s">
        <v>112</v>
      </c>
      <c r="H399" s="30" t="s">
        <v>166</v>
      </c>
      <c r="I399" s="32">
        <v>46066</v>
      </c>
      <c r="J399" s="30" t="s">
        <v>83</v>
      </c>
      <c r="K399" s="32" t="s">
        <v>42</v>
      </c>
      <c r="L399" s="30" t="s">
        <v>114</v>
      </c>
      <c r="M399" s="30" t="s">
        <v>101</v>
      </c>
      <c r="N399" s="37">
        <v>1550</v>
      </c>
      <c r="O399" s="34" t="s">
        <v>86</v>
      </c>
      <c r="P399" s="35" t="s">
        <v>304</v>
      </c>
      <c r="Q399" s="29" t="s">
        <v>748</v>
      </c>
    </row>
    <row r="400" spans="1:17" ht="14.25" customHeight="1" x14ac:dyDescent="0.3">
      <c r="A400" s="28">
        <v>46068</v>
      </c>
      <c r="B400" s="29" t="s">
        <v>746</v>
      </c>
      <c r="C400" s="30" t="s">
        <v>103</v>
      </c>
      <c r="D400" s="30" t="s">
        <v>765</v>
      </c>
      <c r="E400" s="31" t="s">
        <v>766</v>
      </c>
      <c r="F400" s="31" t="s">
        <v>414</v>
      </c>
      <c r="G400" s="30" t="s">
        <v>81</v>
      </c>
      <c r="H400" s="30" t="s">
        <v>767</v>
      </c>
      <c r="I400" s="32">
        <v>46066</v>
      </c>
      <c r="J400" s="30" t="s">
        <v>83</v>
      </c>
      <c r="K400" s="32" t="s">
        <v>42</v>
      </c>
      <c r="L400" s="30" t="s">
        <v>114</v>
      </c>
      <c r="M400" s="30" t="s">
        <v>416</v>
      </c>
      <c r="N400" s="37" t="s">
        <v>81</v>
      </c>
      <c r="O400" s="34" t="s">
        <v>86</v>
      </c>
      <c r="P400" s="35" t="s">
        <v>304</v>
      </c>
      <c r="Q400" s="29" t="s">
        <v>748</v>
      </c>
    </row>
    <row r="401" spans="1:17" ht="14.25" customHeight="1" x14ac:dyDescent="0.3">
      <c r="A401" s="28">
        <v>46068</v>
      </c>
      <c r="B401" s="29" t="s">
        <v>746</v>
      </c>
      <c r="C401" s="30" t="s">
        <v>219</v>
      </c>
      <c r="D401" s="30" t="s">
        <v>768</v>
      </c>
      <c r="E401" s="31" t="s">
        <v>364</v>
      </c>
      <c r="F401" s="31" t="s">
        <v>365</v>
      </c>
      <c r="G401" s="30" t="s">
        <v>112</v>
      </c>
      <c r="H401" s="30" t="s">
        <v>166</v>
      </c>
      <c r="I401" s="32">
        <v>46066</v>
      </c>
      <c r="J401" s="30" t="s">
        <v>83</v>
      </c>
      <c r="K401" s="32" t="s">
        <v>42</v>
      </c>
      <c r="L401" s="30" t="s">
        <v>114</v>
      </c>
      <c r="M401" s="30" t="s">
        <v>769</v>
      </c>
      <c r="N401" s="37">
        <v>1525</v>
      </c>
      <c r="O401" s="34" t="s">
        <v>86</v>
      </c>
      <c r="P401" s="35" t="s">
        <v>304</v>
      </c>
      <c r="Q401" s="29" t="s">
        <v>748</v>
      </c>
    </row>
    <row r="402" spans="1:17" ht="14.25" customHeight="1" x14ac:dyDescent="0.3">
      <c r="A402" s="28">
        <v>46068</v>
      </c>
      <c r="B402" s="29" t="s">
        <v>746</v>
      </c>
      <c r="C402" s="30" t="s">
        <v>219</v>
      </c>
      <c r="D402" s="30" t="s">
        <v>770</v>
      </c>
      <c r="E402" s="31" t="s">
        <v>364</v>
      </c>
      <c r="F402" s="31" t="s">
        <v>365</v>
      </c>
      <c r="G402" s="30" t="s">
        <v>112</v>
      </c>
      <c r="H402" s="30" t="s">
        <v>166</v>
      </c>
      <c r="I402" s="32">
        <v>46066</v>
      </c>
      <c r="J402" s="30" t="s">
        <v>83</v>
      </c>
      <c r="K402" s="32" t="s">
        <v>42</v>
      </c>
      <c r="L402" s="30" t="s">
        <v>114</v>
      </c>
      <c r="M402" s="30" t="s">
        <v>769</v>
      </c>
      <c r="N402" s="37">
        <v>1525</v>
      </c>
      <c r="O402" s="34" t="s">
        <v>86</v>
      </c>
      <c r="P402" s="35" t="s">
        <v>304</v>
      </c>
      <c r="Q402" s="29" t="s">
        <v>748</v>
      </c>
    </row>
    <row r="403" spans="1:17" ht="14.25" customHeight="1" x14ac:dyDescent="0.3">
      <c r="A403" s="28">
        <v>46069</v>
      </c>
      <c r="B403" s="29" t="s">
        <v>746</v>
      </c>
      <c r="C403" s="30" t="s">
        <v>77</v>
      </c>
      <c r="D403" s="30" t="s">
        <v>771</v>
      </c>
      <c r="E403" s="31" t="s">
        <v>79</v>
      </c>
      <c r="F403" s="31" t="s">
        <v>80</v>
      </c>
      <c r="G403" s="30" t="s">
        <v>81</v>
      </c>
      <c r="H403" s="30" t="s">
        <v>772</v>
      </c>
      <c r="I403" s="32">
        <v>46067</v>
      </c>
      <c r="J403" s="30" t="s">
        <v>83</v>
      </c>
      <c r="K403" s="32" t="s">
        <v>20</v>
      </c>
      <c r="L403" s="30" t="s">
        <v>114</v>
      </c>
      <c r="M403" s="30" t="s">
        <v>85</v>
      </c>
      <c r="N403" s="37" t="s">
        <v>81</v>
      </c>
      <c r="O403" s="34" t="s">
        <v>86</v>
      </c>
      <c r="P403" s="35" t="s">
        <v>304</v>
      </c>
      <c r="Q403" s="29" t="s">
        <v>748</v>
      </c>
    </row>
    <row r="404" spans="1:17" ht="14.25" customHeight="1" x14ac:dyDescent="0.3">
      <c r="A404" s="28">
        <v>46069</v>
      </c>
      <c r="B404" s="29" t="s">
        <v>746</v>
      </c>
      <c r="C404" s="30" t="s">
        <v>77</v>
      </c>
      <c r="D404" s="30" t="s">
        <v>773</v>
      </c>
      <c r="E404" s="31" t="s">
        <v>79</v>
      </c>
      <c r="F404" s="31" t="s">
        <v>80</v>
      </c>
      <c r="G404" s="30" t="s">
        <v>81</v>
      </c>
      <c r="H404" s="30" t="s">
        <v>772</v>
      </c>
      <c r="I404" s="32">
        <v>46067</v>
      </c>
      <c r="J404" s="30" t="s">
        <v>83</v>
      </c>
      <c r="K404" s="32" t="s">
        <v>20</v>
      </c>
      <c r="L404" s="30" t="s">
        <v>114</v>
      </c>
      <c r="M404" s="30" t="s">
        <v>85</v>
      </c>
      <c r="N404" s="37" t="s">
        <v>81</v>
      </c>
      <c r="O404" s="34" t="s">
        <v>86</v>
      </c>
      <c r="P404" s="35" t="s">
        <v>304</v>
      </c>
      <c r="Q404" s="29" t="s">
        <v>748</v>
      </c>
    </row>
    <row r="405" spans="1:17" ht="14.25" customHeight="1" x14ac:dyDescent="0.3">
      <c r="A405" s="28">
        <v>46069</v>
      </c>
      <c r="B405" s="29" t="s">
        <v>746</v>
      </c>
      <c r="C405" s="30" t="s">
        <v>77</v>
      </c>
      <c r="D405" s="30" t="s">
        <v>774</v>
      </c>
      <c r="E405" s="31" t="s">
        <v>79</v>
      </c>
      <c r="F405" s="31" t="s">
        <v>80</v>
      </c>
      <c r="G405" s="30" t="s">
        <v>81</v>
      </c>
      <c r="H405" s="30" t="s">
        <v>772</v>
      </c>
      <c r="I405" s="32">
        <v>46067</v>
      </c>
      <c r="J405" s="30" t="s">
        <v>83</v>
      </c>
      <c r="K405" s="32" t="s">
        <v>20</v>
      </c>
      <c r="L405" s="30" t="s">
        <v>114</v>
      </c>
      <c r="M405" s="30" t="s">
        <v>85</v>
      </c>
      <c r="N405" s="37" t="s">
        <v>81</v>
      </c>
      <c r="O405" s="34" t="s">
        <v>86</v>
      </c>
      <c r="P405" s="35" t="s">
        <v>304</v>
      </c>
      <c r="Q405" s="29" t="s">
        <v>748</v>
      </c>
    </row>
    <row r="406" spans="1:17" ht="14.25" customHeight="1" x14ac:dyDescent="0.3">
      <c r="A406" s="28">
        <v>46069</v>
      </c>
      <c r="B406" s="29" t="s">
        <v>746</v>
      </c>
      <c r="C406" s="30" t="s">
        <v>77</v>
      </c>
      <c r="D406" s="30" t="s">
        <v>775</v>
      </c>
      <c r="E406" s="31" t="s">
        <v>79</v>
      </c>
      <c r="F406" s="31" t="s">
        <v>80</v>
      </c>
      <c r="G406" s="30" t="s">
        <v>81</v>
      </c>
      <c r="H406" s="30" t="s">
        <v>772</v>
      </c>
      <c r="I406" s="32">
        <v>46067</v>
      </c>
      <c r="J406" s="30" t="s">
        <v>83</v>
      </c>
      <c r="K406" s="32" t="s">
        <v>20</v>
      </c>
      <c r="L406" s="30" t="s">
        <v>114</v>
      </c>
      <c r="M406" s="30" t="s">
        <v>85</v>
      </c>
      <c r="N406" s="37" t="s">
        <v>81</v>
      </c>
      <c r="O406" s="34" t="s">
        <v>86</v>
      </c>
      <c r="P406" s="35" t="s">
        <v>304</v>
      </c>
      <c r="Q406" s="29" t="s">
        <v>748</v>
      </c>
    </row>
    <row r="407" spans="1:17" ht="14.25" customHeight="1" x14ac:dyDescent="0.3">
      <c r="A407" s="28">
        <v>46069</v>
      </c>
      <c r="B407" s="29" t="s">
        <v>746</v>
      </c>
      <c r="C407" s="30" t="s">
        <v>77</v>
      </c>
      <c r="D407" s="30" t="s">
        <v>776</v>
      </c>
      <c r="E407" s="31" t="s">
        <v>79</v>
      </c>
      <c r="F407" s="31" t="s">
        <v>80</v>
      </c>
      <c r="G407" s="30" t="s">
        <v>81</v>
      </c>
      <c r="H407" s="30" t="s">
        <v>772</v>
      </c>
      <c r="I407" s="32">
        <v>46067</v>
      </c>
      <c r="J407" s="30" t="s">
        <v>83</v>
      </c>
      <c r="K407" s="32" t="s">
        <v>20</v>
      </c>
      <c r="L407" s="30" t="s">
        <v>114</v>
      </c>
      <c r="M407" s="30" t="s">
        <v>85</v>
      </c>
      <c r="N407" s="37" t="s">
        <v>81</v>
      </c>
      <c r="O407" s="34" t="s">
        <v>86</v>
      </c>
      <c r="P407" s="35" t="s">
        <v>304</v>
      </c>
      <c r="Q407" s="29" t="s">
        <v>748</v>
      </c>
    </row>
    <row r="408" spans="1:17" ht="14.25" customHeight="1" x14ac:dyDescent="0.3">
      <c r="A408" s="28">
        <v>46073</v>
      </c>
      <c r="B408" s="29" t="s">
        <v>746</v>
      </c>
      <c r="C408" s="30" t="s">
        <v>77</v>
      </c>
      <c r="D408" s="30" t="s">
        <v>777</v>
      </c>
      <c r="E408" s="31" t="s">
        <v>778</v>
      </c>
      <c r="F408" s="31" t="s">
        <v>779</v>
      </c>
      <c r="G408" s="30" t="s">
        <v>780</v>
      </c>
      <c r="H408" s="30" t="s">
        <v>781</v>
      </c>
      <c r="I408" s="32">
        <v>46071</v>
      </c>
      <c r="J408" s="30" t="s">
        <v>83</v>
      </c>
      <c r="K408" s="32" t="s">
        <v>34</v>
      </c>
      <c r="L408" s="30" t="s">
        <v>114</v>
      </c>
      <c r="M408" s="30" t="s">
        <v>782</v>
      </c>
      <c r="N408" s="37" t="s">
        <v>81</v>
      </c>
      <c r="O408" s="34" t="s">
        <v>86</v>
      </c>
      <c r="P408" s="35" t="s">
        <v>304</v>
      </c>
      <c r="Q408" s="29" t="s">
        <v>748</v>
      </c>
    </row>
    <row r="409" spans="1:17" ht="14.25" customHeight="1" x14ac:dyDescent="0.3">
      <c r="A409" s="28">
        <v>46073</v>
      </c>
      <c r="B409" s="29" t="s">
        <v>746</v>
      </c>
      <c r="C409" s="30" t="s">
        <v>77</v>
      </c>
      <c r="D409" s="30" t="s">
        <v>783</v>
      </c>
      <c r="E409" s="31" t="s">
        <v>778</v>
      </c>
      <c r="F409" s="31" t="s">
        <v>779</v>
      </c>
      <c r="G409" s="30" t="s">
        <v>780</v>
      </c>
      <c r="H409" s="30" t="s">
        <v>781</v>
      </c>
      <c r="I409" s="32">
        <v>46071</v>
      </c>
      <c r="J409" s="30" t="s">
        <v>83</v>
      </c>
      <c r="K409" s="32" t="s">
        <v>34</v>
      </c>
      <c r="L409" s="30" t="s">
        <v>114</v>
      </c>
      <c r="M409" s="30" t="s">
        <v>782</v>
      </c>
      <c r="N409" s="37" t="s">
        <v>81</v>
      </c>
      <c r="O409" s="34" t="s">
        <v>86</v>
      </c>
      <c r="P409" s="35" t="s">
        <v>304</v>
      </c>
      <c r="Q409" s="29" t="s">
        <v>748</v>
      </c>
    </row>
    <row r="410" spans="1:17" ht="14.25" customHeight="1" x14ac:dyDescent="0.3">
      <c r="A410" s="28">
        <v>46073</v>
      </c>
      <c r="B410" s="29" t="s">
        <v>746</v>
      </c>
      <c r="C410" s="30" t="s">
        <v>103</v>
      </c>
      <c r="D410" s="30" t="s">
        <v>784</v>
      </c>
      <c r="E410" s="31" t="s">
        <v>178</v>
      </c>
      <c r="F410" s="31" t="s">
        <v>179</v>
      </c>
      <c r="G410" s="30" t="s">
        <v>81</v>
      </c>
      <c r="H410" s="30" t="s">
        <v>785</v>
      </c>
      <c r="I410" s="32">
        <v>46071</v>
      </c>
      <c r="J410" s="30" t="s">
        <v>83</v>
      </c>
      <c r="K410" s="32" t="s">
        <v>42</v>
      </c>
      <c r="L410" s="30" t="s">
        <v>114</v>
      </c>
      <c r="M410" s="30" t="s">
        <v>180</v>
      </c>
      <c r="N410" s="37" t="s">
        <v>81</v>
      </c>
      <c r="O410" s="34" t="s">
        <v>86</v>
      </c>
      <c r="P410" s="35" t="s">
        <v>304</v>
      </c>
      <c r="Q410" s="29" t="s">
        <v>748</v>
      </c>
    </row>
    <row r="411" spans="1:17" ht="14.25" customHeight="1" x14ac:dyDescent="0.3">
      <c r="A411" s="28">
        <v>46073</v>
      </c>
      <c r="B411" s="29" t="s">
        <v>746</v>
      </c>
      <c r="C411" s="30" t="s">
        <v>103</v>
      </c>
      <c r="D411" s="30" t="s">
        <v>786</v>
      </c>
      <c r="E411" s="31" t="s">
        <v>178</v>
      </c>
      <c r="F411" s="31" t="s">
        <v>179</v>
      </c>
      <c r="G411" s="30" t="s">
        <v>81</v>
      </c>
      <c r="H411" s="30" t="s">
        <v>785</v>
      </c>
      <c r="I411" s="32">
        <v>46071</v>
      </c>
      <c r="J411" s="30" t="s">
        <v>83</v>
      </c>
      <c r="K411" s="32" t="s">
        <v>42</v>
      </c>
      <c r="L411" s="30" t="s">
        <v>114</v>
      </c>
      <c r="M411" s="30" t="s">
        <v>180</v>
      </c>
      <c r="N411" s="37" t="s">
        <v>81</v>
      </c>
      <c r="O411" s="34" t="s">
        <v>86</v>
      </c>
      <c r="P411" s="35" t="s">
        <v>304</v>
      </c>
      <c r="Q411" s="29" t="s">
        <v>748</v>
      </c>
    </row>
    <row r="412" spans="1:17" ht="14.25" customHeight="1" x14ac:dyDescent="0.3">
      <c r="A412" s="28">
        <v>46073</v>
      </c>
      <c r="B412" s="29" t="s">
        <v>746</v>
      </c>
      <c r="C412" s="30" t="s">
        <v>704</v>
      </c>
      <c r="D412" s="30" t="s">
        <v>787</v>
      </c>
      <c r="E412" s="31" t="s">
        <v>706</v>
      </c>
      <c r="F412" s="31" t="s">
        <v>481</v>
      </c>
      <c r="G412" s="30" t="s">
        <v>112</v>
      </c>
      <c r="H412" s="30" t="s">
        <v>147</v>
      </c>
      <c r="I412" s="32">
        <v>46071</v>
      </c>
      <c r="J412" s="30" t="s">
        <v>83</v>
      </c>
      <c r="K412" s="32" t="s">
        <v>48</v>
      </c>
      <c r="L412" s="30" t="s">
        <v>114</v>
      </c>
      <c r="M412" s="30" t="s">
        <v>707</v>
      </c>
      <c r="N412" s="37">
        <v>1665</v>
      </c>
      <c r="O412" s="34" t="s">
        <v>86</v>
      </c>
      <c r="P412" s="35" t="s">
        <v>304</v>
      </c>
      <c r="Q412" s="29" t="s">
        <v>748</v>
      </c>
    </row>
    <row r="413" spans="1:17" ht="14.25" customHeight="1" x14ac:dyDescent="0.3">
      <c r="A413" s="28">
        <v>46073</v>
      </c>
      <c r="B413" s="29" t="s">
        <v>746</v>
      </c>
      <c r="C413" s="30" t="s">
        <v>704</v>
      </c>
      <c r="D413" s="30" t="s">
        <v>788</v>
      </c>
      <c r="E413" s="31" t="s">
        <v>706</v>
      </c>
      <c r="F413" s="31" t="s">
        <v>481</v>
      </c>
      <c r="G413" s="30" t="s">
        <v>112</v>
      </c>
      <c r="H413" s="30" t="s">
        <v>147</v>
      </c>
      <c r="I413" s="32">
        <v>46071</v>
      </c>
      <c r="J413" s="30" t="s">
        <v>83</v>
      </c>
      <c r="K413" s="32" t="s">
        <v>48</v>
      </c>
      <c r="L413" s="30" t="s">
        <v>114</v>
      </c>
      <c r="M413" s="30" t="s">
        <v>789</v>
      </c>
      <c r="N413" s="37">
        <v>1665</v>
      </c>
      <c r="O413" s="34" t="s">
        <v>86</v>
      </c>
      <c r="P413" s="35" t="s">
        <v>304</v>
      </c>
      <c r="Q413" s="29" t="s">
        <v>748</v>
      </c>
    </row>
    <row r="414" spans="1:17" ht="14.25" customHeight="1" x14ac:dyDescent="0.3">
      <c r="A414" s="28">
        <v>46074</v>
      </c>
      <c r="B414" s="29" t="s">
        <v>746</v>
      </c>
      <c r="C414" s="30" t="s">
        <v>219</v>
      </c>
      <c r="D414" s="30" t="s">
        <v>790</v>
      </c>
      <c r="E414" s="31" t="s">
        <v>2</v>
      </c>
      <c r="F414" s="31" t="s">
        <v>134</v>
      </c>
      <c r="G414" s="30" t="s">
        <v>81</v>
      </c>
      <c r="H414" s="30" t="s">
        <v>346</v>
      </c>
      <c r="I414" s="32">
        <v>46074</v>
      </c>
      <c r="J414" s="30" t="s">
        <v>497</v>
      </c>
      <c r="K414" s="32" t="s">
        <v>44</v>
      </c>
      <c r="L414" s="30" t="s">
        <v>586</v>
      </c>
      <c r="M414" s="30" t="s">
        <v>138</v>
      </c>
      <c r="N414" s="37" t="s">
        <v>81</v>
      </c>
      <c r="O414" s="34" t="s">
        <v>86</v>
      </c>
      <c r="P414" s="35" t="s">
        <v>304</v>
      </c>
      <c r="Q414" s="29" t="s">
        <v>748</v>
      </c>
    </row>
    <row r="415" spans="1:17" ht="14.25" customHeight="1" x14ac:dyDescent="0.3">
      <c r="A415" s="28">
        <v>46074</v>
      </c>
      <c r="B415" s="29" t="s">
        <v>746</v>
      </c>
      <c r="C415" s="30" t="s">
        <v>219</v>
      </c>
      <c r="D415" s="30" t="s">
        <v>791</v>
      </c>
      <c r="E415" s="31" t="s">
        <v>2</v>
      </c>
      <c r="F415" s="31" t="s">
        <v>134</v>
      </c>
      <c r="G415" s="30" t="s">
        <v>81</v>
      </c>
      <c r="H415" s="30" t="s">
        <v>346</v>
      </c>
      <c r="I415" s="32">
        <v>46074</v>
      </c>
      <c r="J415" s="30" t="s">
        <v>497</v>
      </c>
      <c r="K415" s="32" t="s">
        <v>44</v>
      </c>
      <c r="L415" s="30" t="s">
        <v>586</v>
      </c>
      <c r="M415" s="30" t="s">
        <v>141</v>
      </c>
      <c r="N415" s="37" t="s">
        <v>81</v>
      </c>
      <c r="O415" s="34" t="s">
        <v>86</v>
      </c>
      <c r="P415" s="35" t="s">
        <v>304</v>
      </c>
      <c r="Q415" s="29" t="s">
        <v>748</v>
      </c>
    </row>
    <row r="416" spans="1:17" ht="14.25" customHeight="1" x14ac:dyDescent="0.3">
      <c r="A416" s="28">
        <v>46074</v>
      </c>
      <c r="B416" s="29" t="s">
        <v>746</v>
      </c>
      <c r="C416" s="30" t="s">
        <v>219</v>
      </c>
      <c r="D416" s="30" t="s">
        <v>792</v>
      </c>
      <c r="E416" s="31" t="s">
        <v>2</v>
      </c>
      <c r="F416" s="31" t="s">
        <v>134</v>
      </c>
      <c r="G416" s="30" t="s">
        <v>81</v>
      </c>
      <c r="H416" s="30" t="s">
        <v>346</v>
      </c>
      <c r="I416" s="32">
        <v>46074</v>
      </c>
      <c r="J416" s="30" t="s">
        <v>497</v>
      </c>
      <c r="K416" s="32" t="s">
        <v>44</v>
      </c>
      <c r="L416" s="30" t="s">
        <v>586</v>
      </c>
      <c r="M416" s="30" t="s">
        <v>138</v>
      </c>
      <c r="N416" s="37" t="s">
        <v>81</v>
      </c>
      <c r="O416" s="34" t="s">
        <v>86</v>
      </c>
      <c r="P416" s="35" t="s">
        <v>304</v>
      </c>
      <c r="Q416" s="29" t="s">
        <v>748</v>
      </c>
    </row>
    <row r="417" spans="1:17" ht="14.25" customHeight="1" x14ac:dyDescent="0.3">
      <c r="A417" s="28">
        <v>46074</v>
      </c>
      <c r="B417" s="29" t="s">
        <v>746</v>
      </c>
      <c r="C417" s="30" t="s">
        <v>219</v>
      </c>
      <c r="D417" s="30" t="s">
        <v>793</v>
      </c>
      <c r="E417" s="31" t="s">
        <v>2</v>
      </c>
      <c r="F417" s="31" t="s">
        <v>134</v>
      </c>
      <c r="G417" s="30" t="s">
        <v>81</v>
      </c>
      <c r="H417" s="30" t="s">
        <v>346</v>
      </c>
      <c r="I417" s="32">
        <v>46074</v>
      </c>
      <c r="J417" s="30" t="s">
        <v>497</v>
      </c>
      <c r="K417" s="32" t="s">
        <v>44</v>
      </c>
      <c r="L417" s="30" t="s">
        <v>586</v>
      </c>
      <c r="M417" s="30" t="s">
        <v>138</v>
      </c>
      <c r="N417" s="37" t="s">
        <v>81</v>
      </c>
      <c r="O417" s="34" t="s">
        <v>86</v>
      </c>
      <c r="P417" s="35" t="s">
        <v>304</v>
      </c>
      <c r="Q417" s="29" t="s">
        <v>748</v>
      </c>
    </row>
    <row r="418" spans="1:17" ht="14.25" customHeight="1" x14ac:dyDescent="0.3">
      <c r="A418" s="28">
        <v>46074</v>
      </c>
      <c r="B418" s="29" t="s">
        <v>746</v>
      </c>
      <c r="C418" s="30" t="s">
        <v>219</v>
      </c>
      <c r="D418" s="30" t="s">
        <v>794</v>
      </c>
      <c r="E418" s="31" t="s">
        <v>2</v>
      </c>
      <c r="F418" s="31" t="s">
        <v>134</v>
      </c>
      <c r="G418" s="30" t="s">
        <v>81</v>
      </c>
      <c r="H418" s="30" t="s">
        <v>346</v>
      </c>
      <c r="I418" s="32">
        <v>46074</v>
      </c>
      <c r="J418" s="30" t="s">
        <v>497</v>
      </c>
      <c r="K418" s="32" t="s">
        <v>44</v>
      </c>
      <c r="L418" s="30" t="s">
        <v>586</v>
      </c>
      <c r="M418" s="30" t="s">
        <v>138</v>
      </c>
      <c r="N418" s="37" t="s">
        <v>81</v>
      </c>
      <c r="O418" s="34" t="s">
        <v>86</v>
      </c>
      <c r="P418" s="35" t="s">
        <v>304</v>
      </c>
      <c r="Q418" s="29" t="s">
        <v>748</v>
      </c>
    </row>
    <row r="419" spans="1:17" ht="14.25" customHeight="1" x14ac:dyDescent="0.3">
      <c r="A419" s="28">
        <v>46074</v>
      </c>
      <c r="B419" s="29" t="s">
        <v>746</v>
      </c>
      <c r="C419" s="30" t="s">
        <v>219</v>
      </c>
      <c r="D419" s="30" t="s">
        <v>795</v>
      </c>
      <c r="E419" s="31" t="s">
        <v>2</v>
      </c>
      <c r="F419" s="31" t="s">
        <v>134</v>
      </c>
      <c r="G419" s="30" t="s">
        <v>81</v>
      </c>
      <c r="H419" s="30" t="s">
        <v>346</v>
      </c>
      <c r="I419" s="32">
        <v>46074</v>
      </c>
      <c r="J419" s="30" t="s">
        <v>497</v>
      </c>
      <c r="K419" s="32" t="s">
        <v>44</v>
      </c>
      <c r="L419" s="30" t="s">
        <v>586</v>
      </c>
      <c r="M419" s="30" t="s">
        <v>141</v>
      </c>
      <c r="N419" s="37" t="s">
        <v>81</v>
      </c>
      <c r="O419" s="34" t="s">
        <v>86</v>
      </c>
      <c r="P419" s="35" t="s">
        <v>304</v>
      </c>
      <c r="Q419" s="29" t="s">
        <v>748</v>
      </c>
    </row>
    <row r="420" spans="1:17" ht="14.25" customHeight="1" x14ac:dyDescent="0.3">
      <c r="A420" s="28">
        <v>46074</v>
      </c>
      <c r="B420" s="29" t="s">
        <v>746</v>
      </c>
      <c r="C420" s="30" t="s">
        <v>77</v>
      </c>
      <c r="D420" s="30" t="s">
        <v>796</v>
      </c>
      <c r="E420" s="31" t="s">
        <v>797</v>
      </c>
      <c r="F420" s="31" t="s">
        <v>183</v>
      </c>
      <c r="G420" s="30" t="s">
        <v>334</v>
      </c>
      <c r="H420" s="30" t="s">
        <v>147</v>
      </c>
      <c r="I420" s="32">
        <v>46072</v>
      </c>
      <c r="J420" s="30" t="s">
        <v>83</v>
      </c>
      <c r="K420" s="32" t="s">
        <v>34</v>
      </c>
      <c r="L420" s="30" t="s">
        <v>114</v>
      </c>
      <c r="M420" s="30" t="s">
        <v>184</v>
      </c>
      <c r="N420" s="37">
        <v>1080</v>
      </c>
      <c r="O420" s="34" t="s">
        <v>86</v>
      </c>
      <c r="P420" s="35" t="s">
        <v>304</v>
      </c>
      <c r="Q420" s="29" t="s">
        <v>748</v>
      </c>
    </row>
    <row r="421" spans="1:17" ht="14.25" customHeight="1" x14ac:dyDescent="0.3">
      <c r="A421" s="28">
        <v>46075</v>
      </c>
      <c r="B421" s="29" t="s">
        <v>746</v>
      </c>
      <c r="C421" s="30" t="s">
        <v>219</v>
      </c>
      <c r="D421" s="30" t="s">
        <v>798</v>
      </c>
      <c r="E421" s="31" t="s">
        <v>98</v>
      </c>
      <c r="F421" s="31" t="s">
        <v>99</v>
      </c>
      <c r="G421" s="30" t="s">
        <v>81</v>
      </c>
      <c r="H421" s="30" t="s">
        <v>799</v>
      </c>
      <c r="I421" s="32">
        <v>46075</v>
      </c>
      <c r="J421" s="30" t="s">
        <v>497</v>
      </c>
      <c r="K421" s="32" t="s">
        <v>25</v>
      </c>
      <c r="L421" s="30" t="s">
        <v>586</v>
      </c>
      <c r="M421" s="30" t="s">
        <v>101</v>
      </c>
      <c r="N421" s="37" t="s">
        <v>81</v>
      </c>
      <c r="O421" s="34" t="s">
        <v>86</v>
      </c>
      <c r="P421" s="35" t="s">
        <v>304</v>
      </c>
      <c r="Q421" s="29" t="s">
        <v>748</v>
      </c>
    </row>
    <row r="422" spans="1:17" ht="14.25" customHeight="1" x14ac:dyDescent="0.3">
      <c r="A422" s="28">
        <v>46075</v>
      </c>
      <c r="B422" s="29" t="s">
        <v>746</v>
      </c>
      <c r="C422" s="30" t="s">
        <v>219</v>
      </c>
      <c r="D422" s="30" t="s">
        <v>800</v>
      </c>
      <c r="E422" s="31" t="s">
        <v>98</v>
      </c>
      <c r="F422" s="31" t="s">
        <v>99</v>
      </c>
      <c r="G422" s="30" t="s">
        <v>81</v>
      </c>
      <c r="H422" s="30" t="s">
        <v>799</v>
      </c>
      <c r="I422" s="32">
        <v>46075</v>
      </c>
      <c r="J422" s="30" t="s">
        <v>497</v>
      </c>
      <c r="K422" s="32" t="s">
        <v>25</v>
      </c>
      <c r="L422" s="30" t="s">
        <v>586</v>
      </c>
      <c r="M422" s="30" t="s">
        <v>101</v>
      </c>
      <c r="N422" s="37" t="s">
        <v>81</v>
      </c>
      <c r="O422" s="34" t="s">
        <v>86</v>
      </c>
      <c r="P422" s="35" t="s">
        <v>304</v>
      </c>
      <c r="Q422" s="29" t="s">
        <v>748</v>
      </c>
    </row>
    <row r="423" spans="1:17" ht="14.25" customHeight="1" x14ac:dyDescent="0.3">
      <c r="A423" s="28">
        <v>46075</v>
      </c>
      <c r="B423" s="29" t="s">
        <v>746</v>
      </c>
      <c r="C423" s="30" t="s">
        <v>337</v>
      </c>
      <c r="D423" s="30" t="s">
        <v>801</v>
      </c>
      <c r="E423" s="31" t="s">
        <v>750</v>
      </c>
      <c r="F423" s="31" t="s">
        <v>340</v>
      </c>
      <c r="G423" s="30" t="s">
        <v>334</v>
      </c>
      <c r="H423" s="30" t="s">
        <v>751</v>
      </c>
      <c r="I423" s="32">
        <v>46074</v>
      </c>
      <c r="J423" s="30" t="s">
        <v>83</v>
      </c>
      <c r="K423" s="32" t="s">
        <v>52</v>
      </c>
      <c r="L423" s="30" t="s">
        <v>114</v>
      </c>
      <c r="M423" s="30" t="s">
        <v>752</v>
      </c>
      <c r="N423" s="37">
        <v>3300</v>
      </c>
      <c r="O423" s="34" t="s">
        <v>86</v>
      </c>
      <c r="P423" s="35" t="s">
        <v>304</v>
      </c>
      <c r="Q423" s="29" t="s">
        <v>748</v>
      </c>
    </row>
    <row r="424" spans="1:17" ht="14.25" customHeight="1" x14ac:dyDescent="0.3">
      <c r="A424" s="28">
        <v>46076</v>
      </c>
      <c r="B424" s="29" t="s">
        <v>746</v>
      </c>
      <c r="C424" s="30" t="s">
        <v>103</v>
      </c>
      <c r="D424" s="30" t="s">
        <v>802</v>
      </c>
      <c r="E424" s="31" t="s">
        <v>609</v>
      </c>
      <c r="F424" s="31" t="s">
        <v>209</v>
      </c>
      <c r="G424" s="30" t="s">
        <v>81</v>
      </c>
      <c r="H424" s="30" t="s">
        <v>675</v>
      </c>
      <c r="I424" s="32">
        <v>46074</v>
      </c>
      <c r="J424" s="30" t="s">
        <v>83</v>
      </c>
      <c r="K424" s="32" t="s">
        <v>44</v>
      </c>
      <c r="L424" s="30" t="s">
        <v>114</v>
      </c>
      <c r="M424" s="30" t="s">
        <v>617</v>
      </c>
      <c r="N424" s="37" t="s">
        <v>81</v>
      </c>
      <c r="O424" s="34" t="s">
        <v>86</v>
      </c>
      <c r="P424" s="35" t="s">
        <v>304</v>
      </c>
      <c r="Q424" s="29" t="s">
        <v>748</v>
      </c>
    </row>
    <row r="425" spans="1:17" ht="14.25" customHeight="1" x14ac:dyDescent="0.3">
      <c r="A425" s="28">
        <v>46076</v>
      </c>
      <c r="B425" s="29" t="s">
        <v>746</v>
      </c>
      <c r="C425" s="30" t="s">
        <v>103</v>
      </c>
      <c r="D425" s="30" t="s">
        <v>803</v>
      </c>
      <c r="E425" s="31" t="s">
        <v>208</v>
      </c>
      <c r="F425" s="31" t="s">
        <v>209</v>
      </c>
      <c r="G425" s="30" t="s">
        <v>81</v>
      </c>
      <c r="H425" s="30" t="s">
        <v>804</v>
      </c>
      <c r="I425" s="32">
        <v>46074</v>
      </c>
      <c r="J425" s="30" t="s">
        <v>83</v>
      </c>
      <c r="K425" s="32" t="s">
        <v>42</v>
      </c>
      <c r="L425" s="30" t="s">
        <v>114</v>
      </c>
      <c r="M425" s="30" t="s">
        <v>617</v>
      </c>
      <c r="N425" s="37" t="s">
        <v>81</v>
      </c>
      <c r="O425" s="34" t="s">
        <v>86</v>
      </c>
      <c r="P425" s="35" t="s">
        <v>304</v>
      </c>
      <c r="Q425" s="29" t="s">
        <v>748</v>
      </c>
    </row>
    <row r="426" spans="1:17" ht="14.25" customHeight="1" x14ac:dyDescent="0.3">
      <c r="A426" s="28">
        <v>46076</v>
      </c>
      <c r="B426" s="29" t="s">
        <v>746</v>
      </c>
      <c r="C426" s="30" t="s">
        <v>103</v>
      </c>
      <c r="D426" s="30" t="s">
        <v>805</v>
      </c>
      <c r="E426" s="31" t="s">
        <v>164</v>
      </c>
      <c r="F426" s="31" t="s">
        <v>165</v>
      </c>
      <c r="G426" s="30" t="s">
        <v>81</v>
      </c>
      <c r="H426" s="30" t="s">
        <v>500</v>
      </c>
      <c r="I426" s="32">
        <v>46072</v>
      </c>
      <c r="J426" s="30" t="s">
        <v>83</v>
      </c>
      <c r="K426" s="32" t="s">
        <v>44</v>
      </c>
      <c r="L426" s="30" t="s">
        <v>114</v>
      </c>
      <c r="M426" s="30" t="s">
        <v>167</v>
      </c>
      <c r="N426" s="37" t="s">
        <v>81</v>
      </c>
      <c r="O426" s="34" t="s">
        <v>86</v>
      </c>
      <c r="P426" s="35" t="s">
        <v>304</v>
      </c>
      <c r="Q426" s="29" t="s">
        <v>748</v>
      </c>
    </row>
    <row r="427" spans="1:17" ht="14.25" customHeight="1" x14ac:dyDescent="0.3">
      <c r="A427" s="28">
        <v>46076</v>
      </c>
      <c r="B427" s="29" t="s">
        <v>746</v>
      </c>
      <c r="C427" s="30" t="s">
        <v>219</v>
      </c>
      <c r="D427" s="30" t="s">
        <v>806</v>
      </c>
      <c r="E427" s="31" t="s">
        <v>383</v>
      </c>
      <c r="F427" s="31" t="s">
        <v>134</v>
      </c>
      <c r="G427" s="30" t="s">
        <v>81</v>
      </c>
      <c r="H427" s="30" t="s">
        <v>807</v>
      </c>
      <c r="I427" s="32">
        <v>46074</v>
      </c>
      <c r="J427" s="30" t="s">
        <v>83</v>
      </c>
      <c r="K427" s="32" t="s">
        <v>44</v>
      </c>
      <c r="L427" s="30" t="s">
        <v>114</v>
      </c>
      <c r="M427" s="30" t="s">
        <v>381</v>
      </c>
      <c r="N427" s="37" t="s">
        <v>81</v>
      </c>
      <c r="O427" s="34" t="s">
        <v>86</v>
      </c>
      <c r="P427" s="35" t="s">
        <v>304</v>
      </c>
      <c r="Q427" s="29" t="s">
        <v>748</v>
      </c>
    </row>
    <row r="428" spans="1:17" ht="14.25" customHeight="1" x14ac:dyDescent="0.3">
      <c r="A428" s="28">
        <v>46076</v>
      </c>
      <c r="B428" s="29" t="s">
        <v>746</v>
      </c>
      <c r="C428" s="30" t="s">
        <v>219</v>
      </c>
      <c r="D428" s="30" t="s">
        <v>808</v>
      </c>
      <c r="E428" s="31" t="s">
        <v>383</v>
      </c>
      <c r="F428" s="31" t="s">
        <v>134</v>
      </c>
      <c r="G428" s="30" t="s">
        <v>81</v>
      </c>
      <c r="H428" s="30" t="s">
        <v>807</v>
      </c>
      <c r="I428" s="32">
        <v>46074</v>
      </c>
      <c r="J428" s="30" t="s">
        <v>83</v>
      </c>
      <c r="K428" s="32" t="s">
        <v>44</v>
      </c>
      <c r="L428" s="30" t="s">
        <v>114</v>
      </c>
      <c r="M428" s="30" t="s">
        <v>381</v>
      </c>
      <c r="N428" s="37" t="s">
        <v>81</v>
      </c>
      <c r="O428" s="34" t="s">
        <v>86</v>
      </c>
      <c r="P428" s="35" t="s">
        <v>304</v>
      </c>
      <c r="Q428" s="29" t="s">
        <v>748</v>
      </c>
    </row>
    <row r="429" spans="1:17" ht="14.25" customHeight="1" x14ac:dyDescent="0.3">
      <c r="A429" s="28">
        <v>46076</v>
      </c>
      <c r="B429" s="29" t="s">
        <v>746</v>
      </c>
      <c r="C429" s="30" t="s">
        <v>219</v>
      </c>
      <c r="D429" s="30" t="s">
        <v>809</v>
      </c>
      <c r="E429" s="31" t="s">
        <v>383</v>
      </c>
      <c r="F429" s="31" t="s">
        <v>134</v>
      </c>
      <c r="G429" s="30" t="s">
        <v>81</v>
      </c>
      <c r="H429" s="30" t="s">
        <v>807</v>
      </c>
      <c r="I429" s="32">
        <v>46074</v>
      </c>
      <c r="J429" s="30" t="s">
        <v>83</v>
      </c>
      <c r="K429" s="32" t="s">
        <v>44</v>
      </c>
      <c r="L429" s="30" t="s">
        <v>114</v>
      </c>
      <c r="M429" s="30" t="s">
        <v>381</v>
      </c>
      <c r="N429" s="37" t="s">
        <v>81</v>
      </c>
      <c r="O429" s="34" t="s">
        <v>86</v>
      </c>
      <c r="P429" s="35" t="s">
        <v>304</v>
      </c>
      <c r="Q429" s="29" t="s">
        <v>748</v>
      </c>
    </row>
    <row r="430" spans="1:17" ht="14.25" customHeight="1" x14ac:dyDescent="0.3">
      <c r="A430" s="28">
        <v>46076</v>
      </c>
      <c r="B430" s="29" t="s">
        <v>746</v>
      </c>
      <c r="C430" s="30" t="s">
        <v>219</v>
      </c>
      <c r="D430" s="30" t="s">
        <v>810</v>
      </c>
      <c r="E430" s="31" t="s">
        <v>383</v>
      </c>
      <c r="F430" s="31" t="s">
        <v>134</v>
      </c>
      <c r="G430" s="30" t="s">
        <v>81</v>
      </c>
      <c r="H430" s="30" t="s">
        <v>807</v>
      </c>
      <c r="I430" s="32">
        <v>46074</v>
      </c>
      <c r="J430" s="30" t="s">
        <v>83</v>
      </c>
      <c r="K430" s="32" t="s">
        <v>44</v>
      </c>
      <c r="L430" s="30" t="s">
        <v>114</v>
      </c>
      <c r="M430" s="30" t="s">
        <v>381</v>
      </c>
      <c r="N430" s="37" t="s">
        <v>81</v>
      </c>
      <c r="O430" s="34" t="s">
        <v>86</v>
      </c>
      <c r="P430" s="35" t="s">
        <v>304</v>
      </c>
      <c r="Q430" s="29" t="s">
        <v>748</v>
      </c>
    </row>
    <row r="431" spans="1:17" ht="14.25" customHeight="1" x14ac:dyDescent="0.3">
      <c r="A431" s="28">
        <v>46077</v>
      </c>
      <c r="B431" s="29" t="s">
        <v>746</v>
      </c>
      <c r="C431" s="30" t="s">
        <v>337</v>
      </c>
      <c r="D431" s="30" t="s">
        <v>811</v>
      </c>
      <c r="E431" s="31" t="s">
        <v>750</v>
      </c>
      <c r="F431" s="31" t="s">
        <v>340</v>
      </c>
      <c r="G431" s="30" t="s">
        <v>334</v>
      </c>
      <c r="H431" s="30" t="s">
        <v>759</v>
      </c>
      <c r="I431" s="32">
        <v>46075</v>
      </c>
      <c r="J431" s="30" t="s">
        <v>83</v>
      </c>
      <c r="K431" s="32" t="s">
        <v>812</v>
      </c>
      <c r="L431" s="30" t="s">
        <v>114</v>
      </c>
      <c r="M431" s="30" t="s">
        <v>752</v>
      </c>
      <c r="N431" s="37">
        <v>3300</v>
      </c>
      <c r="O431" s="34" t="s">
        <v>86</v>
      </c>
      <c r="P431" s="35" t="s">
        <v>304</v>
      </c>
      <c r="Q431" s="29" t="s">
        <v>748</v>
      </c>
    </row>
    <row r="432" spans="1:17" ht="14.25" customHeight="1" x14ac:dyDescent="0.3">
      <c r="A432" s="28">
        <v>46077</v>
      </c>
      <c r="B432" s="29" t="s">
        <v>746</v>
      </c>
      <c r="C432" s="30" t="s">
        <v>103</v>
      </c>
      <c r="D432" s="30" t="s">
        <v>813</v>
      </c>
      <c r="E432" s="31" t="s">
        <v>554</v>
      </c>
      <c r="F432" s="31" t="s">
        <v>209</v>
      </c>
      <c r="G432" s="30" t="s">
        <v>81</v>
      </c>
      <c r="H432" s="30" t="s">
        <v>804</v>
      </c>
      <c r="I432" s="32">
        <v>46075</v>
      </c>
      <c r="J432" s="30" t="s">
        <v>83</v>
      </c>
      <c r="K432" s="32" t="s">
        <v>42</v>
      </c>
      <c r="L432" s="30" t="s">
        <v>114</v>
      </c>
      <c r="M432" s="30" t="s">
        <v>617</v>
      </c>
      <c r="N432" s="37" t="s">
        <v>81</v>
      </c>
      <c r="O432" s="34" t="s">
        <v>86</v>
      </c>
      <c r="P432" s="35" t="s">
        <v>304</v>
      </c>
      <c r="Q432" s="29" t="s">
        <v>748</v>
      </c>
    </row>
    <row r="433" spans="1:17" ht="14.25" customHeight="1" x14ac:dyDescent="0.3">
      <c r="A433" s="28">
        <v>46077</v>
      </c>
      <c r="B433" s="29" t="s">
        <v>746</v>
      </c>
      <c r="C433" s="30" t="s">
        <v>103</v>
      </c>
      <c r="D433" s="30" t="s">
        <v>814</v>
      </c>
      <c r="E433" s="31" t="s">
        <v>554</v>
      </c>
      <c r="F433" s="31" t="s">
        <v>209</v>
      </c>
      <c r="G433" s="30" t="s">
        <v>81</v>
      </c>
      <c r="H433" s="30" t="s">
        <v>804</v>
      </c>
      <c r="I433" s="32">
        <v>46075</v>
      </c>
      <c r="J433" s="30" t="s">
        <v>83</v>
      </c>
      <c r="K433" s="32" t="s">
        <v>42</v>
      </c>
      <c r="L433" s="30" t="s">
        <v>114</v>
      </c>
      <c r="M433" s="30" t="s">
        <v>617</v>
      </c>
      <c r="N433" s="37" t="s">
        <v>81</v>
      </c>
      <c r="O433" s="34" t="s">
        <v>86</v>
      </c>
      <c r="P433" s="35" t="s">
        <v>304</v>
      </c>
      <c r="Q433" s="29" t="s">
        <v>748</v>
      </c>
    </row>
    <row r="434" spans="1:17" ht="14.25" customHeight="1" x14ac:dyDescent="0.3">
      <c r="A434" s="28">
        <v>46078</v>
      </c>
      <c r="B434" s="29" t="s">
        <v>746</v>
      </c>
      <c r="C434" s="30" t="s">
        <v>103</v>
      </c>
      <c r="D434" s="30" t="s">
        <v>815</v>
      </c>
      <c r="E434" s="31" t="s">
        <v>313</v>
      </c>
      <c r="F434" s="31" t="s">
        <v>816</v>
      </c>
      <c r="G434" s="30" t="s">
        <v>81</v>
      </c>
      <c r="H434" s="30" t="s">
        <v>648</v>
      </c>
      <c r="I434" s="32">
        <v>46076</v>
      </c>
      <c r="J434" s="30" t="s">
        <v>83</v>
      </c>
      <c r="K434" s="32" t="s">
        <v>42</v>
      </c>
      <c r="L434" s="30" t="s">
        <v>114</v>
      </c>
      <c r="M434" s="30" t="s">
        <v>316</v>
      </c>
      <c r="N434" s="37" t="s">
        <v>81</v>
      </c>
      <c r="O434" s="34" t="s">
        <v>86</v>
      </c>
      <c r="P434" s="35" t="s">
        <v>304</v>
      </c>
      <c r="Q434" s="29" t="s">
        <v>748</v>
      </c>
    </row>
    <row r="435" spans="1:17" ht="14.25" customHeight="1" x14ac:dyDescent="0.3">
      <c r="A435" s="28">
        <v>46078</v>
      </c>
      <c r="B435" s="29" t="s">
        <v>746</v>
      </c>
      <c r="C435" s="30" t="s">
        <v>337</v>
      </c>
      <c r="D435" s="30" t="s">
        <v>817</v>
      </c>
      <c r="E435" s="31" t="s">
        <v>750</v>
      </c>
      <c r="F435" s="31" t="s">
        <v>340</v>
      </c>
      <c r="G435" s="30" t="s">
        <v>334</v>
      </c>
      <c r="H435" s="30" t="s">
        <v>751</v>
      </c>
      <c r="I435" s="32">
        <v>46076</v>
      </c>
      <c r="J435" s="30" t="s">
        <v>83</v>
      </c>
      <c r="K435" s="32" t="s">
        <v>21</v>
      </c>
      <c r="L435" s="30" t="s">
        <v>114</v>
      </c>
      <c r="M435" s="30" t="s">
        <v>752</v>
      </c>
      <c r="N435" s="37">
        <v>3300</v>
      </c>
      <c r="O435" s="34" t="s">
        <v>86</v>
      </c>
      <c r="P435" s="35" t="s">
        <v>304</v>
      </c>
      <c r="Q435" s="29" t="s">
        <v>748</v>
      </c>
    </row>
    <row r="436" spans="1:17" ht="14.25" customHeight="1" x14ac:dyDescent="0.3">
      <c r="A436" s="28">
        <v>46079</v>
      </c>
      <c r="B436" s="29" t="s">
        <v>746</v>
      </c>
      <c r="C436" s="30" t="s">
        <v>103</v>
      </c>
      <c r="D436" s="30" t="s">
        <v>818</v>
      </c>
      <c r="E436" s="31" t="s">
        <v>350</v>
      </c>
      <c r="F436" s="31" t="s">
        <v>351</v>
      </c>
      <c r="G436" s="30" t="s">
        <v>81</v>
      </c>
      <c r="H436" s="30" t="s">
        <v>513</v>
      </c>
      <c r="I436" s="32">
        <v>46077</v>
      </c>
      <c r="J436" s="30" t="s">
        <v>83</v>
      </c>
      <c r="K436" s="32" t="s">
        <v>28</v>
      </c>
      <c r="L436" s="30" t="s">
        <v>114</v>
      </c>
      <c r="M436" s="30" t="s">
        <v>524</v>
      </c>
      <c r="N436" s="37" t="s">
        <v>81</v>
      </c>
      <c r="O436" s="34" t="s">
        <v>86</v>
      </c>
      <c r="P436" s="35" t="s">
        <v>304</v>
      </c>
      <c r="Q436" s="29" t="s">
        <v>748</v>
      </c>
    </row>
    <row r="437" spans="1:17" ht="14.25" customHeight="1" x14ac:dyDescent="0.3">
      <c r="A437" s="28">
        <v>46079</v>
      </c>
      <c r="B437" s="29" t="s">
        <v>746</v>
      </c>
      <c r="C437" s="30" t="s">
        <v>77</v>
      </c>
      <c r="D437" s="30" t="s">
        <v>819</v>
      </c>
      <c r="E437" s="31" t="s">
        <v>79</v>
      </c>
      <c r="F437" s="31" t="s">
        <v>80</v>
      </c>
      <c r="G437" s="30" t="s">
        <v>81</v>
      </c>
      <c r="H437" s="30" t="s">
        <v>51</v>
      </c>
      <c r="I437" s="32">
        <v>46077</v>
      </c>
      <c r="J437" s="30" t="s">
        <v>83</v>
      </c>
      <c r="K437" s="32" t="s">
        <v>51</v>
      </c>
      <c r="L437" s="30" t="s">
        <v>114</v>
      </c>
      <c r="M437" s="30" t="s">
        <v>85</v>
      </c>
      <c r="N437" s="37" t="s">
        <v>81</v>
      </c>
      <c r="O437" s="34" t="s">
        <v>86</v>
      </c>
      <c r="P437" s="35" t="s">
        <v>304</v>
      </c>
      <c r="Q437" s="29" t="s">
        <v>748</v>
      </c>
    </row>
    <row r="438" spans="1:17" ht="14.25" customHeight="1" x14ac:dyDescent="0.3">
      <c r="A438" s="28">
        <v>46080</v>
      </c>
      <c r="B438" s="29" t="s">
        <v>746</v>
      </c>
      <c r="C438" s="30" t="s">
        <v>77</v>
      </c>
      <c r="D438" s="30" t="s">
        <v>820</v>
      </c>
      <c r="E438" s="31" t="s">
        <v>333</v>
      </c>
      <c r="F438" s="31" t="s">
        <v>476</v>
      </c>
      <c r="G438" s="30" t="s">
        <v>334</v>
      </c>
      <c r="H438" s="30" t="s">
        <v>124</v>
      </c>
      <c r="I438" s="32">
        <v>46077</v>
      </c>
      <c r="J438" s="30" t="s">
        <v>83</v>
      </c>
      <c r="K438" s="32" t="s">
        <v>46</v>
      </c>
      <c r="L438" s="30" t="s">
        <v>114</v>
      </c>
      <c r="M438" s="30" t="s">
        <v>821</v>
      </c>
      <c r="N438" s="37">
        <v>450</v>
      </c>
      <c r="O438" s="34" t="s">
        <v>86</v>
      </c>
      <c r="P438" s="35" t="s">
        <v>304</v>
      </c>
      <c r="Q438" s="29" t="s">
        <v>748</v>
      </c>
    </row>
    <row r="439" spans="1:17" ht="14.25" customHeight="1" x14ac:dyDescent="0.3">
      <c r="A439" s="28">
        <v>46080</v>
      </c>
      <c r="B439" s="29" t="s">
        <v>746</v>
      </c>
      <c r="C439" s="30" t="s">
        <v>77</v>
      </c>
      <c r="D439" s="30" t="s">
        <v>822</v>
      </c>
      <c r="E439" s="31" t="s">
        <v>797</v>
      </c>
      <c r="F439" s="31" t="s">
        <v>183</v>
      </c>
      <c r="G439" s="30" t="s">
        <v>334</v>
      </c>
      <c r="H439" s="30" t="s">
        <v>147</v>
      </c>
      <c r="I439" s="32">
        <v>46080</v>
      </c>
      <c r="J439" s="30" t="s">
        <v>497</v>
      </c>
      <c r="K439" s="32" t="s">
        <v>34</v>
      </c>
      <c r="L439" s="30" t="s">
        <v>586</v>
      </c>
      <c r="M439" s="30" t="s">
        <v>184</v>
      </c>
      <c r="N439" s="37">
        <v>1080</v>
      </c>
      <c r="O439" s="34" t="s">
        <v>86</v>
      </c>
      <c r="P439" s="35" t="s">
        <v>304</v>
      </c>
      <c r="Q439" s="29" t="s">
        <v>748</v>
      </c>
    </row>
    <row r="440" spans="1:17" ht="14.25" customHeight="1" x14ac:dyDescent="0.3">
      <c r="A440" s="28">
        <v>46080</v>
      </c>
      <c r="B440" s="29" t="s">
        <v>746</v>
      </c>
      <c r="C440" s="30" t="s">
        <v>77</v>
      </c>
      <c r="D440" s="30" t="s">
        <v>823</v>
      </c>
      <c r="E440" s="31" t="s">
        <v>797</v>
      </c>
      <c r="F440" s="31" t="s">
        <v>183</v>
      </c>
      <c r="G440" s="30" t="s">
        <v>334</v>
      </c>
      <c r="H440" s="30" t="s">
        <v>147</v>
      </c>
      <c r="I440" s="32">
        <v>46080</v>
      </c>
      <c r="J440" s="30" t="s">
        <v>497</v>
      </c>
      <c r="K440" s="32" t="s">
        <v>34</v>
      </c>
      <c r="L440" s="30" t="s">
        <v>586</v>
      </c>
      <c r="M440" s="30" t="s">
        <v>184</v>
      </c>
      <c r="N440" s="37">
        <v>1080</v>
      </c>
      <c r="O440" s="34" t="s">
        <v>86</v>
      </c>
      <c r="P440" s="35" t="s">
        <v>304</v>
      </c>
      <c r="Q440" s="29" t="s">
        <v>748</v>
      </c>
    </row>
    <row r="441" spans="1:17" ht="14.25" customHeight="1" x14ac:dyDescent="0.3">
      <c r="A441" s="28">
        <v>46081</v>
      </c>
      <c r="B441" s="29" t="s">
        <v>746</v>
      </c>
      <c r="C441" s="30" t="s">
        <v>219</v>
      </c>
      <c r="D441" s="30" t="s">
        <v>824</v>
      </c>
      <c r="E441" s="31" t="s">
        <v>226</v>
      </c>
      <c r="F441" s="31" t="s">
        <v>99</v>
      </c>
      <c r="G441" s="30" t="s">
        <v>81</v>
      </c>
      <c r="H441" s="30" t="s">
        <v>227</v>
      </c>
      <c r="I441" s="32">
        <v>46079</v>
      </c>
      <c r="J441" s="30" t="s">
        <v>83</v>
      </c>
      <c r="K441" s="32" t="s">
        <v>44</v>
      </c>
      <c r="L441" s="30" t="s">
        <v>114</v>
      </c>
      <c r="M441" s="30" t="s">
        <v>101</v>
      </c>
      <c r="N441" s="37" t="s">
        <v>81</v>
      </c>
      <c r="O441" s="34" t="s">
        <v>86</v>
      </c>
      <c r="P441" s="35" t="s">
        <v>304</v>
      </c>
      <c r="Q441" s="29" t="s">
        <v>748</v>
      </c>
    </row>
    <row r="442" spans="1:17" ht="14.25" customHeight="1" x14ac:dyDescent="0.3">
      <c r="A442" s="28">
        <v>46081</v>
      </c>
      <c r="B442" s="29" t="s">
        <v>746</v>
      </c>
      <c r="C442" s="30" t="s">
        <v>219</v>
      </c>
      <c r="D442" s="30" t="s">
        <v>825</v>
      </c>
      <c r="E442" s="31" t="s">
        <v>459</v>
      </c>
      <c r="F442" s="31" t="s">
        <v>111</v>
      </c>
      <c r="G442" s="30" t="s">
        <v>112</v>
      </c>
      <c r="H442" s="30" t="s">
        <v>135</v>
      </c>
      <c r="I442" s="32">
        <v>46081</v>
      </c>
      <c r="J442" s="30" t="s">
        <v>497</v>
      </c>
      <c r="K442" s="32" t="s">
        <v>42</v>
      </c>
      <c r="L442" s="30" t="s">
        <v>586</v>
      </c>
      <c r="M442" s="30" t="s">
        <v>460</v>
      </c>
      <c r="N442" s="37">
        <v>1850</v>
      </c>
      <c r="O442" s="34" t="s">
        <v>86</v>
      </c>
      <c r="P442" s="35" t="s">
        <v>304</v>
      </c>
      <c r="Q442" s="29" t="s">
        <v>748</v>
      </c>
    </row>
    <row r="443" spans="1:17" ht="14.25" customHeight="1" x14ac:dyDescent="0.3">
      <c r="A443" s="28">
        <v>46081</v>
      </c>
      <c r="B443" s="29" t="s">
        <v>746</v>
      </c>
      <c r="C443" s="30" t="s">
        <v>219</v>
      </c>
      <c r="D443" s="30" t="s">
        <v>826</v>
      </c>
      <c r="E443" s="31" t="s">
        <v>459</v>
      </c>
      <c r="F443" s="31" t="s">
        <v>111</v>
      </c>
      <c r="G443" s="30" t="s">
        <v>112</v>
      </c>
      <c r="H443" s="30" t="s">
        <v>135</v>
      </c>
      <c r="I443" s="32">
        <v>46081</v>
      </c>
      <c r="J443" s="30" t="s">
        <v>497</v>
      </c>
      <c r="K443" s="32" t="s">
        <v>42</v>
      </c>
      <c r="L443" s="30" t="s">
        <v>586</v>
      </c>
      <c r="M443" s="30" t="s">
        <v>460</v>
      </c>
      <c r="N443" s="37">
        <v>1850</v>
      </c>
      <c r="O443" s="34" t="s">
        <v>86</v>
      </c>
      <c r="P443" s="35" t="s">
        <v>304</v>
      </c>
      <c r="Q443" s="29" t="s">
        <v>748</v>
      </c>
    </row>
    <row r="444" spans="1:17" ht="14.25" customHeight="1" x14ac:dyDescent="0.3">
      <c r="A444" s="28">
        <v>46081</v>
      </c>
      <c r="B444" s="29" t="s">
        <v>746</v>
      </c>
      <c r="C444" s="30" t="s">
        <v>219</v>
      </c>
      <c r="D444" s="30" t="s">
        <v>827</v>
      </c>
      <c r="E444" s="31" t="s">
        <v>459</v>
      </c>
      <c r="F444" s="31" t="s">
        <v>111</v>
      </c>
      <c r="G444" s="30" t="s">
        <v>112</v>
      </c>
      <c r="H444" s="30" t="s">
        <v>135</v>
      </c>
      <c r="I444" s="32">
        <v>46081</v>
      </c>
      <c r="J444" s="30" t="s">
        <v>497</v>
      </c>
      <c r="K444" s="32" t="s">
        <v>42</v>
      </c>
      <c r="L444" s="30" t="s">
        <v>586</v>
      </c>
      <c r="M444" s="30" t="s">
        <v>460</v>
      </c>
      <c r="N444" s="37">
        <v>1850</v>
      </c>
      <c r="O444" s="34" t="s">
        <v>86</v>
      </c>
      <c r="P444" s="35" t="s">
        <v>304</v>
      </c>
      <c r="Q444" s="29" t="s">
        <v>748</v>
      </c>
    </row>
    <row r="445" spans="1:17" ht="14.25" customHeight="1" x14ac:dyDescent="0.3">
      <c r="A445" s="28">
        <v>46081</v>
      </c>
      <c r="B445" s="29" t="s">
        <v>746</v>
      </c>
      <c r="C445" s="30" t="s">
        <v>219</v>
      </c>
      <c r="D445" s="30" t="s">
        <v>828</v>
      </c>
      <c r="E445" s="31" t="s">
        <v>326</v>
      </c>
      <c r="F445" s="31" t="s">
        <v>327</v>
      </c>
      <c r="G445" s="30" t="s">
        <v>334</v>
      </c>
      <c r="H445" s="30" t="s">
        <v>147</v>
      </c>
      <c r="I445" s="32">
        <v>46080</v>
      </c>
      <c r="J445" s="30" t="s">
        <v>83</v>
      </c>
      <c r="K445" s="32" t="s">
        <v>30</v>
      </c>
      <c r="L445" s="30" t="s">
        <v>114</v>
      </c>
      <c r="M445" s="30" t="s">
        <v>328</v>
      </c>
      <c r="N445" s="37">
        <v>1715</v>
      </c>
      <c r="O445" s="34" t="s">
        <v>86</v>
      </c>
      <c r="P445" s="35" t="s">
        <v>304</v>
      </c>
      <c r="Q445" s="29" t="s">
        <v>748</v>
      </c>
    </row>
    <row r="446" spans="1:17" ht="14.25" customHeight="1" x14ac:dyDescent="0.3">
      <c r="A446" s="28">
        <v>46086</v>
      </c>
      <c r="B446" s="29" t="s">
        <v>829</v>
      </c>
      <c r="C446" s="30" t="s">
        <v>704</v>
      </c>
      <c r="D446" s="30" t="s">
        <v>830</v>
      </c>
      <c r="E446" s="31" t="s">
        <v>706</v>
      </c>
      <c r="F446" s="31" t="s">
        <v>481</v>
      </c>
      <c r="G446" s="30" t="s">
        <v>334</v>
      </c>
      <c r="H446" s="30" t="s">
        <v>147</v>
      </c>
      <c r="I446" s="32">
        <v>46084</v>
      </c>
      <c r="J446" s="30" t="s">
        <v>83</v>
      </c>
      <c r="K446" s="32" t="s">
        <v>48</v>
      </c>
      <c r="L446" s="30" t="s">
        <v>114</v>
      </c>
      <c r="M446" s="30" t="s">
        <v>707</v>
      </c>
      <c r="N446" s="37">
        <v>1675</v>
      </c>
      <c r="O446" s="34" t="s">
        <v>86</v>
      </c>
      <c r="P446" s="35" t="s">
        <v>304</v>
      </c>
      <c r="Q446" s="29" t="s">
        <v>831</v>
      </c>
    </row>
    <row r="447" spans="1:17" ht="14.25" customHeight="1" x14ac:dyDescent="0.3">
      <c r="A447" s="28">
        <v>46086</v>
      </c>
      <c r="B447" s="29" t="s">
        <v>829</v>
      </c>
      <c r="C447" s="30" t="s">
        <v>704</v>
      </c>
      <c r="D447" s="30" t="s">
        <v>832</v>
      </c>
      <c r="E447" s="31" t="s">
        <v>706</v>
      </c>
      <c r="F447" s="31" t="s">
        <v>481</v>
      </c>
      <c r="G447" s="30" t="s">
        <v>334</v>
      </c>
      <c r="H447" s="30" t="s">
        <v>147</v>
      </c>
      <c r="I447" s="32">
        <v>46084</v>
      </c>
      <c r="J447" s="30" t="s">
        <v>83</v>
      </c>
      <c r="K447" s="32" t="s">
        <v>48</v>
      </c>
      <c r="L447" s="30" t="s">
        <v>114</v>
      </c>
      <c r="M447" s="30" t="s">
        <v>707</v>
      </c>
      <c r="N447" s="37">
        <v>1675</v>
      </c>
      <c r="O447" s="34" t="s">
        <v>86</v>
      </c>
      <c r="P447" s="35" t="s">
        <v>304</v>
      </c>
      <c r="Q447" s="29" t="s">
        <v>831</v>
      </c>
    </row>
    <row r="448" spans="1:17" ht="14.25" customHeight="1" x14ac:dyDescent="0.3">
      <c r="A448" s="28">
        <v>46088</v>
      </c>
      <c r="B448" s="29" t="s">
        <v>829</v>
      </c>
      <c r="C448" s="30" t="s">
        <v>103</v>
      </c>
      <c r="D448" s="30" t="s">
        <v>833</v>
      </c>
      <c r="E448" s="31" t="s">
        <v>834</v>
      </c>
      <c r="F448" s="31" t="s">
        <v>242</v>
      </c>
      <c r="G448" s="30" t="s">
        <v>81</v>
      </c>
      <c r="H448" s="30" t="s">
        <v>243</v>
      </c>
      <c r="I448" s="32">
        <v>46086</v>
      </c>
      <c r="J448" s="30" t="s">
        <v>83</v>
      </c>
      <c r="K448" s="32" t="s">
        <v>25</v>
      </c>
      <c r="L448" s="30" t="s">
        <v>114</v>
      </c>
      <c r="M448" s="30" t="s">
        <v>244</v>
      </c>
      <c r="N448" s="37" t="s">
        <v>81</v>
      </c>
      <c r="O448" s="34" t="s">
        <v>86</v>
      </c>
      <c r="P448" s="35" t="s">
        <v>304</v>
      </c>
      <c r="Q448" s="29" t="s">
        <v>831</v>
      </c>
    </row>
    <row r="449" spans="1:17" ht="14.25" customHeight="1" x14ac:dyDescent="0.3">
      <c r="A449" s="28">
        <v>46088</v>
      </c>
      <c r="B449" s="29" t="s">
        <v>829</v>
      </c>
      <c r="C449" s="30" t="s">
        <v>337</v>
      </c>
      <c r="D449" s="30" t="s">
        <v>835</v>
      </c>
      <c r="E449" s="31" t="s">
        <v>750</v>
      </c>
      <c r="F449" s="31" t="s">
        <v>340</v>
      </c>
      <c r="G449" s="30" t="s">
        <v>334</v>
      </c>
      <c r="H449" s="30" t="s">
        <v>751</v>
      </c>
      <c r="I449" s="32">
        <v>46086</v>
      </c>
      <c r="J449" s="30" t="s">
        <v>83</v>
      </c>
      <c r="K449" s="32" t="s">
        <v>836</v>
      </c>
      <c r="L449" s="30" t="s">
        <v>84</v>
      </c>
      <c r="M449" s="30" t="s">
        <v>752</v>
      </c>
      <c r="N449" s="37">
        <v>4300</v>
      </c>
      <c r="O449" s="34" t="s">
        <v>86</v>
      </c>
      <c r="P449" s="35" t="s">
        <v>304</v>
      </c>
      <c r="Q449" s="29" t="s">
        <v>831</v>
      </c>
    </row>
    <row r="450" spans="1:17" ht="14.25" customHeight="1" x14ac:dyDescent="0.3">
      <c r="A450" s="28">
        <v>46088</v>
      </c>
      <c r="B450" s="29" t="s">
        <v>829</v>
      </c>
      <c r="C450" s="30" t="s">
        <v>337</v>
      </c>
      <c r="D450" s="30" t="s">
        <v>837</v>
      </c>
      <c r="E450" s="31" t="s">
        <v>339</v>
      </c>
      <c r="F450" s="31" t="s">
        <v>340</v>
      </c>
      <c r="G450" s="30" t="s">
        <v>81</v>
      </c>
      <c r="H450" s="30" t="s">
        <v>838</v>
      </c>
      <c r="I450" s="32">
        <v>46086</v>
      </c>
      <c r="J450" s="30" t="s">
        <v>83</v>
      </c>
      <c r="K450" s="32" t="s">
        <v>47</v>
      </c>
      <c r="L450" s="30" t="s">
        <v>114</v>
      </c>
      <c r="M450" s="30" t="s">
        <v>839</v>
      </c>
      <c r="N450" s="37" t="s">
        <v>81</v>
      </c>
      <c r="O450" s="34" t="s">
        <v>86</v>
      </c>
      <c r="P450" s="35" t="s">
        <v>304</v>
      </c>
      <c r="Q450" s="29" t="s">
        <v>831</v>
      </c>
    </row>
    <row r="451" spans="1:17" ht="14.25" customHeight="1" x14ac:dyDescent="0.3">
      <c r="A451" s="28">
        <v>46088</v>
      </c>
      <c r="B451" s="29" t="s">
        <v>829</v>
      </c>
      <c r="C451" s="30" t="s">
        <v>337</v>
      </c>
      <c r="D451" s="30" t="s">
        <v>840</v>
      </c>
      <c r="E451" s="31" t="s">
        <v>339</v>
      </c>
      <c r="F451" s="31" t="s">
        <v>340</v>
      </c>
      <c r="G451" s="30" t="s">
        <v>81</v>
      </c>
      <c r="H451" s="30" t="s">
        <v>838</v>
      </c>
      <c r="I451" s="32">
        <v>46086</v>
      </c>
      <c r="J451" s="30" t="s">
        <v>83</v>
      </c>
      <c r="K451" s="32" t="s">
        <v>47</v>
      </c>
      <c r="L451" s="30" t="s">
        <v>114</v>
      </c>
      <c r="M451" s="30" t="s">
        <v>839</v>
      </c>
      <c r="N451" s="37" t="s">
        <v>81</v>
      </c>
      <c r="O451" s="34" t="s">
        <v>86</v>
      </c>
      <c r="P451" s="35" t="s">
        <v>304</v>
      </c>
      <c r="Q451" s="29" t="s">
        <v>831</v>
      </c>
    </row>
    <row r="452" spans="1:17" ht="14.25" customHeight="1" x14ac:dyDescent="0.3">
      <c r="A452" s="28">
        <v>46088</v>
      </c>
      <c r="B452" s="29" t="s">
        <v>829</v>
      </c>
      <c r="C452" s="30" t="s">
        <v>337</v>
      </c>
      <c r="D452" s="30" t="s">
        <v>841</v>
      </c>
      <c r="E452" s="31" t="s">
        <v>339</v>
      </c>
      <c r="F452" s="31" t="s">
        <v>340</v>
      </c>
      <c r="G452" s="30" t="s">
        <v>81</v>
      </c>
      <c r="H452" s="30" t="s">
        <v>838</v>
      </c>
      <c r="I452" s="32">
        <v>46086</v>
      </c>
      <c r="J452" s="30" t="s">
        <v>83</v>
      </c>
      <c r="K452" s="32" t="s">
        <v>47</v>
      </c>
      <c r="L452" s="30" t="s">
        <v>114</v>
      </c>
      <c r="M452" s="30" t="s">
        <v>839</v>
      </c>
      <c r="N452" s="37" t="s">
        <v>81</v>
      </c>
      <c r="O452" s="34" t="s">
        <v>86</v>
      </c>
      <c r="P452" s="35" t="s">
        <v>304</v>
      </c>
      <c r="Q452" s="29" t="s">
        <v>831</v>
      </c>
    </row>
    <row r="453" spans="1:17" ht="14.25" customHeight="1" x14ac:dyDescent="0.3">
      <c r="A453" s="28">
        <v>46088</v>
      </c>
      <c r="B453" s="29" t="s">
        <v>829</v>
      </c>
      <c r="C453" s="30" t="s">
        <v>337</v>
      </c>
      <c r="D453" s="30" t="s">
        <v>842</v>
      </c>
      <c r="E453" s="31" t="s">
        <v>339</v>
      </c>
      <c r="F453" s="31" t="s">
        <v>340</v>
      </c>
      <c r="G453" s="30" t="s">
        <v>81</v>
      </c>
      <c r="H453" s="30" t="s">
        <v>838</v>
      </c>
      <c r="I453" s="32">
        <v>46086</v>
      </c>
      <c r="J453" s="30" t="s">
        <v>83</v>
      </c>
      <c r="K453" s="32" t="s">
        <v>47</v>
      </c>
      <c r="L453" s="30" t="s">
        <v>114</v>
      </c>
      <c r="M453" s="30" t="s">
        <v>839</v>
      </c>
      <c r="N453" s="37" t="s">
        <v>81</v>
      </c>
      <c r="O453" s="34" t="s">
        <v>86</v>
      </c>
      <c r="P453" s="35" t="s">
        <v>304</v>
      </c>
      <c r="Q453" s="29" t="s">
        <v>831</v>
      </c>
    </row>
    <row r="454" spans="1:17" ht="14.25" customHeight="1" x14ac:dyDescent="0.3">
      <c r="A454" s="28">
        <v>46089</v>
      </c>
      <c r="B454" s="29" t="s">
        <v>829</v>
      </c>
      <c r="C454" s="30" t="s">
        <v>103</v>
      </c>
      <c r="D454" s="30" t="s">
        <v>843</v>
      </c>
      <c r="E454" s="31" t="s">
        <v>208</v>
      </c>
      <c r="F454" s="31" t="s">
        <v>209</v>
      </c>
      <c r="G454" s="30" t="s">
        <v>81</v>
      </c>
      <c r="H454" s="30" t="s">
        <v>616</v>
      </c>
      <c r="I454" s="32">
        <v>46087</v>
      </c>
      <c r="J454" s="30" t="s">
        <v>83</v>
      </c>
      <c r="K454" s="32" t="s">
        <v>25</v>
      </c>
      <c r="L454" s="30" t="s">
        <v>114</v>
      </c>
      <c r="M454" s="30" t="s">
        <v>617</v>
      </c>
      <c r="N454" s="37" t="s">
        <v>81</v>
      </c>
      <c r="O454" s="34" t="s">
        <v>86</v>
      </c>
      <c r="P454" s="35" t="s">
        <v>304</v>
      </c>
      <c r="Q454" s="29" t="s">
        <v>831</v>
      </c>
    </row>
    <row r="455" spans="1:17" ht="14.25" customHeight="1" x14ac:dyDescent="0.3">
      <c r="A455" s="28">
        <v>46089</v>
      </c>
      <c r="B455" s="29" t="s">
        <v>829</v>
      </c>
      <c r="C455" s="30" t="s">
        <v>219</v>
      </c>
      <c r="D455" s="30" t="s">
        <v>844</v>
      </c>
      <c r="E455" s="31" t="s">
        <v>226</v>
      </c>
      <c r="F455" s="31" t="s">
        <v>99</v>
      </c>
      <c r="G455" s="30" t="s">
        <v>81</v>
      </c>
      <c r="H455" s="30" t="s">
        <v>227</v>
      </c>
      <c r="I455" s="32">
        <v>46087</v>
      </c>
      <c r="J455" s="30" t="s">
        <v>83</v>
      </c>
      <c r="K455" s="32" t="s">
        <v>44</v>
      </c>
      <c r="L455" s="30" t="s">
        <v>114</v>
      </c>
      <c r="M455" s="30" t="s">
        <v>101</v>
      </c>
      <c r="N455" s="37" t="s">
        <v>81</v>
      </c>
      <c r="O455" s="34" t="s">
        <v>86</v>
      </c>
      <c r="P455" s="35" t="s">
        <v>304</v>
      </c>
      <c r="Q455" s="29" t="s">
        <v>831</v>
      </c>
    </row>
    <row r="456" spans="1:17" ht="14.25" customHeight="1" x14ac:dyDescent="0.3">
      <c r="A456" s="28">
        <v>46090</v>
      </c>
      <c r="B456" s="29" t="s">
        <v>829</v>
      </c>
      <c r="C456" s="30" t="s">
        <v>337</v>
      </c>
      <c r="D456" s="30" t="s">
        <v>845</v>
      </c>
      <c r="E456" s="31" t="s">
        <v>750</v>
      </c>
      <c r="F456" s="31" t="s">
        <v>340</v>
      </c>
      <c r="G456" s="30" t="s">
        <v>334</v>
      </c>
      <c r="H456" s="30" t="s">
        <v>751</v>
      </c>
      <c r="I456" s="32">
        <v>46088</v>
      </c>
      <c r="J456" s="30" t="s">
        <v>83</v>
      </c>
      <c r="K456" s="32" t="s">
        <v>52</v>
      </c>
      <c r="L456" s="30" t="s">
        <v>84</v>
      </c>
      <c r="M456" s="30" t="s">
        <v>752</v>
      </c>
      <c r="N456" s="37">
        <v>4300</v>
      </c>
      <c r="O456" s="34" t="s">
        <v>86</v>
      </c>
      <c r="P456" s="35" t="s">
        <v>304</v>
      </c>
      <c r="Q456" s="29" t="s">
        <v>831</v>
      </c>
    </row>
    <row r="457" spans="1:17" ht="14.25" customHeight="1" x14ac:dyDescent="0.3">
      <c r="A457" s="28">
        <v>46090</v>
      </c>
      <c r="B457" s="29" t="s">
        <v>829</v>
      </c>
      <c r="C457" s="30" t="s">
        <v>219</v>
      </c>
      <c r="D457" s="30" t="s">
        <v>846</v>
      </c>
      <c r="E457" s="31" t="s">
        <v>459</v>
      </c>
      <c r="F457" s="31" t="s">
        <v>111</v>
      </c>
      <c r="G457" s="30" t="s">
        <v>334</v>
      </c>
      <c r="H457" s="30" t="s">
        <v>135</v>
      </c>
      <c r="I457" s="32">
        <v>46087</v>
      </c>
      <c r="J457" s="30" t="s">
        <v>83</v>
      </c>
      <c r="K457" s="32" t="s">
        <v>42</v>
      </c>
      <c r="L457" s="30" t="s">
        <v>114</v>
      </c>
      <c r="M457" s="30" t="s">
        <v>460</v>
      </c>
      <c r="N457" s="37">
        <v>1850</v>
      </c>
      <c r="O457" s="34" t="s">
        <v>86</v>
      </c>
      <c r="P457" s="35" t="s">
        <v>304</v>
      </c>
      <c r="Q457" s="29" t="s">
        <v>831</v>
      </c>
    </row>
    <row r="458" spans="1:17" ht="14.25" customHeight="1" x14ac:dyDescent="0.3">
      <c r="A458" s="28">
        <v>46090</v>
      </c>
      <c r="B458" s="29" t="s">
        <v>829</v>
      </c>
      <c r="C458" s="30" t="s">
        <v>219</v>
      </c>
      <c r="D458" s="30" t="s">
        <v>847</v>
      </c>
      <c r="E458" s="31" t="s">
        <v>459</v>
      </c>
      <c r="F458" s="31" t="s">
        <v>111</v>
      </c>
      <c r="G458" s="30" t="s">
        <v>334</v>
      </c>
      <c r="H458" s="30" t="s">
        <v>135</v>
      </c>
      <c r="I458" s="32">
        <v>46087</v>
      </c>
      <c r="J458" s="30" t="s">
        <v>83</v>
      </c>
      <c r="K458" s="32" t="s">
        <v>42</v>
      </c>
      <c r="L458" s="30" t="s">
        <v>114</v>
      </c>
      <c r="M458" s="30" t="s">
        <v>460</v>
      </c>
      <c r="N458" s="37">
        <v>1850</v>
      </c>
      <c r="O458" s="34" t="s">
        <v>86</v>
      </c>
      <c r="P458" s="35" t="s">
        <v>304</v>
      </c>
      <c r="Q458" s="29" t="s">
        <v>831</v>
      </c>
    </row>
    <row r="459" spans="1:17" ht="14.25" customHeight="1" x14ac:dyDescent="0.3">
      <c r="A459" s="28">
        <v>46091</v>
      </c>
      <c r="B459" s="29" t="s">
        <v>829</v>
      </c>
      <c r="C459" s="30" t="s">
        <v>103</v>
      </c>
      <c r="D459" s="30" t="s">
        <v>848</v>
      </c>
      <c r="E459" s="31" t="s">
        <v>164</v>
      </c>
      <c r="F459" s="31" t="s">
        <v>165</v>
      </c>
      <c r="G459" s="30" t="s">
        <v>81</v>
      </c>
      <c r="H459" s="30" t="s">
        <v>513</v>
      </c>
      <c r="I459" s="32">
        <v>46090</v>
      </c>
      <c r="J459" s="30" t="s">
        <v>83</v>
      </c>
      <c r="K459" s="32" t="s">
        <v>45</v>
      </c>
      <c r="L459" s="30" t="s">
        <v>114</v>
      </c>
      <c r="M459" s="30" t="s">
        <v>167</v>
      </c>
      <c r="N459" s="37" t="s">
        <v>81</v>
      </c>
      <c r="O459" s="34" t="s">
        <v>86</v>
      </c>
      <c r="P459" s="35" t="s">
        <v>304</v>
      </c>
      <c r="Q459" s="29" t="s">
        <v>831</v>
      </c>
    </row>
    <row r="460" spans="1:17" ht="14.25" customHeight="1" x14ac:dyDescent="0.3">
      <c r="A460" s="28">
        <v>46091</v>
      </c>
      <c r="B460" s="29" t="s">
        <v>829</v>
      </c>
      <c r="C460" s="30" t="s">
        <v>103</v>
      </c>
      <c r="D460" s="30" t="s">
        <v>849</v>
      </c>
      <c r="E460" s="31" t="s">
        <v>164</v>
      </c>
      <c r="F460" s="31" t="s">
        <v>165</v>
      </c>
      <c r="G460" s="30" t="s">
        <v>81</v>
      </c>
      <c r="H460" s="30" t="s">
        <v>513</v>
      </c>
      <c r="I460" s="32">
        <v>46089</v>
      </c>
      <c r="J460" s="30" t="s">
        <v>83</v>
      </c>
      <c r="K460" s="32" t="s">
        <v>45</v>
      </c>
      <c r="L460" s="30" t="s">
        <v>114</v>
      </c>
      <c r="M460" s="30" t="s">
        <v>167</v>
      </c>
      <c r="N460" s="37" t="s">
        <v>81</v>
      </c>
      <c r="O460" s="34" t="s">
        <v>86</v>
      </c>
      <c r="P460" s="35" t="s">
        <v>304</v>
      </c>
      <c r="Q460" s="29" t="s">
        <v>831</v>
      </c>
    </row>
    <row r="461" spans="1:17" ht="14.25" customHeight="1" x14ac:dyDescent="0.3">
      <c r="A461" s="28">
        <v>46091</v>
      </c>
      <c r="B461" s="29" t="s">
        <v>829</v>
      </c>
      <c r="C461" s="30" t="s">
        <v>103</v>
      </c>
      <c r="D461" s="30" t="s">
        <v>850</v>
      </c>
      <c r="E461" s="31" t="s">
        <v>164</v>
      </c>
      <c r="F461" s="31" t="s">
        <v>165</v>
      </c>
      <c r="G461" s="30" t="s">
        <v>81</v>
      </c>
      <c r="H461" s="30" t="s">
        <v>513</v>
      </c>
      <c r="I461" s="32">
        <v>46089</v>
      </c>
      <c r="J461" s="30" t="s">
        <v>83</v>
      </c>
      <c r="K461" s="32" t="s">
        <v>45</v>
      </c>
      <c r="L461" s="30" t="s">
        <v>114</v>
      </c>
      <c r="M461" s="30" t="s">
        <v>167</v>
      </c>
      <c r="N461" s="37" t="s">
        <v>81</v>
      </c>
      <c r="O461" s="34" t="s">
        <v>86</v>
      </c>
      <c r="P461" s="35" t="s">
        <v>304</v>
      </c>
      <c r="Q461" s="29" t="s">
        <v>831</v>
      </c>
    </row>
    <row r="462" spans="1:17" ht="14.25" customHeight="1" x14ac:dyDescent="0.3">
      <c r="A462" s="28">
        <v>46091</v>
      </c>
      <c r="B462" s="29" t="s">
        <v>829</v>
      </c>
      <c r="C462" s="30" t="s">
        <v>103</v>
      </c>
      <c r="D462" s="30" t="s">
        <v>851</v>
      </c>
      <c r="E462" s="31" t="s">
        <v>164</v>
      </c>
      <c r="F462" s="31" t="s">
        <v>165</v>
      </c>
      <c r="G462" s="30" t="s">
        <v>81</v>
      </c>
      <c r="H462" s="30" t="s">
        <v>513</v>
      </c>
      <c r="I462" s="32">
        <v>46089</v>
      </c>
      <c r="J462" s="30" t="s">
        <v>83</v>
      </c>
      <c r="K462" s="32" t="s">
        <v>45</v>
      </c>
      <c r="L462" s="30" t="s">
        <v>114</v>
      </c>
      <c r="M462" s="30" t="s">
        <v>167</v>
      </c>
      <c r="N462" s="37" t="s">
        <v>81</v>
      </c>
      <c r="O462" s="34" t="s">
        <v>86</v>
      </c>
      <c r="P462" s="35" t="s">
        <v>304</v>
      </c>
      <c r="Q462" s="29" t="s">
        <v>831</v>
      </c>
    </row>
    <row r="463" spans="1:17" ht="14.25" customHeight="1" x14ac:dyDescent="0.3">
      <c r="A463" s="28">
        <v>46091</v>
      </c>
      <c r="B463" s="29" t="s">
        <v>829</v>
      </c>
      <c r="C463" s="30" t="s">
        <v>103</v>
      </c>
      <c r="D463" s="30" t="s">
        <v>852</v>
      </c>
      <c r="E463" s="31" t="s">
        <v>164</v>
      </c>
      <c r="F463" s="31" t="s">
        <v>165</v>
      </c>
      <c r="G463" s="30" t="s">
        <v>81</v>
      </c>
      <c r="H463" s="30" t="s">
        <v>513</v>
      </c>
      <c r="I463" s="32">
        <v>46089</v>
      </c>
      <c r="J463" s="30" t="s">
        <v>83</v>
      </c>
      <c r="K463" s="32" t="s">
        <v>45</v>
      </c>
      <c r="L463" s="30" t="s">
        <v>114</v>
      </c>
      <c r="M463" s="30" t="s">
        <v>167</v>
      </c>
      <c r="N463" s="37" t="s">
        <v>81</v>
      </c>
      <c r="O463" s="34" t="s">
        <v>86</v>
      </c>
      <c r="P463" s="35" t="s">
        <v>304</v>
      </c>
      <c r="Q463" s="29" t="s">
        <v>831</v>
      </c>
    </row>
    <row r="464" spans="1:17" ht="14.25" customHeight="1" x14ac:dyDescent="0.3">
      <c r="A464" s="28">
        <v>46091</v>
      </c>
      <c r="B464" s="29" t="s">
        <v>829</v>
      </c>
      <c r="C464" s="30" t="s">
        <v>103</v>
      </c>
      <c r="D464" s="30" t="s">
        <v>853</v>
      </c>
      <c r="E464" s="31" t="s">
        <v>164</v>
      </c>
      <c r="F464" s="31" t="s">
        <v>165</v>
      </c>
      <c r="G464" s="30" t="s">
        <v>81</v>
      </c>
      <c r="H464" s="30" t="s">
        <v>513</v>
      </c>
      <c r="I464" s="32">
        <v>46089</v>
      </c>
      <c r="J464" s="30" t="s">
        <v>83</v>
      </c>
      <c r="K464" s="32" t="s">
        <v>45</v>
      </c>
      <c r="L464" s="30" t="s">
        <v>114</v>
      </c>
      <c r="M464" s="30" t="s">
        <v>167</v>
      </c>
      <c r="N464" s="37" t="s">
        <v>81</v>
      </c>
      <c r="O464" s="34" t="s">
        <v>86</v>
      </c>
      <c r="P464" s="35" t="s">
        <v>304</v>
      </c>
      <c r="Q464" s="29" t="s">
        <v>831</v>
      </c>
    </row>
    <row r="465" spans="1:17" ht="14.25" customHeight="1" x14ac:dyDescent="0.3">
      <c r="A465" s="28">
        <v>46091</v>
      </c>
      <c r="B465" s="29" t="s">
        <v>829</v>
      </c>
      <c r="C465" s="30" t="s">
        <v>103</v>
      </c>
      <c r="D465" s="30" t="s">
        <v>854</v>
      </c>
      <c r="E465" s="31" t="s">
        <v>164</v>
      </c>
      <c r="F465" s="31" t="s">
        <v>165</v>
      </c>
      <c r="G465" s="30" t="s">
        <v>81</v>
      </c>
      <c r="H465" s="30" t="s">
        <v>513</v>
      </c>
      <c r="I465" s="32">
        <v>46089</v>
      </c>
      <c r="J465" s="30" t="s">
        <v>83</v>
      </c>
      <c r="K465" s="32" t="s">
        <v>45</v>
      </c>
      <c r="L465" s="30" t="s">
        <v>114</v>
      </c>
      <c r="M465" s="30" t="s">
        <v>167</v>
      </c>
      <c r="N465" s="37" t="s">
        <v>81</v>
      </c>
      <c r="O465" s="34" t="s">
        <v>86</v>
      </c>
      <c r="P465" s="35" t="s">
        <v>304</v>
      </c>
      <c r="Q465" s="29" t="s">
        <v>831</v>
      </c>
    </row>
    <row r="466" spans="1:17" ht="14.25" customHeight="1" x14ac:dyDescent="0.3">
      <c r="A466" s="28">
        <v>46092</v>
      </c>
      <c r="B466" s="29" t="s">
        <v>829</v>
      </c>
      <c r="C466" s="30" t="s">
        <v>103</v>
      </c>
      <c r="D466" s="30" t="s">
        <v>855</v>
      </c>
      <c r="E466" s="31" t="s">
        <v>164</v>
      </c>
      <c r="F466" s="31" t="s">
        <v>165</v>
      </c>
      <c r="G466" s="30" t="s">
        <v>81</v>
      </c>
      <c r="H466" s="30" t="s">
        <v>513</v>
      </c>
      <c r="I466" s="32">
        <v>46090</v>
      </c>
      <c r="J466" s="30" t="s">
        <v>83</v>
      </c>
      <c r="K466" s="32" t="s">
        <v>45</v>
      </c>
      <c r="L466" s="30" t="s">
        <v>114</v>
      </c>
      <c r="M466" s="30" t="s">
        <v>167</v>
      </c>
      <c r="N466" s="37" t="s">
        <v>81</v>
      </c>
      <c r="O466" s="34" t="s">
        <v>86</v>
      </c>
      <c r="P466" s="35" t="s">
        <v>304</v>
      </c>
      <c r="Q466" s="29" t="s">
        <v>831</v>
      </c>
    </row>
    <row r="467" spans="1:17" ht="14.25" customHeight="1" x14ac:dyDescent="0.3">
      <c r="A467" s="28">
        <v>46092</v>
      </c>
      <c r="B467" s="29" t="s">
        <v>829</v>
      </c>
      <c r="C467" s="30" t="s">
        <v>103</v>
      </c>
      <c r="D467" s="30" t="s">
        <v>856</v>
      </c>
      <c r="E467" s="31" t="s">
        <v>164</v>
      </c>
      <c r="F467" s="31" t="s">
        <v>165</v>
      </c>
      <c r="G467" s="30" t="s">
        <v>81</v>
      </c>
      <c r="H467" s="30" t="s">
        <v>513</v>
      </c>
      <c r="I467" s="32">
        <v>46089</v>
      </c>
      <c r="J467" s="30" t="s">
        <v>83</v>
      </c>
      <c r="K467" s="32" t="s">
        <v>45</v>
      </c>
      <c r="L467" s="30" t="s">
        <v>114</v>
      </c>
      <c r="M467" s="30" t="s">
        <v>167</v>
      </c>
      <c r="N467" s="37" t="s">
        <v>81</v>
      </c>
      <c r="O467" s="34" t="s">
        <v>86</v>
      </c>
      <c r="P467" s="35" t="s">
        <v>304</v>
      </c>
      <c r="Q467" s="29" t="s">
        <v>831</v>
      </c>
    </row>
    <row r="468" spans="1:17" ht="14.25" customHeight="1" x14ac:dyDescent="0.3">
      <c r="A468" s="28">
        <v>46092</v>
      </c>
      <c r="B468" s="29" t="s">
        <v>829</v>
      </c>
      <c r="C468" s="30" t="s">
        <v>103</v>
      </c>
      <c r="D468" s="30" t="s">
        <v>857</v>
      </c>
      <c r="E468" s="31" t="s">
        <v>164</v>
      </c>
      <c r="F468" s="31" t="s">
        <v>165</v>
      </c>
      <c r="G468" s="30" t="s">
        <v>81</v>
      </c>
      <c r="H468" s="30" t="s">
        <v>513</v>
      </c>
      <c r="I468" s="32">
        <v>46090</v>
      </c>
      <c r="J468" s="30" t="s">
        <v>83</v>
      </c>
      <c r="K468" s="32" t="s">
        <v>45</v>
      </c>
      <c r="L468" s="30" t="s">
        <v>114</v>
      </c>
      <c r="M468" s="30" t="s">
        <v>167</v>
      </c>
      <c r="N468" s="37" t="s">
        <v>81</v>
      </c>
      <c r="O468" s="34" t="s">
        <v>86</v>
      </c>
      <c r="P468" s="35" t="s">
        <v>304</v>
      </c>
      <c r="Q468" s="29" t="s">
        <v>831</v>
      </c>
    </row>
    <row r="469" spans="1:17" ht="14.25" customHeight="1" x14ac:dyDescent="0.3">
      <c r="A469" s="28">
        <v>46092</v>
      </c>
      <c r="B469" s="29" t="s">
        <v>829</v>
      </c>
      <c r="C469" s="30" t="s">
        <v>103</v>
      </c>
      <c r="D469" s="30" t="s">
        <v>858</v>
      </c>
      <c r="E469" s="31" t="s">
        <v>164</v>
      </c>
      <c r="F469" s="31" t="s">
        <v>165</v>
      </c>
      <c r="G469" s="30" t="s">
        <v>81</v>
      </c>
      <c r="H469" s="30" t="s">
        <v>513</v>
      </c>
      <c r="I469" s="32">
        <v>46090</v>
      </c>
      <c r="J469" s="30" t="s">
        <v>83</v>
      </c>
      <c r="K469" s="32" t="s">
        <v>45</v>
      </c>
      <c r="L469" s="30" t="s">
        <v>114</v>
      </c>
      <c r="M469" s="30" t="s">
        <v>167</v>
      </c>
      <c r="N469" s="37" t="s">
        <v>81</v>
      </c>
      <c r="O469" s="34" t="s">
        <v>86</v>
      </c>
      <c r="P469" s="35" t="s">
        <v>304</v>
      </c>
      <c r="Q469" s="29" t="s">
        <v>831</v>
      </c>
    </row>
    <row r="470" spans="1:17" ht="14.25" customHeight="1" x14ac:dyDescent="0.3">
      <c r="A470" s="28">
        <v>46092</v>
      </c>
      <c r="B470" s="29" t="s">
        <v>829</v>
      </c>
      <c r="C470" s="30" t="s">
        <v>103</v>
      </c>
      <c r="D470" s="30" t="s">
        <v>859</v>
      </c>
      <c r="E470" s="31" t="s">
        <v>164</v>
      </c>
      <c r="F470" s="31" t="s">
        <v>165</v>
      </c>
      <c r="G470" s="30" t="s">
        <v>81</v>
      </c>
      <c r="H470" s="30" t="s">
        <v>513</v>
      </c>
      <c r="I470" s="32">
        <v>46090</v>
      </c>
      <c r="J470" s="30" t="s">
        <v>83</v>
      </c>
      <c r="K470" s="32" t="s">
        <v>45</v>
      </c>
      <c r="L470" s="30" t="s">
        <v>114</v>
      </c>
      <c r="M470" s="30" t="s">
        <v>167</v>
      </c>
      <c r="N470" s="37" t="s">
        <v>81</v>
      </c>
      <c r="O470" s="34" t="s">
        <v>86</v>
      </c>
      <c r="P470" s="35" t="s">
        <v>304</v>
      </c>
      <c r="Q470" s="29" t="s">
        <v>831</v>
      </c>
    </row>
    <row r="471" spans="1:17" ht="14.25" customHeight="1" x14ac:dyDescent="0.3">
      <c r="A471" s="28">
        <v>46092</v>
      </c>
      <c r="B471" s="29" t="s">
        <v>829</v>
      </c>
      <c r="C471" s="30" t="s">
        <v>103</v>
      </c>
      <c r="D471" s="30" t="s">
        <v>860</v>
      </c>
      <c r="E471" s="31" t="s">
        <v>164</v>
      </c>
      <c r="F471" s="31" t="s">
        <v>165</v>
      </c>
      <c r="G471" s="30" t="s">
        <v>81</v>
      </c>
      <c r="H471" s="30" t="s">
        <v>513</v>
      </c>
      <c r="I471" s="32">
        <v>46090</v>
      </c>
      <c r="J471" s="30" t="s">
        <v>83</v>
      </c>
      <c r="K471" s="32" t="s">
        <v>45</v>
      </c>
      <c r="L471" s="30" t="s">
        <v>114</v>
      </c>
      <c r="M471" s="30" t="s">
        <v>167</v>
      </c>
      <c r="N471" s="37" t="s">
        <v>81</v>
      </c>
      <c r="O471" s="34" t="s">
        <v>86</v>
      </c>
      <c r="P471" s="35" t="s">
        <v>304</v>
      </c>
      <c r="Q471" s="29" t="s">
        <v>831</v>
      </c>
    </row>
    <row r="472" spans="1:17" ht="14.25" customHeight="1" x14ac:dyDescent="0.3">
      <c r="A472" s="28">
        <v>46092</v>
      </c>
      <c r="B472" s="29" t="s">
        <v>829</v>
      </c>
      <c r="C472" s="30" t="s">
        <v>337</v>
      </c>
      <c r="D472" s="30" t="s">
        <v>861</v>
      </c>
      <c r="E472" s="31" t="s">
        <v>750</v>
      </c>
      <c r="F472" s="31" t="s">
        <v>340</v>
      </c>
      <c r="G472" s="30" t="s">
        <v>334</v>
      </c>
      <c r="H472" s="30" t="s">
        <v>751</v>
      </c>
      <c r="I472" s="32">
        <v>46090</v>
      </c>
      <c r="J472" s="30" t="s">
        <v>83</v>
      </c>
      <c r="K472" s="32" t="s">
        <v>27</v>
      </c>
      <c r="L472" s="30" t="s">
        <v>114</v>
      </c>
      <c r="M472" s="30" t="s">
        <v>752</v>
      </c>
      <c r="N472" s="37">
        <v>5000</v>
      </c>
      <c r="O472" s="34" t="s">
        <v>86</v>
      </c>
      <c r="P472" s="35" t="s">
        <v>304</v>
      </c>
      <c r="Q472" s="29" t="s">
        <v>831</v>
      </c>
    </row>
    <row r="473" spans="1:17" ht="14.25" customHeight="1" x14ac:dyDescent="0.3">
      <c r="A473" s="28">
        <v>46093</v>
      </c>
      <c r="B473" s="29" t="s">
        <v>829</v>
      </c>
      <c r="C473" s="30" t="s">
        <v>103</v>
      </c>
      <c r="D473" s="30" t="s">
        <v>862</v>
      </c>
      <c r="E473" s="31" t="s">
        <v>350</v>
      </c>
      <c r="F473" s="31" t="s">
        <v>351</v>
      </c>
      <c r="G473" s="30" t="s">
        <v>81</v>
      </c>
      <c r="H473" s="30" t="s">
        <v>513</v>
      </c>
      <c r="I473" s="32">
        <v>46093</v>
      </c>
      <c r="J473" s="30" t="s">
        <v>136</v>
      </c>
      <c r="K473" s="32" t="s">
        <v>44</v>
      </c>
      <c r="L473" s="30" t="s">
        <v>498</v>
      </c>
      <c r="M473" s="30" t="s">
        <v>863</v>
      </c>
      <c r="N473" s="37" t="s">
        <v>81</v>
      </c>
      <c r="O473" s="34" t="s">
        <v>86</v>
      </c>
      <c r="P473" s="35" t="s">
        <v>304</v>
      </c>
      <c r="Q473" s="29" t="s">
        <v>831</v>
      </c>
    </row>
    <row r="474" spans="1:17" ht="14.25" customHeight="1" x14ac:dyDescent="0.3">
      <c r="A474" s="28">
        <v>46093</v>
      </c>
      <c r="B474" s="29" t="s">
        <v>829</v>
      </c>
      <c r="C474" s="30" t="s">
        <v>103</v>
      </c>
      <c r="D474" s="30" t="s">
        <v>864</v>
      </c>
      <c r="E474" s="31" t="s">
        <v>313</v>
      </c>
      <c r="F474" s="31" t="s">
        <v>816</v>
      </c>
      <c r="G474" s="30" t="s">
        <v>81</v>
      </c>
      <c r="H474" s="30" t="s">
        <v>504</v>
      </c>
      <c r="I474" s="32">
        <v>46091</v>
      </c>
      <c r="J474" s="30" t="s">
        <v>83</v>
      </c>
      <c r="K474" s="32" t="s">
        <v>45</v>
      </c>
      <c r="L474" s="30" t="s">
        <v>84</v>
      </c>
      <c r="M474" s="30" t="s">
        <v>316</v>
      </c>
      <c r="N474" s="37" t="s">
        <v>81</v>
      </c>
      <c r="O474" s="34" t="s">
        <v>86</v>
      </c>
      <c r="P474" s="35" t="s">
        <v>304</v>
      </c>
      <c r="Q474" s="29" t="s">
        <v>831</v>
      </c>
    </row>
    <row r="475" spans="1:17" ht="14.25" customHeight="1" x14ac:dyDescent="0.3">
      <c r="A475" s="28">
        <v>46093</v>
      </c>
      <c r="B475" s="29" t="s">
        <v>829</v>
      </c>
      <c r="C475" s="30" t="s">
        <v>77</v>
      </c>
      <c r="D475" s="30" t="s">
        <v>865</v>
      </c>
      <c r="E475" s="31" t="s">
        <v>797</v>
      </c>
      <c r="F475" s="31" t="s">
        <v>183</v>
      </c>
      <c r="G475" s="30" t="s">
        <v>334</v>
      </c>
      <c r="H475" s="30" t="s">
        <v>147</v>
      </c>
      <c r="I475" s="32">
        <v>46093</v>
      </c>
      <c r="J475" s="30" t="s">
        <v>136</v>
      </c>
      <c r="K475" s="32" t="s">
        <v>34</v>
      </c>
      <c r="L475" s="30" t="s">
        <v>498</v>
      </c>
      <c r="M475" s="30" t="s">
        <v>184</v>
      </c>
      <c r="N475" s="37">
        <v>1130</v>
      </c>
      <c r="O475" s="34" t="s">
        <v>86</v>
      </c>
      <c r="P475" s="35" t="s">
        <v>304</v>
      </c>
      <c r="Q475" s="29" t="s">
        <v>831</v>
      </c>
    </row>
    <row r="476" spans="1:17" ht="14.25" customHeight="1" x14ac:dyDescent="0.3">
      <c r="A476" s="28">
        <v>46094</v>
      </c>
      <c r="B476" s="29" t="s">
        <v>829</v>
      </c>
      <c r="C476" s="30" t="s">
        <v>337</v>
      </c>
      <c r="D476" s="30" t="s">
        <v>866</v>
      </c>
      <c r="E476" s="31" t="s">
        <v>750</v>
      </c>
      <c r="F476" s="31" t="s">
        <v>340</v>
      </c>
      <c r="G476" s="30" t="s">
        <v>334</v>
      </c>
      <c r="H476" s="30" t="s">
        <v>759</v>
      </c>
      <c r="I476" s="32">
        <v>46092</v>
      </c>
      <c r="J476" s="30" t="s">
        <v>83</v>
      </c>
      <c r="K476" s="32" t="s">
        <v>29</v>
      </c>
      <c r="L476" s="30" t="s">
        <v>114</v>
      </c>
      <c r="M476" s="30" t="s">
        <v>752</v>
      </c>
      <c r="N476" s="37">
        <v>5000</v>
      </c>
      <c r="O476" s="34" t="s">
        <v>86</v>
      </c>
      <c r="P476" s="35" t="s">
        <v>304</v>
      </c>
      <c r="Q476" s="29" t="s">
        <v>831</v>
      </c>
    </row>
    <row r="477" spans="1:17" ht="14.25" customHeight="1" x14ac:dyDescent="0.3">
      <c r="A477" s="28">
        <v>46095</v>
      </c>
      <c r="B477" s="29" t="s">
        <v>829</v>
      </c>
      <c r="C477" s="30" t="s">
        <v>219</v>
      </c>
      <c r="D477" s="30" t="s">
        <v>867</v>
      </c>
      <c r="E477" s="31" t="s">
        <v>292</v>
      </c>
      <c r="F477" s="31" t="s">
        <v>293</v>
      </c>
      <c r="G477" s="30" t="s">
        <v>81</v>
      </c>
      <c r="H477" s="30" t="s">
        <v>645</v>
      </c>
      <c r="I477" s="32">
        <v>46093</v>
      </c>
      <c r="J477" s="30" t="s">
        <v>83</v>
      </c>
      <c r="K477" s="32" t="s">
        <v>34</v>
      </c>
      <c r="L477" s="30" t="s">
        <v>114</v>
      </c>
      <c r="M477" s="30" t="s">
        <v>646</v>
      </c>
      <c r="N477" s="37" t="s">
        <v>81</v>
      </c>
      <c r="O477" s="34" t="s">
        <v>86</v>
      </c>
      <c r="P477" s="35" t="s">
        <v>304</v>
      </c>
      <c r="Q477" s="29" t="s">
        <v>831</v>
      </c>
    </row>
    <row r="478" spans="1:17" ht="14.25" customHeight="1" x14ac:dyDescent="0.3">
      <c r="A478" s="28">
        <v>46095</v>
      </c>
      <c r="B478" s="29" t="s">
        <v>829</v>
      </c>
      <c r="C478" s="30" t="s">
        <v>103</v>
      </c>
      <c r="D478" s="30" t="s">
        <v>868</v>
      </c>
      <c r="E478" s="31" t="s">
        <v>554</v>
      </c>
      <c r="F478" s="31" t="s">
        <v>209</v>
      </c>
      <c r="G478" s="30" t="s">
        <v>81</v>
      </c>
      <c r="H478" s="30" t="s">
        <v>804</v>
      </c>
      <c r="I478" s="32">
        <v>46093</v>
      </c>
      <c r="J478" s="30" t="s">
        <v>83</v>
      </c>
      <c r="K478" s="32" t="s">
        <v>42</v>
      </c>
      <c r="L478" s="30" t="s">
        <v>84</v>
      </c>
      <c r="M478" s="30" t="s">
        <v>617</v>
      </c>
      <c r="N478" s="37" t="s">
        <v>81</v>
      </c>
      <c r="O478" s="34" t="s">
        <v>86</v>
      </c>
      <c r="P478" s="35" t="s">
        <v>304</v>
      </c>
      <c r="Q478" s="29" t="s">
        <v>831</v>
      </c>
    </row>
    <row r="479" spans="1:17" ht="14.25" customHeight="1" x14ac:dyDescent="0.3">
      <c r="A479" s="28">
        <v>46095</v>
      </c>
      <c r="B479" s="29" t="s">
        <v>829</v>
      </c>
      <c r="C479" s="30" t="s">
        <v>103</v>
      </c>
      <c r="D479" s="30" t="s">
        <v>869</v>
      </c>
      <c r="E479" s="31" t="s">
        <v>554</v>
      </c>
      <c r="F479" s="31" t="s">
        <v>209</v>
      </c>
      <c r="G479" s="30" t="s">
        <v>81</v>
      </c>
      <c r="H479" s="30" t="s">
        <v>804</v>
      </c>
      <c r="I479" s="32">
        <v>46093</v>
      </c>
      <c r="J479" s="30" t="s">
        <v>83</v>
      </c>
      <c r="K479" s="32" t="s">
        <v>42</v>
      </c>
      <c r="L479" s="30" t="s">
        <v>84</v>
      </c>
      <c r="M479" s="30" t="s">
        <v>617</v>
      </c>
      <c r="N479" s="37" t="s">
        <v>81</v>
      </c>
      <c r="O479" s="34" t="s">
        <v>86</v>
      </c>
      <c r="P479" s="35" t="s">
        <v>304</v>
      </c>
      <c r="Q479" s="29" t="s">
        <v>831</v>
      </c>
    </row>
    <row r="480" spans="1:17" ht="14.25" customHeight="1" x14ac:dyDescent="0.3">
      <c r="A480" s="28">
        <v>46095</v>
      </c>
      <c r="B480" s="29" t="s">
        <v>829</v>
      </c>
      <c r="C480" s="30" t="s">
        <v>103</v>
      </c>
      <c r="D480" s="30" t="s">
        <v>870</v>
      </c>
      <c r="E480" s="31" t="s">
        <v>554</v>
      </c>
      <c r="F480" s="31" t="s">
        <v>209</v>
      </c>
      <c r="G480" s="30" t="s">
        <v>81</v>
      </c>
      <c r="H480" s="30" t="s">
        <v>804</v>
      </c>
      <c r="I480" s="32">
        <v>46093</v>
      </c>
      <c r="J480" s="30" t="s">
        <v>83</v>
      </c>
      <c r="K480" s="32" t="s">
        <v>42</v>
      </c>
      <c r="L480" s="30" t="s">
        <v>84</v>
      </c>
      <c r="M480" s="30" t="s">
        <v>617</v>
      </c>
      <c r="N480" s="37" t="s">
        <v>81</v>
      </c>
      <c r="O480" s="34" t="s">
        <v>86</v>
      </c>
      <c r="P480" s="35" t="s">
        <v>304</v>
      </c>
      <c r="Q480" s="29" t="s">
        <v>831</v>
      </c>
    </row>
    <row r="481" spans="1:17" ht="14.25" customHeight="1" x14ac:dyDescent="0.3">
      <c r="A481" s="28">
        <v>46096</v>
      </c>
      <c r="B481" s="29" t="s">
        <v>829</v>
      </c>
      <c r="C481" s="30" t="s">
        <v>77</v>
      </c>
      <c r="D481" s="30" t="s">
        <v>871</v>
      </c>
      <c r="E481" s="31" t="s">
        <v>582</v>
      </c>
      <c r="F481" s="31" t="s">
        <v>183</v>
      </c>
      <c r="G481" s="30" t="s">
        <v>334</v>
      </c>
      <c r="H481" s="30" t="s">
        <v>147</v>
      </c>
      <c r="I481" s="32">
        <v>46094</v>
      </c>
      <c r="J481" s="30" t="s">
        <v>136</v>
      </c>
      <c r="K481" s="32" t="s">
        <v>34</v>
      </c>
      <c r="L481" s="30" t="s">
        <v>84</v>
      </c>
      <c r="M481" s="30" t="s">
        <v>184</v>
      </c>
      <c r="N481" s="37">
        <v>1130</v>
      </c>
      <c r="O481" s="34" t="s">
        <v>86</v>
      </c>
      <c r="P481" s="35" t="s">
        <v>304</v>
      </c>
      <c r="Q481" s="29" t="s">
        <v>831</v>
      </c>
    </row>
    <row r="482" spans="1:17" ht="14.25" customHeight="1" x14ac:dyDescent="0.3">
      <c r="A482" s="28">
        <v>46096</v>
      </c>
      <c r="B482" s="29" t="s">
        <v>829</v>
      </c>
      <c r="C482" s="30" t="s">
        <v>77</v>
      </c>
      <c r="D482" s="30" t="s">
        <v>872</v>
      </c>
      <c r="E482" s="31" t="s">
        <v>582</v>
      </c>
      <c r="F482" s="31" t="s">
        <v>183</v>
      </c>
      <c r="G482" s="30" t="s">
        <v>334</v>
      </c>
      <c r="H482" s="30" t="s">
        <v>147</v>
      </c>
      <c r="I482" s="32">
        <v>46094</v>
      </c>
      <c r="J482" s="30" t="s">
        <v>136</v>
      </c>
      <c r="K482" s="32" t="s">
        <v>34</v>
      </c>
      <c r="L482" s="30" t="s">
        <v>84</v>
      </c>
      <c r="M482" s="30" t="s">
        <v>184</v>
      </c>
      <c r="N482" s="37">
        <v>1130</v>
      </c>
      <c r="O482" s="34" t="s">
        <v>86</v>
      </c>
      <c r="P482" s="35" t="s">
        <v>304</v>
      </c>
      <c r="Q482" s="29" t="s">
        <v>831</v>
      </c>
    </row>
    <row r="483" spans="1:17" ht="14.25" customHeight="1" x14ac:dyDescent="0.3">
      <c r="A483" s="28">
        <v>46098</v>
      </c>
      <c r="B483" s="29" t="s">
        <v>829</v>
      </c>
      <c r="C483" s="30" t="s">
        <v>103</v>
      </c>
      <c r="D483" s="30" t="s">
        <v>873</v>
      </c>
      <c r="E483" s="31" t="s">
        <v>236</v>
      </c>
      <c r="F483" s="31" t="s">
        <v>237</v>
      </c>
      <c r="G483" s="30" t="s">
        <v>81</v>
      </c>
      <c r="H483" s="30" t="s">
        <v>624</v>
      </c>
      <c r="I483" s="32">
        <v>46096</v>
      </c>
      <c r="J483" s="30" t="s">
        <v>83</v>
      </c>
      <c r="K483" s="32" t="s">
        <v>44</v>
      </c>
      <c r="L483" s="30" t="s">
        <v>84</v>
      </c>
      <c r="M483" s="30" t="s">
        <v>239</v>
      </c>
      <c r="N483" s="37" t="s">
        <v>81</v>
      </c>
      <c r="O483" s="34" t="s">
        <v>86</v>
      </c>
      <c r="P483" s="35" t="s">
        <v>304</v>
      </c>
      <c r="Q483" s="29" t="s">
        <v>831</v>
      </c>
    </row>
    <row r="484" spans="1:17" ht="14.25" customHeight="1" x14ac:dyDescent="0.3">
      <c r="A484" s="28">
        <v>46098</v>
      </c>
      <c r="B484" s="29" t="s">
        <v>829</v>
      </c>
      <c r="C484" s="30" t="s">
        <v>77</v>
      </c>
      <c r="D484" s="30" t="s">
        <v>874</v>
      </c>
      <c r="E484" s="31" t="s">
        <v>582</v>
      </c>
      <c r="F484" s="31" t="s">
        <v>183</v>
      </c>
      <c r="G484" s="30" t="s">
        <v>334</v>
      </c>
      <c r="H484" s="30" t="s">
        <v>147</v>
      </c>
      <c r="I484" s="32">
        <v>46094</v>
      </c>
      <c r="J484" s="30" t="s">
        <v>136</v>
      </c>
      <c r="K484" s="32" t="s">
        <v>34</v>
      </c>
      <c r="L484" s="30" t="s">
        <v>498</v>
      </c>
      <c r="M484" s="30" t="s">
        <v>184</v>
      </c>
      <c r="N484" s="37">
        <v>1130</v>
      </c>
      <c r="O484" s="34" t="s">
        <v>86</v>
      </c>
      <c r="P484" s="35" t="s">
        <v>304</v>
      </c>
      <c r="Q484" s="29" t="s">
        <v>831</v>
      </c>
    </row>
    <row r="485" spans="1:17" ht="14.25" customHeight="1" x14ac:dyDescent="0.3">
      <c r="A485" s="28">
        <v>46098</v>
      </c>
      <c r="B485" s="29" t="s">
        <v>829</v>
      </c>
      <c r="C485" s="30" t="s">
        <v>77</v>
      </c>
      <c r="D485" s="30" t="s">
        <v>875</v>
      </c>
      <c r="E485" s="31" t="s">
        <v>582</v>
      </c>
      <c r="F485" s="31" t="s">
        <v>183</v>
      </c>
      <c r="G485" s="30" t="s">
        <v>334</v>
      </c>
      <c r="H485" s="30" t="s">
        <v>147</v>
      </c>
      <c r="I485" s="32">
        <v>46094</v>
      </c>
      <c r="J485" s="30" t="s">
        <v>136</v>
      </c>
      <c r="K485" s="32" t="s">
        <v>34</v>
      </c>
      <c r="L485" s="30" t="s">
        <v>498</v>
      </c>
      <c r="M485" s="30" t="s">
        <v>184</v>
      </c>
      <c r="N485" s="37">
        <v>1130</v>
      </c>
      <c r="O485" s="34" t="s">
        <v>86</v>
      </c>
      <c r="P485" s="35" t="s">
        <v>304</v>
      </c>
      <c r="Q485" s="29" t="s">
        <v>831</v>
      </c>
    </row>
    <row r="486" spans="1:17" ht="14.25" customHeight="1" x14ac:dyDescent="0.3">
      <c r="A486" s="28">
        <v>46099</v>
      </c>
      <c r="B486" s="29" t="s">
        <v>829</v>
      </c>
      <c r="C486" s="30" t="s">
        <v>170</v>
      </c>
      <c r="D486" s="30" t="s">
        <v>876</v>
      </c>
      <c r="E486" s="31" t="s">
        <v>877</v>
      </c>
      <c r="F486" s="31" t="s">
        <v>568</v>
      </c>
      <c r="G486" s="30" t="s">
        <v>334</v>
      </c>
      <c r="H486" s="30" t="s">
        <v>147</v>
      </c>
      <c r="I486" s="32">
        <v>46097</v>
      </c>
      <c r="J486" s="30" t="s">
        <v>83</v>
      </c>
      <c r="K486" s="32" t="s">
        <v>28</v>
      </c>
      <c r="L486" s="30" t="s">
        <v>84</v>
      </c>
      <c r="M486" s="30" t="s">
        <v>176</v>
      </c>
      <c r="N486" s="37">
        <v>235</v>
      </c>
      <c r="O486" s="34" t="s">
        <v>86</v>
      </c>
      <c r="P486" s="35" t="s">
        <v>304</v>
      </c>
      <c r="Q486" s="29" t="s">
        <v>831</v>
      </c>
    </row>
    <row r="487" spans="1:17" ht="14.25" customHeight="1" x14ac:dyDescent="0.3">
      <c r="A487" s="28">
        <v>46100</v>
      </c>
      <c r="B487" s="29" t="s">
        <v>829</v>
      </c>
      <c r="C487" s="30" t="s">
        <v>103</v>
      </c>
      <c r="D487" s="30" t="s">
        <v>878</v>
      </c>
      <c r="E487" s="31" t="s">
        <v>879</v>
      </c>
      <c r="F487" s="31" t="s">
        <v>414</v>
      </c>
      <c r="G487" s="30" t="s">
        <v>81</v>
      </c>
      <c r="H487" s="30" t="s">
        <v>880</v>
      </c>
      <c r="I487" s="32">
        <v>46098</v>
      </c>
      <c r="J487" s="30" t="s">
        <v>83</v>
      </c>
      <c r="K487" s="32" t="s">
        <v>42</v>
      </c>
      <c r="L487" s="30" t="s">
        <v>114</v>
      </c>
      <c r="M487" s="30" t="s">
        <v>881</v>
      </c>
      <c r="N487" s="37" t="s">
        <v>81</v>
      </c>
      <c r="O487" s="34" t="s">
        <v>86</v>
      </c>
      <c r="P487" s="35" t="s">
        <v>304</v>
      </c>
      <c r="Q487" s="29" t="s">
        <v>831</v>
      </c>
    </row>
    <row r="488" spans="1:17" ht="14.25" customHeight="1" x14ac:dyDescent="0.3">
      <c r="A488" s="28">
        <v>46101</v>
      </c>
      <c r="B488" s="29" t="s">
        <v>829</v>
      </c>
      <c r="C488" s="30" t="s">
        <v>103</v>
      </c>
      <c r="D488" s="30" t="s">
        <v>882</v>
      </c>
      <c r="E488" s="31" t="s">
        <v>609</v>
      </c>
      <c r="F488" s="31" t="s">
        <v>610</v>
      </c>
      <c r="G488" s="30" t="s">
        <v>81</v>
      </c>
      <c r="H488" s="30" t="s">
        <v>675</v>
      </c>
      <c r="I488" s="32">
        <v>46099</v>
      </c>
      <c r="J488" s="30" t="s">
        <v>83</v>
      </c>
      <c r="K488" s="32" t="s">
        <v>44</v>
      </c>
      <c r="L488" s="30" t="s">
        <v>114</v>
      </c>
      <c r="M488" s="30" t="s">
        <v>883</v>
      </c>
      <c r="N488" s="37" t="s">
        <v>81</v>
      </c>
      <c r="O488" s="34" t="s">
        <v>86</v>
      </c>
      <c r="P488" s="35" t="s">
        <v>304</v>
      </c>
      <c r="Q488" s="29" t="s">
        <v>831</v>
      </c>
    </row>
    <row r="489" spans="1:17" ht="14.25" customHeight="1" x14ac:dyDescent="0.3">
      <c r="A489" s="28">
        <v>46101</v>
      </c>
      <c r="B489" s="29" t="s">
        <v>829</v>
      </c>
      <c r="C489" s="30" t="s">
        <v>103</v>
      </c>
      <c r="D489" s="30" t="s">
        <v>884</v>
      </c>
      <c r="E489" s="31" t="s">
        <v>609</v>
      </c>
      <c r="F489" s="31" t="s">
        <v>610</v>
      </c>
      <c r="G489" s="30" t="s">
        <v>81</v>
      </c>
      <c r="H489" s="30" t="s">
        <v>675</v>
      </c>
      <c r="I489" s="32">
        <v>46099</v>
      </c>
      <c r="J489" s="30" t="s">
        <v>83</v>
      </c>
      <c r="K489" s="32" t="s">
        <v>44</v>
      </c>
      <c r="L489" s="30" t="s">
        <v>114</v>
      </c>
      <c r="M489" s="30" t="s">
        <v>883</v>
      </c>
      <c r="N489" s="37" t="s">
        <v>81</v>
      </c>
      <c r="O489" s="34" t="s">
        <v>86</v>
      </c>
      <c r="P489" s="35" t="s">
        <v>304</v>
      </c>
      <c r="Q489" s="29" t="s">
        <v>831</v>
      </c>
    </row>
    <row r="490" spans="1:17" ht="14.25" customHeight="1" x14ac:dyDescent="0.3">
      <c r="A490" s="28">
        <v>46103</v>
      </c>
      <c r="B490" s="29" t="s">
        <v>829</v>
      </c>
      <c r="C490" s="30" t="s">
        <v>103</v>
      </c>
      <c r="D490" s="30" t="s">
        <v>885</v>
      </c>
      <c r="E490" s="31" t="s">
        <v>834</v>
      </c>
      <c r="F490" s="31" t="s">
        <v>242</v>
      </c>
      <c r="G490" s="30" t="s">
        <v>81</v>
      </c>
      <c r="H490" s="30" t="s">
        <v>243</v>
      </c>
      <c r="I490" s="32">
        <v>46101</v>
      </c>
      <c r="J490" s="30" t="s">
        <v>83</v>
      </c>
      <c r="K490" s="32" t="s">
        <v>44</v>
      </c>
      <c r="L490" s="30" t="s">
        <v>114</v>
      </c>
      <c r="M490" s="30" t="s">
        <v>244</v>
      </c>
      <c r="N490" s="37" t="s">
        <v>81</v>
      </c>
      <c r="O490" s="34" t="s">
        <v>86</v>
      </c>
      <c r="P490" s="35" t="s">
        <v>304</v>
      </c>
      <c r="Q490" s="29" t="s">
        <v>831</v>
      </c>
    </row>
    <row r="491" spans="1:17" ht="14.25" customHeight="1" x14ac:dyDescent="0.3">
      <c r="A491" s="28">
        <v>46103</v>
      </c>
      <c r="B491" s="29" t="s">
        <v>829</v>
      </c>
      <c r="C491" s="30" t="s">
        <v>103</v>
      </c>
      <c r="D491" s="30" t="s">
        <v>886</v>
      </c>
      <c r="E491" s="31" t="s">
        <v>623</v>
      </c>
      <c r="F491" s="31" t="s">
        <v>209</v>
      </c>
      <c r="G491" s="30" t="s">
        <v>334</v>
      </c>
      <c r="H491" s="30" t="s">
        <v>887</v>
      </c>
      <c r="I491" s="32">
        <v>46101</v>
      </c>
      <c r="J491" s="30" t="s">
        <v>83</v>
      </c>
      <c r="K491" s="32" t="s">
        <v>45</v>
      </c>
      <c r="L491" s="30" t="s">
        <v>114</v>
      </c>
      <c r="M491" s="30" t="s">
        <v>625</v>
      </c>
      <c r="N491" s="37">
        <v>2027</v>
      </c>
      <c r="O491" s="34" t="s">
        <v>86</v>
      </c>
      <c r="P491" s="35" t="s">
        <v>304</v>
      </c>
      <c r="Q491" s="29" t="s">
        <v>831</v>
      </c>
    </row>
    <row r="492" spans="1:17" ht="14.25" customHeight="1" x14ac:dyDescent="0.3">
      <c r="A492" s="28">
        <v>46104</v>
      </c>
      <c r="B492" s="29" t="s">
        <v>829</v>
      </c>
      <c r="C492" s="30" t="s">
        <v>337</v>
      </c>
      <c r="D492" s="30" t="s">
        <v>888</v>
      </c>
      <c r="E492" s="31" t="s">
        <v>750</v>
      </c>
      <c r="F492" s="31" t="s">
        <v>340</v>
      </c>
      <c r="G492" s="30" t="s">
        <v>334</v>
      </c>
      <c r="H492" s="30" t="s">
        <v>751</v>
      </c>
      <c r="I492" s="32">
        <v>46099</v>
      </c>
      <c r="J492" s="30" t="s">
        <v>83</v>
      </c>
      <c r="K492" s="32" t="s">
        <v>33</v>
      </c>
      <c r="L492" s="30" t="s">
        <v>114</v>
      </c>
      <c r="M492" s="30" t="s">
        <v>752</v>
      </c>
      <c r="N492" s="37">
        <v>5000</v>
      </c>
      <c r="O492" s="34" t="s">
        <v>86</v>
      </c>
      <c r="P492" s="35" t="s">
        <v>304</v>
      </c>
      <c r="Q492" s="29" t="s">
        <v>831</v>
      </c>
    </row>
    <row r="493" spans="1:17" ht="14.25" customHeight="1" x14ac:dyDescent="0.3">
      <c r="A493" s="28">
        <v>46104</v>
      </c>
      <c r="B493" s="29" t="s">
        <v>829</v>
      </c>
      <c r="C493" s="30" t="s">
        <v>704</v>
      </c>
      <c r="D493" s="30" t="s">
        <v>889</v>
      </c>
      <c r="E493" s="31" t="s">
        <v>706</v>
      </c>
      <c r="F493" s="31" t="s">
        <v>481</v>
      </c>
      <c r="G493" s="30" t="s">
        <v>334</v>
      </c>
      <c r="H493" s="30" t="s">
        <v>166</v>
      </c>
      <c r="I493" s="32">
        <v>46099</v>
      </c>
      <c r="J493" s="30" t="s">
        <v>83</v>
      </c>
      <c r="K493" s="32" t="s">
        <v>22</v>
      </c>
      <c r="L493" s="30" t="s">
        <v>84</v>
      </c>
      <c r="M493" s="30" t="s">
        <v>707</v>
      </c>
      <c r="N493" s="37">
        <v>1675</v>
      </c>
      <c r="O493" s="34" t="s">
        <v>86</v>
      </c>
      <c r="P493" s="35" t="s">
        <v>304</v>
      </c>
      <c r="Q493" s="29" t="s">
        <v>831</v>
      </c>
    </row>
    <row r="494" spans="1:17" ht="14.25" customHeight="1" x14ac:dyDescent="0.3">
      <c r="A494" s="28">
        <v>46104</v>
      </c>
      <c r="B494" s="29" t="s">
        <v>829</v>
      </c>
      <c r="C494" s="30" t="s">
        <v>704</v>
      </c>
      <c r="D494" s="30" t="s">
        <v>890</v>
      </c>
      <c r="E494" s="31" t="s">
        <v>706</v>
      </c>
      <c r="F494" s="31" t="s">
        <v>481</v>
      </c>
      <c r="G494" s="30" t="s">
        <v>334</v>
      </c>
      <c r="H494" s="30" t="s">
        <v>166</v>
      </c>
      <c r="I494" s="32">
        <v>46099</v>
      </c>
      <c r="J494" s="30" t="s">
        <v>83</v>
      </c>
      <c r="K494" s="32" t="s">
        <v>22</v>
      </c>
      <c r="L494" s="30" t="s">
        <v>84</v>
      </c>
      <c r="M494" s="30" t="s">
        <v>789</v>
      </c>
      <c r="N494" s="37">
        <v>1675</v>
      </c>
      <c r="O494" s="34" t="s">
        <v>86</v>
      </c>
      <c r="P494" s="35" t="s">
        <v>304</v>
      </c>
      <c r="Q494" s="29" t="s">
        <v>831</v>
      </c>
    </row>
    <row r="495" spans="1:17" ht="14.25" customHeight="1" x14ac:dyDescent="0.3">
      <c r="A495" s="28">
        <v>46107</v>
      </c>
      <c r="B495" s="29" t="s">
        <v>829</v>
      </c>
      <c r="C495" s="30" t="s">
        <v>219</v>
      </c>
      <c r="D495" s="30" t="s">
        <v>891</v>
      </c>
      <c r="E495" s="31" t="s">
        <v>326</v>
      </c>
      <c r="F495" s="31" t="s">
        <v>327</v>
      </c>
      <c r="G495" s="30" t="s">
        <v>334</v>
      </c>
      <c r="H495" s="30" t="s">
        <v>135</v>
      </c>
      <c r="I495" s="32">
        <v>46105</v>
      </c>
      <c r="J495" s="30" t="s">
        <v>83</v>
      </c>
      <c r="K495" s="32" t="s">
        <v>42</v>
      </c>
      <c r="L495" s="30" t="s">
        <v>114</v>
      </c>
      <c r="M495" s="30" t="s">
        <v>328</v>
      </c>
      <c r="N495" s="37">
        <v>1850</v>
      </c>
      <c r="O495" s="34" t="s">
        <v>86</v>
      </c>
      <c r="P495" s="35" t="s">
        <v>304</v>
      </c>
      <c r="Q495" s="29" t="s">
        <v>831</v>
      </c>
    </row>
    <row r="496" spans="1:17" ht="14.25" customHeight="1" x14ac:dyDescent="0.3">
      <c r="A496" s="28">
        <v>46108</v>
      </c>
      <c r="B496" s="29" t="s">
        <v>829</v>
      </c>
      <c r="C496" s="30" t="s">
        <v>337</v>
      </c>
      <c r="D496" s="30" t="s">
        <v>892</v>
      </c>
      <c r="E496" s="31" t="s">
        <v>339</v>
      </c>
      <c r="F496" s="31" t="s">
        <v>340</v>
      </c>
      <c r="G496" s="30" t="s">
        <v>81</v>
      </c>
      <c r="H496" s="30" t="s">
        <v>893</v>
      </c>
      <c r="I496" s="32">
        <v>46106</v>
      </c>
      <c r="J496" s="30" t="s">
        <v>83</v>
      </c>
      <c r="K496" s="32" t="s">
        <v>37</v>
      </c>
      <c r="L496" s="30" t="s">
        <v>114</v>
      </c>
      <c r="M496" s="30" t="s">
        <v>839</v>
      </c>
      <c r="N496" s="37" t="s">
        <v>81</v>
      </c>
      <c r="O496" s="34" t="s">
        <v>86</v>
      </c>
      <c r="P496" s="35" t="s">
        <v>304</v>
      </c>
      <c r="Q496" s="29" t="s">
        <v>831</v>
      </c>
    </row>
    <row r="497" spans="1:17" ht="14.25" customHeight="1" x14ac:dyDescent="0.3">
      <c r="A497" s="28">
        <v>46108</v>
      </c>
      <c r="B497" s="29" t="s">
        <v>829</v>
      </c>
      <c r="C497" s="30" t="s">
        <v>337</v>
      </c>
      <c r="D497" s="30" t="s">
        <v>894</v>
      </c>
      <c r="E497" s="31" t="s">
        <v>339</v>
      </c>
      <c r="F497" s="31" t="s">
        <v>340</v>
      </c>
      <c r="G497" s="30" t="s">
        <v>81</v>
      </c>
      <c r="H497" s="30" t="s">
        <v>893</v>
      </c>
      <c r="I497" s="32">
        <v>46106</v>
      </c>
      <c r="J497" s="30" t="s">
        <v>83</v>
      </c>
      <c r="K497" s="32" t="s">
        <v>37</v>
      </c>
      <c r="L497" s="30" t="s">
        <v>114</v>
      </c>
      <c r="M497" s="30" t="s">
        <v>839</v>
      </c>
      <c r="N497" s="37" t="s">
        <v>81</v>
      </c>
      <c r="O497" s="34" t="s">
        <v>86</v>
      </c>
      <c r="P497" s="35" t="s">
        <v>304</v>
      </c>
      <c r="Q497" s="29" t="s">
        <v>831</v>
      </c>
    </row>
    <row r="498" spans="1:17" ht="14.25" customHeight="1" x14ac:dyDescent="0.3">
      <c r="A498" s="28">
        <v>46109</v>
      </c>
      <c r="B498" s="29" t="s">
        <v>829</v>
      </c>
      <c r="C498" s="30" t="s">
        <v>219</v>
      </c>
      <c r="D498" s="30" t="s">
        <v>895</v>
      </c>
      <c r="E498" s="31" t="s">
        <v>2</v>
      </c>
      <c r="F498" s="31" t="s">
        <v>134</v>
      </c>
      <c r="G498" s="30" t="s">
        <v>81</v>
      </c>
      <c r="H498" s="30" t="s">
        <v>544</v>
      </c>
      <c r="I498" s="32">
        <v>46108</v>
      </c>
      <c r="J498" s="30" t="s">
        <v>83</v>
      </c>
      <c r="K498" s="32" t="s">
        <v>44</v>
      </c>
      <c r="L498" s="30" t="s">
        <v>114</v>
      </c>
      <c r="M498" s="30" t="s">
        <v>896</v>
      </c>
      <c r="N498" s="37" t="s">
        <v>81</v>
      </c>
      <c r="O498" s="34" t="s">
        <v>86</v>
      </c>
      <c r="P498" s="35" t="s">
        <v>304</v>
      </c>
      <c r="Q498" s="29" t="s">
        <v>831</v>
      </c>
    </row>
    <row r="499" spans="1:17" ht="14.25" customHeight="1" x14ac:dyDescent="0.3">
      <c r="A499" s="28">
        <v>46109</v>
      </c>
      <c r="B499" s="29" t="s">
        <v>829</v>
      </c>
      <c r="C499" s="30" t="s">
        <v>219</v>
      </c>
      <c r="D499" s="30" t="s">
        <v>897</v>
      </c>
      <c r="E499" s="31" t="s">
        <v>2</v>
      </c>
      <c r="F499" s="31" t="s">
        <v>134</v>
      </c>
      <c r="G499" s="30" t="s">
        <v>81</v>
      </c>
      <c r="H499" s="30" t="s">
        <v>544</v>
      </c>
      <c r="I499" s="32">
        <v>46108</v>
      </c>
      <c r="J499" s="30" t="s">
        <v>83</v>
      </c>
      <c r="K499" s="32" t="s">
        <v>44</v>
      </c>
      <c r="L499" s="30" t="s">
        <v>114</v>
      </c>
      <c r="M499" s="30" t="s">
        <v>896</v>
      </c>
      <c r="N499" s="37" t="s">
        <v>81</v>
      </c>
      <c r="O499" s="34" t="s">
        <v>86</v>
      </c>
      <c r="P499" s="35" t="s">
        <v>304</v>
      </c>
      <c r="Q499" s="29" t="s">
        <v>831</v>
      </c>
    </row>
    <row r="500" spans="1:17" ht="14.25" customHeight="1" x14ac:dyDescent="0.3">
      <c r="A500" s="28">
        <v>46109</v>
      </c>
      <c r="B500" s="29" t="s">
        <v>829</v>
      </c>
      <c r="C500" s="30" t="s">
        <v>219</v>
      </c>
      <c r="D500" s="30" t="s">
        <v>898</v>
      </c>
      <c r="E500" s="31" t="s">
        <v>2</v>
      </c>
      <c r="F500" s="31" t="s">
        <v>134</v>
      </c>
      <c r="G500" s="30" t="s">
        <v>81</v>
      </c>
      <c r="H500" s="30" t="s">
        <v>544</v>
      </c>
      <c r="I500" s="32">
        <v>46108</v>
      </c>
      <c r="J500" s="30" t="s">
        <v>83</v>
      </c>
      <c r="K500" s="32" t="s">
        <v>44</v>
      </c>
      <c r="L500" s="30" t="s">
        <v>114</v>
      </c>
      <c r="M500" s="30" t="s">
        <v>896</v>
      </c>
      <c r="N500" s="37" t="s">
        <v>81</v>
      </c>
      <c r="O500" s="34" t="s">
        <v>86</v>
      </c>
      <c r="P500" s="35" t="s">
        <v>304</v>
      </c>
      <c r="Q500" s="29" t="s">
        <v>831</v>
      </c>
    </row>
    <row r="501" spans="1:17" ht="14.25" customHeight="1" x14ac:dyDescent="0.3">
      <c r="A501" s="28">
        <v>46109</v>
      </c>
      <c r="B501" s="29" t="s">
        <v>829</v>
      </c>
      <c r="C501" s="30" t="s">
        <v>219</v>
      </c>
      <c r="D501" s="30" t="s">
        <v>899</v>
      </c>
      <c r="E501" s="31" t="s">
        <v>2</v>
      </c>
      <c r="F501" s="31" t="s">
        <v>134</v>
      </c>
      <c r="G501" s="30" t="s">
        <v>81</v>
      </c>
      <c r="H501" s="30" t="s">
        <v>544</v>
      </c>
      <c r="I501" s="32">
        <v>46108</v>
      </c>
      <c r="J501" s="30" t="s">
        <v>83</v>
      </c>
      <c r="K501" s="32" t="s">
        <v>44</v>
      </c>
      <c r="L501" s="30" t="s">
        <v>114</v>
      </c>
      <c r="M501" s="30" t="s">
        <v>896</v>
      </c>
      <c r="N501" s="37" t="s">
        <v>81</v>
      </c>
      <c r="O501" s="34" t="s">
        <v>86</v>
      </c>
      <c r="P501" s="35" t="s">
        <v>304</v>
      </c>
      <c r="Q501" s="29" t="s">
        <v>831</v>
      </c>
    </row>
    <row r="502" spans="1:17" ht="14.25" customHeight="1" x14ac:dyDescent="0.3">
      <c r="A502" s="28">
        <v>46109</v>
      </c>
      <c r="B502" s="29" t="s">
        <v>829</v>
      </c>
      <c r="C502" s="30" t="s">
        <v>219</v>
      </c>
      <c r="D502" s="30" t="s">
        <v>900</v>
      </c>
      <c r="E502" s="31" t="s">
        <v>2</v>
      </c>
      <c r="F502" s="31" t="s">
        <v>134</v>
      </c>
      <c r="G502" s="30" t="s">
        <v>81</v>
      </c>
      <c r="H502" s="30" t="s">
        <v>544</v>
      </c>
      <c r="I502" s="32">
        <v>46108</v>
      </c>
      <c r="J502" s="30" t="s">
        <v>83</v>
      </c>
      <c r="K502" s="32" t="s">
        <v>44</v>
      </c>
      <c r="L502" s="30" t="s">
        <v>114</v>
      </c>
      <c r="M502" s="30" t="s">
        <v>896</v>
      </c>
      <c r="N502" s="37" t="s">
        <v>81</v>
      </c>
      <c r="O502" s="34" t="s">
        <v>86</v>
      </c>
      <c r="P502" s="35" t="s">
        <v>304</v>
      </c>
      <c r="Q502" s="29" t="s">
        <v>831</v>
      </c>
    </row>
    <row r="503" spans="1:17" ht="14.25" customHeight="1" x14ac:dyDescent="0.3">
      <c r="A503" s="28">
        <v>46109</v>
      </c>
      <c r="B503" s="29" t="s">
        <v>829</v>
      </c>
      <c r="C503" s="30" t="s">
        <v>103</v>
      </c>
      <c r="D503" s="30" t="s">
        <v>901</v>
      </c>
      <c r="E503" s="31" t="s">
        <v>350</v>
      </c>
      <c r="F503" s="31" t="s">
        <v>351</v>
      </c>
      <c r="G503" s="30" t="s">
        <v>81</v>
      </c>
      <c r="H503" s="30" t="s">
        <v>513</v>
      </c>
      <c r="I503" s="32">
        <v>46107</v>
      </c>
      <c r="J503" s="30" t="s">
        <v>136</v>
      </c>
      <c r="K503" s="32" t="s">
        <v>34</v>
      </c>
      <c r="L503" s="30" t="s">
        <v>498</v>
      </c>
      <c r="M503" s="30" t="s">
        <v>524</v>
      </c>
      <c r="N503" s="37" t="s">
        <v>81</v>
      </c>
      <c r="O503" s="34" t="s">
        <v>86</v>
      </c>
      <c r="P503" s="35" t="s">
        <v>304</v>
      </c>
      <c r="Q503" s="29" t="s">
        <v>831</v>
      </c>
    </row>
    <row r="504" spans="1:17" ht="14.25" customHeight="1" x14ac:dyDescent="0.3">
      <c r="A504" s="28">
        <v>46109</v>
      </c>
      <c r="B504" s="29" t="s">
        <v>829</v>
      </c>
      <c r="C504" s="30" t="s">
        <v>103</v>
      </c>
      <c r="D504" s="30" t="s">
        <v>902</v>
      </c>
      <c r="E504" s="31" t="s">
        <v>350</v>
      </c>
      <c r="F504" s="31" t="s">
        <v>351</v>
      </c>
      <c r="G504" s="30" t="s">
        <v>81</v>
      </c>
      <c r="H504" s="30" t="s">
        <v>513</v>
      </c>
      <c r="I504" s="32">
        <v>46107</v>
      </c>
      <c r="J504" s="30" t="s">
        <v>136</v>
      </c>
      <c r="K504" s="32" t="s">
        <v>34</v>
      </c>
      <c r="L504" s="30" t="s">
        <v>498</v>
      </c>
      <c r="M504" s="30" t="s">
        <v>524</v>
      </c>
      <c r="N504" s="37" t="s">
        <v>81</v>
      </c>
      <c r="O504" s="34" t="s">
        <v>86</v>
      </c>
      <c r="P504" s="35" t="s">
        <v>304</v>
      </c>
      <c r="Q504" s="29" t="s">
        <v>831</v>
      </c>
    </row>
    <row r="505" spans="1:17" ht="14.25" customHeight="1" x14ac:dyDescent="0.3">
      <c r="A505" s="28">
        <v>46109</v>
      </c>
      <c r="B505" s="29" t="s">
        <v>829</v>
      </c>
      <c r="C505" s="30" t="s">
        <v>103</v>
      </c>
      <c r="D505" s="30" t="s">
        <v>903</v>
      </c>
      <c r="E505" s="31" t="s">
        <v>350</v>
      </c>
      <c r="F505" s="31" t="s">
        <v>351</v>
      </c>
      <c r="G505" s="30" t="s">
        <v>81</v>
      </c>
      <c r="H505" s="30" t="s">
        <v>513</v>
      </c>
      <c r="I505" s="32">
        <v>46107</v>
      </c>
      <c r="J505" s="30" t="s">
        <v>136</v>
      </c>
      <c r="K505" s="32" t="s">
        <v>34</v>
      </c>
      <c r="L505" s="30" t="s">
        <v>498</v>
      </c>
      <c r="M505" s="30" t="s">
        <v>524</v>
      </c>
      <c r="N505" s="37" t="s">
        <v>81</v>
      </c>
      <c r="O505" s="34" t="s">
        <v>86</v>
      </c>
      <c r="P505" s="35" t="s">
        <v>304</v>
      </c>
      <c r="Q505" s="29" t="s">
        <v>831</v>
      </c>
    </row>
    <row r="506" spans="1:17" ht="14.25" customHeight="1" x14ac:dyDescent="0.3">
      <c r="A506" s="28">
        <v>46112</v>
      </c>
      <c r="B506" s="29" t="s">
        <v>829</v>
      </c>
      <c r="C506" s="30" t="s">
        <v>170</v>
      </c>
      <c r="D506" s="30" t="s">
        <v>904</v>
      </c>
      <c r="E506" s="31" t="s">
        <v>719</v>
      </c>
      <c r="F506" s="31" t="s">
        <v>720</v>
      </c>
      <c r="G506" s="30" t="s">
        <v>334</v>
      </c>
      <c r="H506" s="30" t="s">
        <v>114</v>
      </c>
      <c r="I506" s="32">
        <v>46112</v>
      </c>
      <c r="J506" s="30"/>
      <c r="K506" s="32"/>
      <c r="L506" s="30" t="s">
        <v>114</v>
      </c>
      <c r="M506" s="30" t="s">
        <v>905</v>
      </c>
      <c r="N506" s="37">
        <v>120000</v>
      </c>
      <c r="O506" s="34" t="s">
        <v>86</v>
      </c>
      <c r="P506" s="35" t="s">
        <v>304</v>
      </c>
      <c r="Q506" s="29" t="s">
        <v>831</v>
      </c>
    </row>
    <row r="507" spans="1:17" ht="14.25" customHeight="1" x14ac:dyDescent="0.3">
      <c r="A507" s="28">
        <v>46112</v>
      </c>
      <c r="B507" s="29" t="s">
        <v>829</v>
      </c>
      <c r="C507" s="30" t="s">
        <v>170</v>
      </c>
      <c r="D507" s="30" t="s">
        <v>906</v>
      </c>
      <c r="E507" s="31" t="s">
        <v>719</v>
      </c>
      <c r="F507" s="31" t="s">
        <v>720</v>
      </c>
      <c r="G507" s="30" t="s">
        <v>334</v>
      </c>
      <c r="H507" s="30" t="s">
        <v>114</v>
      </c>
      <c r="I507" s="32">
        <v>46112</v>
      </c>
      <c r="J507" s="30"/>
      <c r="K507" s="32"/>
      <c r="L507" s="30" t="s">
        <v>114</v>
      </c>
      <c r="M507" s="30" t="s">
        <v>905</v>
      </c>
      <c r="N507" s="37">
        <v>120000</v>
      </c>
      <c r="O507" s="34" t="s">
        <v>86</v>
      </c>
      <c r="P507" s="35" t="s">
        <v>304</v>
      </c>
      <c r="Q507" s="29" t="s">
        <v>831</v>
      </c>
    </row>
    <row r="508" spans="1:17" ht="14.25" customHeight="1" x14ac:dyDescent="0.3">
      <c r="A508" s="28">
        <v>46123</v>
      </c>
      <c r="B508" s="29" t="s">
        <v>76</v>
      </c>
      <c r="C508" s="30" t="s">
        <v>704</v>
      </c>
      <c r="D508" s="30" t="s">
        <v>907</v>
      </c>
      <c r="E508" s="31" t="s">
        <v>706</v>
      </c>
      <c r="F508" s="31" t="s">
        <v>481</v>
      </c>
      <c r="G508" s="30" t="s">
        <v>81</v>
      </c>
      <c r="H508" s="30" t="s">
        <v>166</v>
      </c>
      <c r="I508" s="32">
        <v>46121</v>
      </c>
      <c r="J508" s="30" t="s">
        <v>83</v>
      </c>
      <c r="K508" s="32" t="s">
        <v>22</v>
      </c>
      <c r="L508" s="30" t="s">
        <v>114</v>
      </c>
      <c r="M508" s="30" t="s">
        <v>908</v>
      </c>
      <c r="N508" s="37">
        <v>1690</v>
      </c>
      <c r="O508" s="34" t="s">
        <v>86</v>
      </c>
      <c r="P508" s="35" t="s">
        <v>304</v>
      </c>
      <c r="Q508" s="29" t="s">
        <v>909</v>
      </c>
    </row>
    <row r="509" spans="1:17" ht="14.25" customHeight="1" x14ac:dyDescent="0.3">
      <c r="A509" s="28">
        <v>46123</v>
      </c>
      <c r="B509" s="29" t="s">
        <v>76</v>
      </c>
      <c r="C509" s="30" t="s">
        <v>704</v>
      </c>
      <c r="D509" s="30" t="s">
        <v>910</v>
      </c>
      <c r="E509" s="31" t="s">
        <v>706</v>
      </c>
      <c r="F509" s="31" t="s">
        <v>481</v>
      </c>
      <c r="G509" s="30" t="s">
        <v>81</v>
      </c>
      <c r="H509" s="30" t="s">
        <v>166</v>
      </c>
      <c r="I509" s="32">
        <v>46121</v>
      </c>
      <c r="J509" s="30" t="s">
        <v>83</v>
      </c>
      <c r="K509" s="32" t="s">
        <v>22</v>
      </c>
      <c r="L509" s="30" t="s">
        <v>114</v>
      </c>
      <c r="M509" s="30" t="s">
        <v>789</v>
      </c>
      <c r="N509" s="37">
        <v>1690</v>
      </c>
      <c r="O509" s="34" t="s">
        <v>86</v>
      </c>
      <c r="P509" s="35" t="s">
        <v>304</v>
      </c>
      <c r="Q509" s="29" t="s">
        <v>909</v>
      </c>
    </row>
    <row r="510" spans="1:17" ht="14.25" customHeight="1" x14ac:dyDescent="0.3">
      <c r="A510" s="28">
        <v>46127</v>
      </c>
      <c r="B510" s="29" t="s">
        <v>76</v>
      </c>
      <c r="C510" s="30" t="s">
        <v>337</v>
      </c>
      <c r="D510" s="30" t="s">
        <v>911</v>
      </c>
      <c r="E510" s="31" t="s">
        <v>912</v>
      </c>
      <c r="F510" s="31" t="s">
        <v>913</v>
      </c>
      <c r="G510" s="30" t="s">
        <v>334</v>
      </c>
      <c r="H510" s="30" t="s">
        <v>914</v>
      </c>
      <c r="I510" s="32">
        <v>46125</v>
      </c>
      <c r="J510" s="30" t="s">
        <v>83</v>
      </c>
      <c r="K510" s="32" t="s">
        <v>19</v>
      </c>
      <c r="L510" s="30" t="s">
        <v>114</v>
      </c>
      <c r="M510" s="30" t="s">
        <v>915</v>
      </c>
      <c r="N510" s="37">
        <v>4150</v>
      </c>
      <c r="O510" s="34" t="s">
        <v>86</v>
      </c>
      <c r="P510" s="35" t="s">
        <v>304</v>
      </c>
      <c r="Q510" s="29" t="s">
        <v>909</v>
      </c>
    </row>
    <row r="511" spans="1:17" ht="14.25" customHeight="1" x14ac:dyDescent="0.3">
      <c r="A511" s="28">
        <v>46127</v>
      </c>
      <c r="B511" s="29" t="s">
        <v>76</v>
      </c>
      <c r="C511" s="30" t="s">
        <v>337</v>
      </c>
      <c r="D511" s="30" t="s">
        <v>916</v>
      </c>
      <c r="E511" s="31" t="s">
        <v>912</v>
      </c>
      <c r="F511" s="31" t="s">
        <v>913</v>
      </c>
      <c r="G511" s="30" t="s">
        <v>334</v>
      </c>
      <c r="H511" s="30" t="s">
        <v>914</v>
      </c>
      <c r="I511" s="32">
        <v>46125</v>
      </c>
      <c r="J511" s="30" t="s">
        <v>83</v>
      </c>
      <c r="K511" s="32" t="s">
        <v>19</v>
      </c>
      <c r="L511" s="30" t="s">
        <v>114</v>
      </c>
      <c r="M511" s="30" t="s">
        <v>915</v>
      </c>
      <c r="N511" s="37">
        <v>4150</v>
      </c>
      <c r="O511" s="34" t="s">
        <v>86</v>
      </c>
      <c r="P511" s="35" t="s">
        <v>304</v>
      </c>
      <c r="Q511" s="29" t="s">
        <v>909</v>
      </c>
    </row>
    <row r="512" spans="1:17" ht="14.25" customHeight="1" x14ac:dyDescent="0.3">
      <c r="A512" s="28">
        <v>46127</v>
      </c>
      <c r="B512" s="29" t="s">
        <v>76</v>
      </c>
      <c r="C512" s="30" t="s">
        <v>337</v>
      </c>
      <c r="D512" s="30" t="s">
        <v>917</v>
      </c>
      <c r="E512" s="31" t="s">
        <v>912</v>
      </c>
      <c r="F512" s="31" t="s">
        <v>913</v>
      </c>
      <c r="G512" s="30" t="s">
        <v>334</v>
      </c>
      <c r="H512" s="30" t="s">
        <v>914</v>
      </c>
      <c r="I512" s="32">
        <v>46125</v>
      </c>
      <c r="J512" s="30" t="s">
        <v>83</v>
      </c>
      <c r="K512" s="32" t="s">
        <v>19</v>
      </c>
      <c r="L512" s="30" t="s">
        <v>114</v>
      </c>
      <c r="M512" s="30" t="s">
        <v>915</v>
      </c>
      <c r="N512" s="37">
        <v>4150</v>
      </c>
      <c r="O512" s="34" t="s">
        <v>86</v>
      </c>
      <c r="P512" s="35" t="s">
        <v>304</v>
      </c>
      <c r="Q512" s="29" t="s">
        <v>909</v>
      </c>
    </row>
    <row r="513" spans="1:17" ht="14.25" customHeight="1" x14ac:dyDescent="0.3">
      <c r="A513" s="28">
        <v>46127</v>
      </c>
      <c r="B513" s="29" t="s">
        <v>76</v>
      </c>
      <c r="C513" s="30" t="s">
        <v>337</v>
      </c>
      <c r="D513" s="30" t="s">
        <v>918</v>
      </c>
      <c r="E513" s="31" t="s">
        <v>912</v>
      </c>
      <c r="F513" s="31" t="s">
        <v>913</v>
      </c>
      <c r="G513" s="30" t="s">
        <v>334</v>
      </c>
      <c r="H513" s="30" t="s">
        <v>914</v>
      </c>
      <c r="I513" s="32">
        <v>46126</v>
      </c>
      <c r="J513" s="30" t="s">
        <v>83</v>
      </c>
      <c r="K513" s="32" t="s">
        <v>19</v>
      </c>
      <c r="L513" s="30" t="s">
        <v>114</v>
      </c>
      <c r="M513" s="30" t="s">
        <v>915</v>
      </c>
      <c r="N513" s="37">
        <v>4150</v>
      </c>
      <c r="O513" s="34" t="s">
        <v>86</v>
      </c>
      <c r="P513" s="35" t="s">
        <v>304</v>
      </c>
      <c r="Q513" s="29" t="s">
        <v>909</v>
      </c>
    </row>
    <row r="514" spans="1:17" ht="14.25" customHeight="1" x14ac:dyDescent="0.3">
      <c r="A514" s="28">
        <v>46127</v>
      </c>
      <c r="B514" s="29" t="s">
        <v>76</v>
      </c>
      <c r="C514" s="30" t="s">
        <v>337</v>
      </c>
      <c r="D514" s="30" t="s">
        <v>919</v>
      </c>
      <c r="E514" s="31" t="s">
        <v>912</v>
      </c>
      <c r="F514" s="31" t="s">
        <v>913</v>
      </c>
      <c r="G514" s="30" t="s">
        <v>334</v>
      </c>
      <c r="H514" s="30" t="s">
        <v>914</v>
      </c>
      <c r="I514" s="32">
        <v>46126</v>
      </c>
      <c r="J514" s="30" t="s">
        <v>83</v>
      </c>
      <c r="K514" s="32" t="s">
        <v>19</v>
      </c>
      <c r="L514" s="30" t="s">
        <v>114</v>
      </c>
      <c r="M514" s="30" t="s">
        <v>915</v>
      </c>
      <c r="N514" s="37">
        <v>4150</v>
      </c>
      <c r="O514" s="34" t="s">
        <v>86</v>
      </c>
      <c r="P514" s="35" t="s">
        <v>304</v>
      </c>
      <c r="Q514" s="29" t="s">
        <v>909</v>
      </c>
    </row>
    <row r="515" spans="1:17" ht="14.25" customHeight="1" x14ac:dyDescent="0.3">
      <c r="A515" s="28">
        <v>46128</v>
      </c>
      <c r="B515" s="29" t="s">
        <v>76</v>
      </c>
      <c r="C515" s="30" t="s">
        <v>337</v>
      </c>
      <c r="D515" s="30" t="s">
        <v>920</v>
      </c>
      <c r="E515" s="31" t="s">
        <v>912</v>
      </c>
      <c r="F515" s="31" t="s">
        <v>913</v>
      </c>
      <c r="G515" s="30" t="s">
        <v>334</v>
      </c>
      <c r="H515" s="30" t="s">
        <v>914</v>
      </c>
      <c r="I515" s="32">
        <v>46125</v>
      </c>
      <c r="J515" s="30" t="s">
        <v>83</v>
      </c>
      <c r="K515" s="32" t="s">
        <v>19</v>
      </c>
      <c r="L515" s="30" t="s">
        <v>114</v>
      </c>
      <c r="M515" s="30" t="s">
        <v>915</v>
      </c>
      <c r="N515" s="37">
        <v>4150</v>
      </c>
      <c r="O515" s="34" t="s">
        <v>86</v>
      </c>
      <c r="P515" s="35" t="s">
        <v>304</v>
      </c>
      <c r="Q515" s="29" t="s">
        <v>909</v>
      </c>
    </row>
    <row r="516" spans="1:17" ht="14.25" customHeight="1" x14ac:dyDescent="0.3">
      <c r="A516" s="28">
        <v>46128</v>
      </c>
      <c r="B516" s="29" t="s">
        <v>76</v>
      </c>
      <c r="C516" s="30" t="s">
        <v>337</v>
      </c>
      <c r="D516" s="30" t="s">
        <v>921</v>
      </c>
      <c r="E516" s="31" t="s">
        <v>912</v>
      </c>
      <c r="F516" s="31" t="s">
        <v>913</v>
      </c>
      <c r="G516" s="30" t="s">
        <v>334</v>
      </c>
      <c r="H516" s="30" t="s">
        <v>914</v>
      </c>
      <c r="I516" s="32">
        <v>46125</v>
      </c>
      <c r="J516" s="30" t="s">
        <v>83</v>
      </c>
      <c r="K516" s="32" t="s">
        <v>19</v>
      </c>
      <c r="L516" s="30" t="s">
        <v>114</v>
      </c>
      <c r="M516" s="30" t="s">
        <v>915</v>
      </c>
      <c r="N516" s="37">
        <v>4150</v>
      </c>
      <c r="O516" s="34" t="s">
        <v>86</v>
      </c>
      <c r="P516" s="35" t="s">
        <v>304</v>
      </c>
      <c r="Q516" s="29" t="s">
        <v>909</v>
      </c>
    </row>
    <row r="517" spans="1:17" ht="14.25" customHeight="1" x14ac:dyDescent="0.3">
      <c r="A517" s="28">
        <v>46128</v>
      </c>
      <c r="B517" s="29" t="s">
        <v>76</v>
      </c>
      <c r="C517" s="30" t="s">
        <v>337</v>
      </c>
      <c r="D517" s="30" t="s">
        <v>922</v>
      </c>
      <c r="E517" s="31" t="s">
        <v>912</v>
      </c>
      <c r="F517" s="31" t="s">
        <v>913</v>
      </c>
      <c r="G517" s="30" t="s">
        <v>334</v>
      </c>
      <c r="H517" s="30" t="s">
        <v>914</v>
      </c>
      <c r="I517" s="32">
        <v>46126</v>
      </c>
      <c r="J517" s="30" t="s">
        <v>83</v>
      </c>
      <c r="K517" s="32" t="s">
        <v>19</v>
      </c>
      <c r="L517" s="30" t="s">
        <v>114</v>
      </c>
      <c r="M517" s="30" t="s">
        <v>915</v>
      </c>
      <c r="N517" s="37">
        <v>4150</v>
      </c>
      <c r="O517" s="34" t="s">
        <v>86</v>
      </c>
      <c r="P517" s="35" t="s">
        <v>304</v>
      </c>
      <c r="Q517" s="29" t="s">
        <v>909</v>
      </c>
    </row>
    <row r="518" spans="1:17" ht="14.25" customHeight="1" x14ac:dyDescent="0.3">
      <c r="A518" s="28">
        <v>46128</v>
      </c>
      <c r="B518" s="29" t="s">
        <v>76</v>
      </c>
      <c r="C518" s="30" t="s">
        <v>337</v>
      </c>
      <c r="D518" s="30" t="s">
        <v>923</v>
      </c>
      <c r="E518" s="31" t="s">
        <v>912</v>
      </c>
      <c r="F518" s="31" t="s">
        <v>913</v>
      </c>
      <c r="G518" s="30" t="s">
        <v>334</v>
      </c>
      <c r="H518" s="30" t="s">
        <v>914</v>
      </c>
      <c r="I518" s="32">
        <v>46126</v>
      </c>
      <c r="J518" s="30" t="s">
        <v>83</v>
      </c>
      <c r="K518" s="32" t="s">
        <v>19</v>
      </c>
      <c r="L518" s="30" t="s">
        <v>114</v>
      </c>
      <c r="M518" s="30" t="s">
        <v>915</v>
      </c>
      <c r="N518" s="37">
        <v>4150</v>
      </c>
      <c r="O518" s="34" t="s">
        <v>86</v>
      </c>
      <c r="P518" s="35" t="s">
        <v>304</v>
      </c>
      <c r="Q518" s="29" t="s">
        <v>909</v>
      </c>
    </row>
    <row r="519" spans="1:17" ht="14.25" customHeight="1" x14ac:dyDescent="0.3">
      <c r="A519" s="28">
        <v>46128</v>
      </c>
      <c r="B519" s="29" t="s">
        <v>76</v>
      </c>
      <c r="C519" s="30" t="s">
        <v>337</v>
      </c>
      <c r="D519" s="30" t="s">
        <v>924</v>
      </c>
      <c r="E519" s="31" t="s">
        <v>912</v>
      </c>
      <c r="F519" s="31" t="s">
        <v>913</v>
      </c>
      <c r="G519" s="30" t="s">
        <v>334</v>
      </c>
      <c r="H519" s="30" t="s">
        <v>914</v>
      </c>
      <c r="I519" s="32">
        <v>46126</v>
      </c>
      <c r="J519" s="30" t="s">
        <v>83</v>
      </c>
      <c r="K519" s="32" t="s">
        <v>19</v>
      </c>
      <c r="L519" s="30" t="s">
        <v>114</v>
      </c>
      <c r="M519" s="30" t="s">
        <v>915</v>
      </c>
      <c r="N519" s="37">
        <v>4150</v>
      </c>
      <c r="O519" s="34" t="s">
        <v>86</v>
      </c>
      <c r="P519" s="35" t="s">
        <v>304</v>
      </c>
      <c r="Q519" s="29" t="s">
        <v>909</v>
      </c>
    </row>
    <row r="520" spans="1:17" ht="14.25" customHeight="1" x14ac:dyDescent="0.3">
      <c r="A520" s="28">
        <v>46128</v>
      </c>
      <c r="B520" s="29" t="s">
        <v>76</v>
      </c>
      <c r="C520" s="30" t="s">
        <v>925</v>
      </c>
      <c r="D520" s="30" t="s">
        <v>926</v>
      </c>
      <c r="E520" s="31" t="s">
        <v>927</v>
      </c>
      <c r="F520" s="31" t="s">
        <v>183</v>
      </c>
      <c r="G520" s="30" t="s">
        <v>112</v>
      </c>
      <c r="H520" s="30" t="s">
        <v>147</v>
      </c>
      <c r="I520" s="32">
        <v>46127</v>
      </c>
      <c r="J520" s="30" t="s">
        <v>83</v>
      </c>
      <c r="K520" s="32" t="s">
        <v>42</v>
      </c>
      <c r="L520" s="30" t="s">
        <v>114</v>
      </c>
      <c r="M520" s="30" t="s">
        <v>184</v>
      </c>
      <c r="N520" s="37">
        <v>1230</v>
      </c>
      <c r="O520" s="34" t="s">
        <v>86</v>
      </c>
      <c r="P520" s="35" t="s">
        <v>304</v>
      </c>
      <c r="Q520" s="29" t="s">
        <v>909</v>
      </c>
    </row>
    <row r="521" spans="1:17" ht="14.25" customHeight="1" x14ac:dyDescent="0.3">
      <c r="A521" s="28">
        <v>46128</v>
      </c>
      <c r="B521" s="29" t="s">
        <v>76</v>
      </c>
      <c r="C521" s="30" t="s">
        <v>925</v>
      </c>
      <c r="D521" s="30" t="s">
        <v>928</v>
      </c>
      <c r="E521" s="31" t="s">
        <v>927</v>
      </c>
      <c r="F521" s="31" t="s">
        <v>183</v>
      </c>
      <c r="G521" s="30" t="s">
        <v>112</v>
      </c>
      <c r="H521" s="30" t="s">
        <v>147</v>
      </c>
      <c r="I521" s="32">
        <v>46127</v>
      </c>
      <c r="J521" s="30" t="s">
        <v>83</v>
      </c>
      <c r="K521" s="32" t="s">
        <v>42</v>
      </c>
      <c r="L521" s="30" t="s">
        <v>114</v>
      </c>
      <c r="M521" s="30" t="s">
        <v>184</v>
      </c>
      <c r="N521" s="37">
        <v>1230</v>
      </c>
      <c r="O521" s="34" t="s">
        <v>86</v>
      </c>
      <c r="P521" s="35" t="s">
        <v>304</v>
      </c>
      <c r="Q521" s="29" t="s">
        <v>909</v>
      </c>
    </row>
    <row r="522" spans="1:17" ht="14.25" customHeight="1" x14ac:dyDescent="0.3">
      <c r="A522" s="28">
        <v>46130</v>
      </c>
      <c r="B522" s="29" t="s">
        <v>76</v>
      </c>
      <c r="C522" s="30" t="s">
        <v>96</v>
      </c>
      <c r="D522" s="30" t="s">
        <v>929</v>
      </c>
      <c r="E522" s="31" t="s">
        <v>930</v>
      </c>
      <c r="F522" s="31" t="s">
        <v>99</v>
      </c>
      <c r="G522" s="30" t="s">
        <v>334</v>
      </c>
      <c r="H522" s="30" t="s">
        <v>931</v>
      </c>
      <c r="I522" s="32">
        <v>46128</v>
      </c>
      <c r="J522" s="30" t="s">
        <v>83</v>
      </c>
      <c r="K522" s="32" t="s">
        <v>42</v>
      </c>
      <c r="L522" s="30" t="s">
        <v>114</v>
      </c>
      <c r="M522" s="30" t="s">
        <v>101</v>
      </c>
      <c r="N522" s="37">
        <v>2315</v>
      </c>
      <c r="O522" s="34" t="s">
        <v>86</v>
      </c>
      <c r="P522" s="35" t="s">
        <v>304</v>
      </c>
      <c r="Q522" s="29" t="s">
        <v>909</v>
      </c>
    </row>
    <row r="523" spans="1:17" ht="14.25" customHeight="1" x14ac:dyDescent="0.3">
      <c r="A523" s="28">
        <v>46132</v>
      </c>
      <c r="B523" s="29" t="s">
        <v>76</v>
      </c>
      <c r="C523" s="30" t="s">
        <v>96</v>
      </c>
      <c r="D523" s="30" t="s">
        <v>932</v>
      </c>
      <c r="E523" s="31" t="s">
        <v>933</v>
      </c>
      <c r="F523" s="31" t="s">
        <v>99</v>
      </c>
      <c r="G523" s="30" t="s">
        <v>81</v>
      </c>
      <c r="H523" s="30" t="s">
        <v>124</v>
      </c>
      <c r="I523" s="32">
        <v>46130</v>
      </c>
      <c r="J523" s="30" t="s">
        <v>83</v>
      </c>
      <c r="K523" s="32" t="s">
        <v>32</v>
      </c>
      <c r="L523" s="30" t="s">
        <v>114</v>
      </c>
      <c r="M523" s="30" t="s">
        <v>101</v>
      </c>
      <c r="N523" s="37" t="s">
        <v>81</v>
      </c>
      <c r="O523" s="34" t="s">
        <v>86</v>
      </c>
      <c r="P523" s="35" t="s">
        <v>304</v>
      </c>
      <c r="Q523" s="29" t="s">
        <v>909</v>
      </c>
    </row>
    <row r="524" spans="1:17" ht="14.25" customHeight="1" x14ac:dyDescent="0.3">
      <c r="A524" s="28">
        <v>46132</v>
      </c>
      <c r="B524" s="29" t="s">
        <v>76</v>
      </c>
      <c r="C524" s="30" t="s">
        <v>103</v>
      </c>
      <c r="D524" s="30" t="s">
        <v>934</v>
      </c>
      <c r="E524" s="31" t="s">
        <v>623</v>
      </c>
      <c r="F524" s="31" t="s">
        <v>209</v>
      </c>
      <c r="G524" s="30" t="s">
        <v>112</v>
      </c>
      <c r="H524" s="30" t="s">
        <v>124</v>
      </c>
      <c r="I524" s="32">
        <v>46128</v>
      </c>
      <c r="J524" s="30" t="s">
        <v>83</v>
      </c>
      <c r="K524" s="32" t="s">
        <v>45</v>
      </c>
      <c r="L524" s="30" t="s">
        <v>114</v>
      </c>
      <c r="M524" s="30" t="s">
        <v>625</v>
      </c>
      <c r="N524" s="37">
        <v>2500</v>
      </c>
      <c r="O524" s="34" t="s">
        <v>86</v>
      </c>
      <c r="P524" s="35" t="s">
        <v>304</v>
      </c>
      <c r="Q524" s="29" t="s">
        <v>909</v>
      </c>
    </row>
    <row r="525" spans="1:17" ht="14.25" customHeight="1" x14ac:dyDescent="0.3">
      <c r="A525" s="28">
        <v>46132</v>
      </c>
      <c r="B525" s="29" t="s">
        <v>76</v>
      </c>
      <c r="C525" s="30" t="s">
        <v>103</v>
      </c>
      <c r="D525" s="30" t="s">
        <v>935</v>
      </c>
      <c r="E525" s="31" t="s">
        <v>623</v>
      </c>
      <c r="F525" s="31" t="s">
        <v>209</v>
      </c>
      <c r="G525" s="30" t="s">
        <v>112</v>
      </c>
      <c r="H525" s="30" t="s">
        <v>124</v>
      </c>
      <c r="I525" s="32">
        <v>46128</v>
      </c>
      <c r="J525" s="30" t="s">
        <v>83</v>
      </c>
      <c r="K525" s="32" t="s">
        <v>45</v>
      </c>
      <c r="L525" s="30" t="s">
        <v>114</v>
      </c>
      <c r="M525" s="30" t="s">
        <v>625</v>
      </c>
      <c r="N525" s="37">
        <v>2500</v>
      </c>
      <c r="O525" s="34" t="s">
        <v>86</v>
      </c>
      <c r="P525" s="35" t="s">
        <v>304</v>
      </c>
      <c r="Q525" s="29" t="s">
        <v>909</v>
      </c>
    </row>
    <row r="526" spans="1:17" ht="14.25" customHeight="1" x14ac:dyDescent="0.3">
      <c r="A526" s="28">
        <v>46133</v>
      </c>
      <c r="B526" s="29" t="s">
        <v>76</v>
      </c>
      <c r="C526" s="30" t="s">
        <v>96</v>
      </c>
      <c r="D526" s="30" t="s">
        <v>936</v>
      </c>
      <c r="E526" s="31" t="s">
        <v>226</v>
      </c>
      <c r="F526" s="31" t="s">
        <v>99</v>
      </c>
      <c r="G526" s="30" t="s">
        <v>81</v>
      </c>
      <c r="H526" s="30" t="s">
        <v>227</v>
      </c>
      <c r="I526" s="32">
        <v>46131</v>
      </c>
      <c r="J526" s="30" t="s">
        <v>83</v>
      </c>
      <c r="K526" s="32" t="s">
        <v>44</v>
      </c>
      <c r="L526" s="30" t="s">
        <v>114</v>
      </c>
      <c r="M526" s="30" t="s">
        <v>101</v>
      </c>
      <c r="N526" s="37" t="s">
        <v>81</v>
      </c>
      <c r="O526" s="34" t="s">
        <v>86</v>
      </c>
      <c r="P526" s="35" t="s">
        <v>304</v>
      </c>
      <c r="Q526" s="29" t="s">
        <v>909</v>
      </c>
    </row>
    <row r="527" spans="1:17" ht="14.25" customHeight="1" x14ac:dyDescent="0.3">
      <c r="A527" s="28">
        <v>46133</v>
      </c>
      <c r="B527" s="29" t="s">
        <v>76</v>
      </c>
      <c r="C527" s="30" t="s">
        <v>96</v>
      </c>
      <c r="D527" s="30" t="s">
        <v>937</v>
      </c>
      <c r="E527" s="31" t="s">
        <v>226</v>
      </c>
      <c r="F527" s="31" t="s">
        <v>99</v>
      </c>
      <c r="G527" s="30" t="s">
        <v>81</v>
      </c>
      <c r="H527" s="30" t="s">
        <v>227</v>
      </c>
      <c r="I527" s="32">
        <v>46131</v>
      </c>
      <c r="J527" s="30" t="s">
        <v>83</v>
      </c>
      <c r="K527" s="32" t="s">
        <v>44</v>
      </c>
      <c r="L527" s="30" t="s">
        <v>114</v>
      </c>
      <c r="M527" s="30" t="s">
        <v>101</v>
      </c>
      <c r="N527" s="37" t="s">
        <v>81</v>
      </c>
      <c r="O527" s="34" t="s">
        <v>86</v>
      </c>
      <c r="P527" s="35" t="s">
        <v>304</v>
      </c>
      <c r="Q527" s="29" t="s">
        <v>909</v>
      </c>
    </row>
    <row r="528" spans="1:17" ht="14.25" customHeight="1" x14ac:dyDescent="0.3">
      <c r="A528" s="28">
        <v>46134</v>
      </c>
      <c r="B528" s="29" t="s">
        <v>76</v>
      </c>
      <c r="C528" s="30" t="s">
        <v>925</v>
      </c>
      <c r="D528" s="30" t="s">
        <v>938</v>
      </c>
      <c r="E528" s="31" t="s">
        <v>939</v>
      </c>
      <c r="F528" s="31" t="s">
        <v>940</v>
      </c>
      <c r="G528" s="30" t="s">
        <v>81</v>
      </c>
      <c r="H528" s="30" t="s">
        <v>734</v>
      </c>
      <c r="I528" s="32">
        <v>46132</v>
      </c>
      <c r="J528" s="30" t="s">
        <v>83</v>
      </c>
      <c r="K528" s="32" t="s">
        <v>25</v>
      </c>
      <c r="L528" s="30" t="s">
        <v>84</v>
      </c>
      <c r="M528" s="30" t="s">
        <v>941</v>
      </c>
      <c r="N528" s="37" t="s">
        <v>81</v>
      </c>
      <c r="O528" s="34" t="s">
        <v>86</v>
      </c>
      <c r="P528" s="35" t="s">
        <v>304</v>
      </c>
      <c r="Q528" s="29" t="s">
        <v>909</v>
      </c>
    </row>
    <row r="529" spans="1:17" ht="14.25" customHeight="1" x14ac:dyDescent="0.3">
      <c r="A529" s="28">
        <v>46135</v>
      </c>
      <c r="B529" s="29" t="s">
        <v>76</v>
      </c>
      <c r="C529" s="30" t="s">
        <v>96</v>
      </c>
      <c r="D529" s="30" t="s">
        <v>942</v>
      </c>
      <c r="E529" s="31" t="s">
        <v>943</v>
      </c>
      <c r="F529" s="31" t="s">
        <v>327</v>
      </c>
      <c r="G529" s="30" t="s">
        <v>81</v>
      </c>
      <c r="H529" s="30" t="s">
        <v>135</v>
      </c>
      <c r="I529" s="32">
        <v>46134</v>
      </c>
      <c r="J529" s="30" t="s">
        <v>83</v>
      </c>
      <c r="K529" s="32" t="s">
        <v>42</v>
      </c>
      <c r="L529" s="30" t="s">
        <v>114</v>
      </c>
      <c r="M529" s="30" t="s">
        <v>328</v>
      </c>
      <c r="N529" s="37">
        <v>2350</v>
      </c>
      <c r="O529" s="34" t="s">
        <v>86</v>
      </c>
      <c r="P529" s="35" t="s">
        <v>304</v>
      </c>
      <c r="Q529" s="29" t="s">
        <v>909</v>
      </c>
    </row>
    <row r="530" spans="1:17" ht="14.25" customHeight="1" x14ac:dyDescent="0.3">
      <c r="A530" s="28">
        <v>46135</v>
      </c>
      <c r="B530" s="29" t="s">
        <v>76</v>
      </c>
      <c r="C530" s="30" t="s">
        <v>925</v>
      </c>
      <c r="D530" s="30" t="s">
        <v>944</v>
      </c>
      <c r="E530" s="31" t="s">
        <v>945</v>
      </c>
      <c r="F530" s="31" t="s">
        <v>946</v>
      </c>
      <c r="G530" s="30" t="s">
        <v>81</v>
      </c>
      <c r="H530" s="30" t="s">
        <v>947</v>
      </c>
      <c r="I530" s="32">
        <v>46133</v>
      </c>
      <c r="J530" s="30" t="s">
        <v>83</v>
      </c>
      <c r="K530" s="32" t="s">
        <v>42</v>
      </c>
      <c r="L530" s="30" t="s">
        <v>114</v>
      </c>
      <c r="M530" s="30" t="s">
        <v>941</v>
      </c>
      <c r="N530" s="37" t="s">
        <v>81</v>
      </c>
      <c r="O530" s="34" t="s">
        <v>86</v>
      </c>
      <c r="P530" s="35" t="s">
        <v>304</v>
      </c>
      <c r="Q530" s="29" t="s">
        <v>909</v>
      </c>
    </row>
    <row r="531" spans="1:17" ht="14.25" customHeight="1" x14ac:dyDescent="0.3">
      <c r="A531" s="28">
        <v>46135</v>
      </c>
      <c r="B531" s="29" t="s">
        <v>76</v>
      </c>
      <c r="C531" s="30" t="s">
        <v>925</v>
      </c>
      <c r="D531" s="30" t="s">
        <v>948</v>
      </c>
      <c r="E531" s="31" t="s">
        <v>949</v>
      </c>
      <c r="F531" s="31" t="s">
        <v>667</v>
      </c>
      <c r="G531" s="30" t="s">
        <v>81</v>
      </c>
      <c r="H531" s="30" t="s">
        <v>947</v>
      </c>
      <c r="I531" s="32">
        <v>46133</v>
      </c>
      <c r="J531" s="30" t="s">
        <v>83</v>
      </c>
      <c r="K531" s="32" t="s">
        <v>42</v>
      </c>
      <c r="L531" s="30" t="s">
        <v>114</v>
      </c>
      <c r="M531" s="30" t="s">
        <v>941</v>
      </c>
      <c r="N531" s="37" t="s">
        <v>81</v>
      </c>
      <c r="O531" s="34" t="s">
        <v>86</v>
      </c>
      <c r="P531" s="35" t="s">
        <v>304</v>
      </c>
      <c r="Q531" s="29" t="s">
        <v>909</v>
      </c>
    </row>
    <row r="532" spans="1:17" ht="14.25" customHeight="1" x14ac:dyDescent="0.3">
      <c r="A532" s="28">
        <v>46135</v>
      </c>
      <c r="B532" s="29" t="s">
        <v>76</v>
      </c>
      <c r="C532" s="30" t="s">
        <v>925</v>
      </c>
      <c r="D532" s="30" t="s">
        <v>950</v>
      </c>
      <c r="E532" s="31" t="s">
        <v>949</v>
      </c>
      <c r="F532" s="31" t="s">
        <v>667</v>
      </c>
      <c r="G532" s="30" t="s">
        <v>81</v>
      </c>
      <c r="H532" s="30" t="s">
        <v>947</v>
      </c>
      <c r="I532" s="32">
        <v>46133</v>
      </c>
      <c r="J532" s="30" t="s">
        <v>83</v>
      </c>
      <c r="K532" s="32" t="s">
        <v>42</v>
      </c>
      <c r="L532" s="30" t="s">
        <v>114</v>
      </c>
      <c r="M532" s="30" t="s">
        <v>941</v>
      </c>
      <c r="N532" s="37" t="s">
        <v>81</v>
      </c>
      <c r="O532" s="34" t="s">
        <v>86</v>
      </c>
      <c r="P532" s="35" t="s">
        <v>304</v>
      </c>
      <c r="Q532" s="29" t="s">
        <v>909</v>
      </c>
    </row>
    <row r="533" spans="1:17" ht="14.25" customHeight="1" x14ac:dyDescent="0.3">
      <c r="A533" s="28">
        <v>46135</v>
      </c>
      <c r="B533" s="29" t="s">
        <v>76</v>
      </c>
      <c r="C533" s="30" t="s">
        <v>925</v>
      </c>
      <c r="D533" s="30" t="s">
        <v>951</v>
      </c>
      <c r="E533" s="31" t="s">
        <v>949</v>
      </c>
      <c r="F533" s="31" t="s">
        <v>667</v>
      </c>
      <c r="G533" s="30" t="s">
        <v>81</v>
      </c>
      <c r="H533" s="30" t="s">
        <v>947</v>
      </c>
      <c r="I533" s="32">
        <v>46133</v>
      </c>
      <c r="J533" s="30" t="s">
        <v>83</v>
      </c>
      <c r="K533" s="32" t="s">
        <v>42</v>
      </c>
      <c r="L533" s="30" t="s">
        <v>114</v>
      </c>
      <c r="M533" s="30" t="s">
        <v>941</v>
      </c>
      <c r="N533" s="37" t="s">
        <v>81</v>
      </c>
      <c r="O533" s="34" t="s">
        <v>86</v>
      </c>
      <c r="P533" s="35" t="s">
        <v>304</v>
      </c>
      <c r="Q533" s="29" t="s">
        <v>909</v>
      </c>
    </row>
    <row r="534" spans="1:17" ht="14.25" customHeight="1" x14ac:dyDescent="0.3">
      <c r="A534" s="28">
        <v>46135</v>
      </c>
      <c r="B534" s="29" t="s">
        <v>76</v>
      </c>
      <c r="C534" s="30" t="s">
        <v>103</v>
      </c>
      <c r="D534" s="30" t="s">
        <v>952</v>
      </c>
      <c r="E534" s="31" t="s">
        <v>953</v>
      </c>
      <c r="F534" s="31" t="s">
        <v>209</v>
      </c>
      <c r="G534" s="30" t="s">
        <v>81</v>
      </c>
      <c r="H534" s="30" t="s">
        <v>804</v>
      </c>
      <c r="I534" s="32">
        <v>46133</v>
      </c>
      <c r="J534" s="30" t="s">
        <v>83</v>
      </c>
      <c r="K534" s="32" t="s">
        <v>42</v>
      </c>
      <c r="L534" s="30" t="s">
        <v>114</v>
      </c>
      <c r="M534" s="30" t="s">
        <v>954</v>
      </c>
      <c r="N534" s="37" t="s">
        <v>81</v>
      </c>
      <c r="O534" s="34" t="s">
        <v>86</v>
      </c>
      <c r="P534" s="35" t="s">
        <v>304</v>
      </c>
      <c r="Q534" s="29" t="s">
        <v>909</v>
      </c>
    </row>
    <row r="535" spans="1:17" ht="14.25" customHeight="1" x14ac:dyDescent="0.3">
      <c r="A535" s="28">
        <v>46135</v>
      </c>
      <c r="B535" s="29" t="s">
        <v>76</v>
      </c>
      <c r="C535" s="30" t="s">
        <v>103</v>
      </c>
      <c r="D535" s="30" t="s">
        <v>955</v>
      </c>
      <c r="E535" s="31" t="s">
        <v>953</v>
      </c>
      <c r="F535" s="31" t="s">
        <v>209</v>
      </c>
      <c r="G535" s="30" t="s">
        <v>81</v>
      </c>
      <c r="H535" s="30" t="s">
        <v>804</v>
      </c>
      <c r="I535" s="32">
        <v>46133</v>
      </c>
      <c r="J535" s="30" t="s">
        <v>83</v>
      </c>
      <c r="K535" s="32" t="s">
        <v>42</v>
      </c>
      <c r="L535" s="30" t="s">
        <v>114</v>
      </c>
      <c r="M535" s="30" t="s">
        <v>954</v>
      </c>
      <c r="N535" s="37" t="s">
        <v>81</v>
      </c>
      <c r="O535" s="34" t="s">
        <v>86</v>
      </c>
      <c r="P535" s="35" t="s">
        <v>304</v>
      </c>
      <c r="Q535" s="29" t="s">
        <v>909</v>
      </c>
    </row>
    <row r="536" spans="1:17" ht="14.25" customHeight="1" x14ac:dyDescent="0.3">
      <c r="A536" s="28">
        <v>46135</v>
      </c>
      <c r="B536" s="29" t="s">
        <v>76</v>
      </c>
      <c r="C536" s="30" t="s">
        <v>103</v>
      </c>
      <c r="D536" s="30" t="s">
        <v>956</v>
      </c>
      <c r="E536" s="31" t="s">
        <v>953</v>
      </c>
      <c r="F536" s="31" t="s">
        <v>209</v>
      </c>
      <c r="G536" s="30" t="s">
        <v>81</v>
      </c>
      <c r="H536" s="30" t="s">
        <v>804</v>
      </c>
      <c r="I536" s="32">
        <v>46133</v>
      </c>
      <c r="J536" s="30" t="s">
        <v>83</v>
      </c>
      <c r="K536" s="32" t="s">
        <v>42</v>
      </c>
      <c r="L536" s="30" t="s">
        <v>114</v>
      </c>
      <c r="M536" s="30" t="s">
        <v>954</v>
      </c>
      <c r="N536" s="37" t="s">
        <v>81</v>
      </c>
      <c r="O536" s="34" t="s">
        <v>86</v>
      </c>
      <c r="P536" s="35" t="s">
        <v>304</v>
      </c>
      <c r="Q536" s="29" t="s">
        <v>909</v>
      </c>
    </row>
    <row r="537" spans="1:17" ht="14.25" customHeight="1" x14ac:dyDescent="0.3">
      <c r="A537" s="28">
        <v>46135</v>
      </c>
      <c r="B537" s="29" t="s">
        <v>76</v>
      </c>
      <c r="C537" s="30" t="s">
        <v>103</v>
      </c>
      <c r="D537" s="30" t="s">
        <v>957</v>
      </c>
      <c r="E537" s="31" t="s">
        <v>953</v>
      </c>
      <c r="F537" s="31" t="s">
        <v>209</v>
      </c>
      <c r="G537" s="30" t="s">
        <v>81</v>
      </c>
      <c r="H537" s="30" t="s">
        <v>804</v>
      </c>
      <c r="I537" s="32">
        <v>46133</v>
      </c>
      <c r="J537" s="30" t="s">
        <v>83</v>
      </c>
      <c r="K537" s="32" t="s">
        <v>42</v>
      </c>
      <c r="L537" s="30" t="s">
        <v>114</v>
      </c>
      <c r="M537" s="30" t="s">
        <v>954</v>
      </c>
      <c r="N537" s="37" t="s">
        <v>81</v>
      </c>
      <c r="O537" s="34" t="s">
        <v>86</v>
      </c>
      <c r="P537" s="35" t="s">
        <v>304</v>
      </c>
      <c r="Q537" s="29" t="s">
        <v>909</v>
      </c>
    </row>
    <row r="538" spans="1:17" ht="14.25" customHeight="1" x14ac:dyDescent="0.3">
      <c r="A538" s="28">
        <v>46135</v>
      </c>
      <c r="B538" s="29" t="s">
        <v>76</v>
      </c>
      <c r="C538" s="30" t="s">
        <v>77</v>
      </c>
      <c r="D538" s="30" t="s">
        <v>958</v>
      </c>
      <c r="E538" s="31" t="s">
        <v>678</v>
      </c>
      <c r="F538" s="31" t="s">
        <v>679</v>
      </c>
      <c r="G538" s="30" t="s">
        <v>334</v>
      </c>
      <c r="H538" s="30" t="s">
        <v>156</v>
      </c>
      <c r="I538" s="32">
        <v>46133</v>
      </c>
      <c r="J538" s="30" t="s">
        <v>83</v>
      </c>
      <c r="K538" s="32" t="s">
        <v>44</v>
      </c>
      <c r="L538" s="30" t="s">
        <v>84</v>
      </c>
      <c r="M538" s="30" t="s">
        <v>681</v>
      </c>
      <c r="N538" s="37">
        <v>2920</v>
      </c>
      <c r="O538" s="34" t="s">
        <v>86</v>
      </c>
      <c r="P538" s="35" t="s">
        <v>304</v>
      </c>
      <c r="Q538" s="29" t="s">
        <v>909</v>
      </c>
    </row>
    <row r="539" spans="1:17" ht="14.25" customHeight="1" x14ac:dyDescent="0.3">
      <c r="A539" s="28">
        <v>46135</v>
      </c>
      <c r="B539" s="29" t="s">
        <v>76</v>
      </c>
      <c r="C539" s="30" t="s">
        <v>77</v>
      </c>
      <c r="D539" s="30" t="s">
        <v>959</v>
      </c>
      <c r="E539" s="31" t="s">
        <v>678</v>
      </c>
      <c r="F539" s="31" t="s">
        <v>679</v>
      </c>
      <c r="G539" s="30" t="s">
        <v>334</v>
      </c>
      <c r="H539" s="30" t="s">
        <v>156</v>
      </c>
      <c r="I539" s="32">
        <v>46133</v>
      </c>
      <c r="J539" s="30" t="s">
        <v>83</v>
      </c>
      <c r="K539" s="32" t="s">
        <v>44</v>
      </c>
      <c r="L539" s="30" t="s">
        <v>84</v>
      </c>
      <c r="M539" s="30" t="s">
        <v>681</v>
      </c>
      <c r="N539" s="37">
        <v>2920</v>
      </c>
      <c r="O539" s="34" t="s">
        <v>86</v>
      </c>
      <c r="P539" s="35" t="s">
        <v>304</v>
      </c>
      <c r="Q539" s="29" t="s">
        <v>909</v>
      </c>
    </row>
    <row r="540" spans="1:17" ht="14.25" customHeight="1" x14ac:dyDescent="0.3">
      <c r="A540" s="28">
        <v>46136</v>
      </c>
      <c r="B540" s="29" t="s">
        <v>76</v>
      </c>
      <c r="C540" s="30" t="s">
        <v>96</v>
      </c>
      <c r="D540" s="30" t="s">
        <v>960</v>
      </c>
      <c r="E540" s="31" t="s">
        <v>961</v>
      </c>
      <c r="F540" s="31" t="s">
        <v>134</v>
      </c>
      <c r="G540" s="30" t="s">
        <v>81</v>
      </c>
      <c r="H540" s="30" t="s">
        <v>346</v>
      </c>
      <c r="I540" s="32">
        <v>46133</v>
      </c>
      <c r="J540" s="30" t="s">
        <v>83</v>
      </c>
      <c r="K540" s="32" t="s">
        <v>44</v>
      </c>
      <c r="L540" s="30" t="s">
        <v>84</v>
      </c>
      <c r="M540" s="30" t="s">
        <v>141</v>
      </c>
      <c r="N540" s="37" t="s">
        <v>81</v>
      </c>
      <c r="O540" s="34" t="s">
        <v>86</v>
      </c>
      <c r="P540" s="35" t="s">
        <v>304</v>
      </c>
      <c r="Q540" s="29" t="s">
        <v>909</v>
      </c>
    </row>
    <row r="541" spans="1:17" ht="14.25" customHeight="1" x14ac:dyDescent="0.3">
      <c r="A541" s="28">
        <v>46137</v>
      </c>
      <c r="B541" s="29" t="s">
        <v>76</v>
      </c>
      <c r="C541" s="30" t="s">
        <v>925</v>
      </c>
      <c r="D541" s="30" t="s">
        <v>962</v>
      </c>
      <c r="E541" s="31" t="s">
        <v>945</v>
      </c>
      <c r="F541" s="31" t="s">
        <v>946</v>
      </c>
      <c r="G541" s="30" t="s">
        <v>81</v>
      </c>
      <c r="H541" s="30" t="s">
        <v>947</v>
      </c>
      <c r="I541" s="32">
        <v>46135</v>
      </c>
      <c r="J541" s="30" t="s">
        <v>83</v>
      </c>
      <c r="K541" s="32" t="s">
        <v>42</v>
      </c>
      <c r="L541" s="30" t="s">
        <v>84</v>
      </c>
      <c r="M541" s="30" t="s">
        <v>941</v>
      </c>
      <c r="N541" s="37" t="s">
        <v>81</v>
      </c>
      <c r="O541" s="34" t="s">
        <v>86</v>
      </c>
      <c r="P541" s="35" t="s">
        <v>304</v>
      </c>
      <c r="Q541" s="29" t="s">
        <v>909</v>
      </c>
    </row>
    <row r="542" spans="1:17" ht="14.25" customHeight="1" x14ac:dyDescent="0.3">
      <c r="A542" s="28">
        <v>46137</v>
      </c>
      <c r="B542" s="29" t="s">
        <v>76</v>
      </c>
      <c r="C542" s="30" t="s">
        <v>925</v>
      </c>
      <c r="D542" s="30" t="s">
        <v>963</v>
      </c>
      <c r="E542" s="31" t="s">
        <v>945</v>
      </c>
      <c r="F542" s="31" t="s">
        <v>946</v>
      </c>
      <c r="G542" s="30" t="s">
        <v>81</v>
      </c>
      <c r="H542" s="30" t="s">
        <v>947</v>
      </c>
      <c r="I542" s="32">
        <v>46135</v>
      </c>
      <c r="J542" s="30" t="s">
        <v>83</v>
      </c>
      <c r="K542" s="32" t="s">
        <v>42</v>
      </c>
      <c r="L542" s="30" t="s">
        <v>84</v>
      </c>
      <c r="M542" s="30" t="s">
        <v>941</v>
      </c>
      <c r="N542" s="37" t="s">
        <v>81</v>
      </c>
      <c r="O542" s="34" t="s">
        <v>86</v>
      </c>
      <c r="P542" s="35" t="s">
        <v>304</v>
      </c>
      <c r="Q542" s="29" t="s">
        <v>909</v>
      </c>
    </row>
    <row r="543" spans="1:17" ht="14.25" customHeight="1" x14ac:dyDescent="0.3">
      <c r="A543" s="28">
        <v>46138</v>
      </c>
      <c r="B543" s="29" t="s">
        <v>76</v>
      </c>
      <c r="C543" s="30" t="s">
        <v>103</v>
      </c>
      <c r="D543" s="30" t="s">
        <v>964</v>
      </c>
      <c r="E543" s="31" t="s">
        <v>965</v>
      </c>
      <c r="F543" s="31" t="s">
        <v>351</v>
      </c>
      <c r="G543" s="30" t="s">
        <v>81</v>
      </c>
      <c r="H543" s="30" t="s">
        <v>513</v>
      </c>
      <c r="I543" s="32">
        <v>46136</v>
      </c>
      <c r="J543" s="30" t="s">
        <v>83</v>
      </c>
      <c r="K543" s="32" t="s">
        <v>34</v>
      </c>
      <c r="L543" s="30" t="s">
        <v>84</v>
      </c>
      <c r="M543" s="30" t="s">
        <v>524</v>
      </c>
      <c r="N543" s="37" t="s">
        <v>81</v>
      </c>
      <c r="O543" s="34" t="s">
        <v>86</v>
      </c>
      <c r="P543" s="35" t="s">
        <v>304</v>
      </c>
      <c r="Q543" s="29" t="s">
        <v>909</v>
      </c>
    </row>
    <row r="544" spans="1:17" ht="14.25" customHeight="1" x14ac:dyDescent="0.3">
      <c r="A544" s="28">
        <v>46138</v>
      </c>
      <c r="B544" s="29" t="s">
        <v>76</v>
      </c>
      <c r="C544" s="30" t="s">
        <v>103</v>
      </c>
      <c r="D544" s="30" t="s">
        <v>966</v>
      </c>
      <c r="E544" s="31" t="s">
        <v>965</v>
      </c>
      <c r="F544" s="31" t="s">
        <v>351</v>
      </c>
      <c r="G544" s="30" t="s">
        <v>81</v>
      </c>
      <c r="H544" s="30" t="s">
        <v>513</v>
      </c>
      <c r="I544" s="32">
        <v>46136</v>
      </c>
      <c r="J544" s="30" t="s">
        <v>83</v>
      </c>
      <c r="K544" s="32" t="s">
        <v>44</v>
      </c>
      <c r="L544" s="30" t="s">
        <v>114</v>
      </c>
      <c r="M544" s="30" t="s">
        <v>967</v>
      </c>
      <c r="N544" s="37" t="s">
        <v>81</v>
      </c>
      <c r="O544" s="34" t="s">
        <v>86</v>
      </c>
      <c r="P544" s="35" t="s">
        <v>304</v>
      </c>
      <c r="Q544" s="29" t="s">
        <v>909</v>
      </c>
    </row>
    <row r="545" spans="1:17" ht="14.25" customHeight="1" x14ac:dyDescent="0.3">
      <c r="A545" s="28">
        <v>46138</v>
      </c>
      <c r="B545" s="29" t="s">
        <v>76</v>
      </c>
      <c r="C545" s="30" t="s">
        <v>103</v>
      </c>
      <c r="D545" s="30" t="s">
        <v>968</v>
      </c>
      <c r="E545" s="31" t="s">
        <v>965</v>
      </c>
      <c r="F545" s="31" t="s">
        <v>351</v>
      </c>
      <c r="G545" s="30" t="s">
        <v>81</v>
      </c>
      <c r="H545" s="30" t="s">
        <v>513</v>
      </c>
      <c r="I545" s="32">
        <v>46136</v>
      </c>
      <c r="J545" s="30" t="s">
        <v>83</v>
      </c>
      <c r="K545" s="32" t="s">
        <v>44</v>
      </c>
      <c r="L545" s="30" t="s">
        <v>114</v>
      </c>
      <c r="M545" s="30" t="s">
        <v>967</v>
      </c>
      <c r="N545" s="37" t="s">
        <v>81</v>
      </c>
      <c r="O545" s="34" t="s">
        <v>86</v>
      </c>
      <c r="P545" s="35" t="s">
        <v>304</v>
      </c>
      <c r="Q545" s="29" t="s">
        <v>909</v>
      </c>
    </row>
    <row r="546" spans="1:17" ht="14.25" customHeight="1" x14ac:dyDescent="0.3">
      <c r="A546" s="28">
        <v>46138</v>
      </c>
      <c r="B546" s="29" t="s">
        <v>76</v>
      </c>
      <c r="C546" s="30" t="s">
        <v>103</v>
      </c>
      <c r="D546" s="30" t="s">
        <v>969</v>
      </c>
      <c r="E546" s="31" t="s">
        <v>965</v>
      </c>
      <c r="F546" s="31" t="s">
        <v>351</v>
      </c>
      <c r="G546" s="30" t="s">
        <v>81</v>
      </c>
      <c r="H546" s="30" t="s">
        <v>513</v>
      </c>
      <c r="I546" s="32">
        <v>46136</v>
      </c>
      <c r="J546" s="30" t="s">
        <v>83</v>
      </c>
      <c r="K546" s="32" t="s">
        <v>44</v>
      </c>
      <c r="L546" s="30" t="s">
        <v>114</v>
      </c>
      <c r="M546" s="30" t="s">
        <v>967</v>
      </c>
      <c r="N546" s="37" t="s">
        <v>81</v>
      </c>
      <c r="O546" s="34" t="s">
        <v>86</v>
      </c>
      <c r="P546" s="35" t="s">
        <v>304</v>
      </c>
      <c r="Q546" s="29" t="s">
        <v>909</v>
      </c>
    </row>
    <row r="547" spans="1:17" ht="14.25" customHeight="1" x14ac:dyDescent="0.3">
      <c r="A547" s="28">
        <v>46138</v>
      </c>
      <c r="B547" s="29" t="s">
        <v>76</v>
      </c>
      <c r="C547" s="30" t="s">
        <v>103</v>
      </c>
      <c r="D547" s="30" t="s">
        <v>970</v>
      </c>
      <c r="E547" s="31" t="s">
        <v>971</v>
      </c>
      <c r="F547" s="31" t="s">
        <v>165</v>
      </c>
      <c r="G547" s="30" t="s">
        <v>81</v>
      </c>
      <c r="H547" s="30" t="s">
        <v>689</v>
      </c>
      <c r="I547" s="32">
        <v>46137</v>
      </c>
      <c r="J547" s="30" t="s">
        <v>83</v>
      </c>
      <c r="K547" s="32" t="s">
        <v>45</v>
      </c>
      <c r="L547" s="30" t="s">
        <v>114</v>
      </c>
      <c r="M547" s="30" t="s">
        <v>307</v>
      </c>
      <c r="N547" s="37" t="s">
        <v>81</v>
      </c>
      <c r="O547" s="34" t="s">
        <v>86</v>
      </c>
      <c r="P547" s="35" t="s">
        <v>304</v>
      </c>
      <c r="Q547" s="29" t="s">
        <v>909</v>
      </c>
    </row>
    <row r="548" spans="1:17" ht="14.25" customHeight="1" x14ac:dyDescent="0.3">
      <c r="A548" s="28">
        <v>46138</v>
      </c>
      <c r="B548" s="29" t="s">
        <v>76</v>
      </c>
      <c r="C548" s="30" t="s">
        <v>103</v>
      </c>
      <c r="D548" s="30" t="s">
        <v>972</v>
      </c>
      <c r="E548" s="31" t="s">
        <v>971</v>
      </c>
      <c r="F548" s="31" t="s">
        <v>165</v>
      </c>
      <c r="G548" s="30" t="s">
        <v>81</v>
      </c>
      <c r="H548" s="30" t="s">
        <v>689</v>
      </c>
      <c r="I548" s="32">
        <v>46137</v>
      </c>
      <c r="J548" s="30" t="s">
        <v>83</v>
      </c>
      <c r="K548" s="32" t="s">
        <v>45</v>
      </c>
      <c r="L548" s="30" t="s">
        <v>114</v>
      </c>
      <c r="M548" s="30" t="s">
        <v>307</v>
      </c>
      <c r="N548" s="37" t="s">
        <v>81</v>
      </c>
      <c r="O548" s="34" t="s">
        <v>86</v>
      </c>
      <c r="P548" s="35" t="s">
        <v>304</v>
      </c>
      <c r="Q548" s="29" t="s">
        <v>909</v>
      </c>
    </row>
    <row r="549" spans="1:17" ht="14.25" customHeight="1" x14ac:dyDescent="0.3">
      <c r="A549" s="28">
        <v>46138</v>
      </c>
      <c r="B549" s="29" t="s">
        <v>76</v>
      </c>
      <c r="C549" s="30" t="s">
        <v>103</v>
      </c>
      <c r="D549" s="30" t="s">
        <v>973</v>
      </c>
      <c r="E549" s="31" t="s">
        <v>971</v>
      </c>
      <c r="F549" s="31" t="s">
        <v>165</v>
      </c>
      <c r="G549" s="30" t="s">
        <v>81</v>
      </c>
      <c r="H549" s="30" t="s">
        <v>689</v>
      </c>
      <c r="I549" s="32">
        <v>46137</v>
      </c>
      <c r="J549" s="30" t="s">
        <v>83</v>
      </c>
      <c r="K549" s="32" t="s">
        <v>45</v>
      </c>
      <c r="L549" s="30" t="s">
        <v>114</v>
      </c>
      <c r="M549" s="30" t="s">
        <v>307</v>
      </c>
      <c r="N549" s="37" t="s">
        <v>81</v>
      </c>
      <c r="O549" s="34" t="s">
        <v>86</v>
      </c>
      <c r="P549" s="35" t="s">
        <v>304</v>
      </c>
      <c r="Q549" s="29" t="s">
        <v>909</v>
      </c>
    </row>
    <row r="550" spans="1:17" ht="14.25" customHeight="1" x14ac:dyDescent="0.3">
      <c r="A550" s="28">
        <v>46138</v>
      </c>
      <c r="B550" s="29" t="s">
        <v>76</v>
      </c>
      <c r="C550" s="30" t="s">
        <v>103</v>
      </c>
      <c r="D550" s="30" t="s">
        <v>974</v>
      </c>
      <c r="E550" s="31" t="s">
        <v>971</v>
      </c>
      <c r="F550" s="31" t="s">
        <v>165</v>
      </c>
      <c r="G550" s="30" t="s">
        <v>81</v>
      </c>
      <c r="H550" s="30" t="s">
        <v>689</v>
      </c>
      <c r="I550" s="32">
        <v>46138</v>
      </c>
      <c r="J550" s="30" t="s">
        <v>83</v>
      </c>
      <c r="K550" s="32" t="s">
        <v>45</v>
      </c>
      <c r="L550" s="30" t="s">
        <v>114</v>
      </c>
      <c r="M550" s="30" t="s">
        <v>307</v>
      </c>
      <c r="N550" s="37" t="s">
        <v>81</v>
      </c>
      <c r="O550" s="34" t="s">
        <v>86</v>
      </c>
      <c r="P550" s="35" t="s">
        <v>304</v>
      </c>
      <c r="Q550" s="29" t="s">
        <v>909</v>
      </c>
    </row>
    <row r="551" spans="1:17" ht="14.25" customHeight="1" x14ac:dyDescent="0.3">
      <c r="A551" s="28">
        <v>46138</v>
      </c>
      <c r="B551" s="29" t="s">
        <v>76</v>
      </c>
      <c r="C551" s="30" t="s">
        <v>103</v>
      </c>
      <c r="D551" s="30" t="s">
        <v>975</v>
      </c>
      <c r="E551" s="31" t="s">
        <v>971</v>
      </c>
      <c r="F551" s="31" t="s">
        <v>165</v>
      </c>
      <c r="G551" s="30" t="s">
        <v>81</v>
      </c>
      <c r="H551" s="30" t="s">
        <v>689</v>
      </c>
      <c r="I551" s="32">
        <v>46138</v>
      </c>
      <c r="J551" s="30" t="s">
        <v>83</v>
      </c>
      <c r="K551" s="32" t="s">
        <v>45</v>
      </c>
      <c r="L551" s="30" t="s">
        <v>114</v>
      </c>
      <c r="M551" s="30" t="s">
        <v>307</v>
      </c>
      <c r="N551" s="37" t="s">
        <v>81</v>
      </c>
      <c r="O551" s="34" t="s">
        <v>86</v>
      </c>
      <c r="P551" s="35" t="s">
        <v>304</v>
      </c>
      <c r="Q551" s="29" t="s">
        <v>909</v>
      </c>
    </row>
    <row r="552" spans="1:17" ht="14.25" customHeight="1" x14ac:dyDescent="0.3">
      <c r="A552" s="28">
        <v>46138</v>
      </c>
      <c r="B552" s="29" t="s">
        <v>76</v>
      </c>
      <c r="C552" s="30" t="s">
        <v>925</v>
      </c>
      <c r="D552" s="30" t="s">
        <v>976</v>
      </c>
      <c r="E552" s="31" t="s">
        <v>977</v>
      </c>
      <c r="F552" s="31" t="s">
        <v>183</v>
      </c>
      <c r="G552" s="30" t="s">
        <v>81</v>
      </c>
      <c r="H552" s="30" t="s">
        <v>124</v>
      </c>
      <c r="I552" s="32">
        <v>46136</v>
      </c>
      <c r="J552" s="30" t="s">
        <v>136</v>
      </c>
      <c r="K552" s="32" t="s">
        <v>25</v>
      </c>
      <c r="L552" s="30" t="s">
        <v>498</v>
      </c>
      <c r="M552" s="30" t="s">
        <v>184</v>
      </c>
      <c r="N552" s="37">
        <v>1350</v>
      </c>
      <c r="O552" s="34" t="s">
        <v>86</v>
      </c>
      <c r="P552" s="35" t="s">
        <v>304</v>
      </c>
      <c r="Q552" s="29" t="s">
        <v>909</v>
      </c>
    </row>
    <row r="553" spans="1:17" ht="14.25" customHeight="1" x14ac:dyDescent="0.3">
      <c r="A553" s="28">
        <v>46138</v>
      </c>
      <c r="B553" s="29" t="s">
        <v>76</v>
      </c>
      <c r="C553" s="30" t="s">
        <v>925</v>
      </c>
      <c r="D553" s="30" t="s">
        <v>978</v>
      </c>
      <c r="E553" s="31" t="s">
        <v>977</v>
      </c>
      <c r="F553" s="31" t="s">
        <v>183</v>
      </c>
      <c r="G553" s="30" t="s">
        <v>81</v>
      </c>
      <c r="H553" s="30" t="s">
        <v>124</v>
      </c>
      <c r="I553" s="32">
        <v>46136</v>
      </c>
      <c r="J553" s="30" t="s">
        <v>136</v>
      </c>
      <c r="K553" s="32" t="s">
        <v>25</v>
      </c>
      <c r="L553" s="30" t="s">
        <v>498</v>
      </c>
      <c r="M553" s="30" t="s">
        <v>184</v>
      </c>
      <c r="N553" s="37">
        <v>1350</v>
      </c>
      <c r="O553" s="34" t="s">
        <v>86</v>
      </c>
      <c r="P553" s="35" t="s">
        <v>304</v>
      </c>
      <c r="Q553" s="29" t="s">
        <v>909</v>
      </c>
    </row>
    <row r="554" spans="1:17" ht="14.25" customHeight="1" x14ac:dyDescent="0.3">
      <c r="A554" s="28">
        <v>46138</v>
      </c>
      <c r="B554" s="29" t="s">
        <v>76</v>
      </c>
      <c r="C554" s="30" t="s">
        <v>925</v>
      </c>
      <c r="D554" s="30" t="s">
        <v>979</v>
      </c>
      <c r="E554" s="31" t="s">
        <v>977</v>
      </c>
      <c r="F554" s="31" t="s">
        <v>183</v>
      </c>
      <c r="G554" s="30" t="s">
        <v>81</v>
      </c>
      <c r="H554" s="30" t="s">
        <v>124</v>
      </c>
      <c r="I554" s="32">
        <v>46136</v>
      </c>
      <c r="J554" s="30" t="s">
        <v>136</v>
      </c>
      <c r="K554" s="32" t="s">
        <v>25</v>
      </c>
      <c r="L554" s="30" t="s">
        <v>498</v>
      </c>
      <c r="M554" s="30" t="s">
        <v>184</v>
      </c>
      <c r="N554" s="37">
        <v>1350</v>
      </c>
      <c r="O554" s="34" t="s">
        <v>86</v>
      </c>
      <c r="P554" s="35" t="s">
        <v>304</v>
      </c>
      <c r="Q554" s="29" t="s">
        <v>909</v>
      </c>
    </row>
    <row r="555" spans="1:17" ht="14.25" customHeight="1" x14ac:dyDescent="0.3">
      <c r="A555" s="28">
        <v>46138</v>
      </c>
      <c r="B555" s="29" t="s">
        <v>76</v>
      </c>
      <c r="C555" s="30" t="s">
        <v>925</v>
      </c>
      <c r="D555" s="30" t="s">
        <v>980</v>
      </c>
      <c r="E555" s="31" t="s">
        <v>977</v>
      </c>
      <c r="F555" s="31" t="s">
        <v>183</v>
      </c>
      <c r="G555" s="30" t="s">
        <v>81</v>
      </c>
      <c r="H555" s="30" t="s">
        <v>124</v>
      </c>
      <c r="I555" s="32">
        <v>46136</v>
      </c>
      <c r="J555" s="30" t="s">
        <v>136</v>
      </c>
      <c r="K555" s="32" t="s">
        <v>25</v>
      </c>
      <c r="L555" s="30" t="s">
        <v>498</v>
      </c>
      <c r="M555" s="30" t="s">
        <v>184</v>
      </c>
      <c r="N555" s="37">
        <v>1350</v>
      </c>
      <c r="O555" s="34" t="s">
        <v>86</v>
      </c>
      <c r="P555" s="35" t="s">
        <v>304</v>
      </c>
      <c r="Q555" s="29" t="s">
        <v>909</v>
      </c>
    </row>
    <row r="556" spans="1:17" ht="14.25" customHeight="1" x14ac:dyDescent="0.3">
      <c r="A556" s="28">
        <v>46139</v>
      </c>
      <c r="B556" s="29" t="s">
        <v>76</v>
      </c>
      <c r="C556" s="30" t="s">
        <v>96</v>
      </c>
      <c r="D556" s="30" t="s">
        <v>981</v>
      </c>
      <c r="E556" s="31" t="s">
        <v>982</v>
      </c>
      <c r="F556" s="31" t="s">
        <v>538</v>
      </c>
      <c r="G556" s="30" t="s">
        <v>81</v>
      </c>
      <c r="H556" s="30" t="s">
        <v>983</v>
      </c>
      <c r="I556" s="32">
        <v>46138</v>
      </c>
      <c r="J556" s="30" t="s">
        <v>136</v>
      </c>
      <c r="K556" s="32" t="s">
        <v>44</v>
      </c>
      <c r="L556" s="30" t="s">
        <v>498</v>
      </c>
      <c r="M556" s="30" t="s">
        <v>984</v>
      </c>
      <c r="N556" s="37">
        <v>3109</v>
      </c>
      <c r="O556" s="34" t="s">
        <v>86</v>
      </c>
      <c r="P556" s="35" t="s">
        <v>304</v>
      </c>
      <c r="Q556" s="29" t="s">
        <v>909</v>
      </c>
    </row>
    <row r="557" spans="1:17" ht="14.25" customHeight="1" x14ac:dyDescent="0.3">
      <c r="A557" s="28">
        <v>46139</v>
      </c>
      <c r="B557" s="29" t="s">
        <v>76</v>
      </c>
      <c r="C557" s="30" t="s">
        <v>96</v>
      </c>
      <c r="D557" s="30" t="s">
        <v>985</v>
      </c>
      <c r="E557" s="31" t="s">
        <v>982</v>
      </c>
      <c r="F557" s="31" t="s">
        <v>538</v>
      </c>
      <c r="G557" s="30" t="s">
        <v>81</v>
      </c>
      <c r="H557" s="30" t="s">
        <v>983</v>
      </c>
      <c r="I557" s="32">
        <v>46138</v>
      </c>
      <c r="J557" s="30" t="s">
        <v>136</v>
      </c>
      <c r="K557" s="32" t="s">
        <v>44</v>
      </c>
      <c r="L557" s="30" t="s">
        <v>498</v>
      </c>
      <c r="M557" s="30" t="s">
        <v>984</v>
      </c>
      <c r="N557" s="37">
        <v>3109</v>
      </c>
      <c r="O557" s="34" t="s">
        <v>86</v>
      </c>
      <c r="P557" s="35" t="s">
        <v>304</v>
      </c>
      <c r="Q557" s="29" t="s">
        <v>909</v>
      </c>
    </row>
    <row r="558" spans="1:17" ht="14.25" customHeight="1" x14ac:dyDescent="0.3">
      <c r="A558" s="28">
        <v>46140</v>
      </c>
      <c r="B558" s="29" t="s">
        <v>76</v>
      </c>
      <c r="C558" s="30" t="s">
        <v>103</v>
      </c>
      <c r="D558" s="30" t="s">
        <v>986</v>
      </c>
      <c r="E558" s="31" t="s">
        <v>609</v>
      </c>
      <c r="F558" s="31" t="s">
        <v>610</v>
      </c>
      <c r="G558" s="30" t="s">
        <v>81</v>
      </c>
      <c r="H558" s="30" t="s">
        <v>675</v>
      </c>
      <c r="I558" s="32">
        <v>46138</v>
      </c>
      <c r="J558" s="30" t="s">
        <v>83</v>
      </c>
      <c r="K558" s="32" t="s">
        <v>44</v>
      </c>
      <c r="L558" s="30" t="s">
        <v>114</v>
      </c>
      <c r="M558" s="30" t="s">
        <v>987</v>
      </c>
      <c r="N558" s="37" t="s">
        <v>81</v>
      </c>
      <c r="O558" s="34" t="s">
        <v>86</v>
      </c>
      <c r="P558" s="35" t="s">
        <v>304</v>
      </c>
      <c r="Q558" s="29" t="s">
        <v>909</v>
      </c>
    </row>
    <row r="559" spans="1:17" ht="14.25" customHeight="1" x14ac:dyDescent="0.3">
      <c r="A559" s="28">
        <v>46140</v>
      </c>
      <c r="B559" s="29" t="s">
        <v>76</v>
      </c>
      <c r="C559" s="30" t="s">
        <v>103</v>
      </c>
      <c r="D559" s="30" t="s">
        <v>988</v>
      </c>
      <c r="E559" s="31" t="s">
        <v>609</v>
      </c>
      <c r="F559" s="31" t="s">
        <v>610</v>
      </c>
      <c r="G559" s="30" t="s">
        <v>81</v>
      </c>
      <c r="H559" s="30" t="s">
        <v>675</v>
      </c>
      <c r="I559" s="32">
        <v>46138</v>
      </c>
      <c r="J559" s="30" t="s">
        <v>83</v>
      </c>
      <c r="K559" s="32" t="s">
        <v>44</v>
      </c>
      <c r="L559" s="30" t="s">
        <v>114</v>
      </c>
      <c r="M559" s="30" t="s">
        <v>987</v>
      </c>
      <c r="N559" s="37" t="s">
        <v>81</v>
      </c>
      <c r="O559" s="34" t="s">
        <v>86</v>
      </c>
      <c r="P559" s="35" t="s">
        <v>304</v>
      </c>
      <c r="Q559" s="29" t="s">
        <v>909</v>
      </c>
    </row>
    <row r="560" spans="1:17" ht="14.25" customHeight="1" x14ac:dyDescent="0.3">
      <c r="A560" s="28">
        <v>46140</v>
      </c>
      <c r="B560" s="29" t="s">
        <v>76</v>
      </c>
      <c r="C560" s="30" t="s">
        <v>103</v>
      </c>
      <c r="D560" s="30" t="s">
        <v>989</v>
      </c>
      <c r="E560" s="31" t="s">
        <v>971</v>
      </c>
      <c r="F560" s="31" t="s">
        <v>165</v>
      </c>
      <c r="G560" s="30" t="s">
        <v>81</v>
      </c>
      <c r="H560" s="30" t="s">
        <v>689</v>
      </c>
      <c r="I560" s="32">
        <v>46138</v>
      </c>
      <c r="J560" s="30" t="s">
        <v>83</v>
      </c>
      <c r="K560" s="32" t="s">
        <v>45</v>
      </c>
      <c r="L560" s="30" t="s">
        <v>114</v>
      </c>
      <c r="M560" s="30" t="s">
        <v>307</v>
      </c>
      <c r="N560" s="37" t="s">
        <v>81</v>
      </c>
      <c r="O560" s="34" t="s">
        <v>86</v>
      </c>
      <c r="P560" s="35" t="s">
        <v>304</v>
      </c>
      <c r="Q560" s="29" t="s">
        <v>909</v>
      </c>
    </row>
    <row r="561" spans="1:17" ht="14.25" customHeight="1" x14ac:dyDescent="0.3">
      <c r="A561" s="28">
        <v>46140</v>
      </c>
      <c r="B561" s="29" t="s">
        <v>76</v>
      </c>
      <c r="C561" s="30" t="s">
        <v>96</v>
      </c>
      <c r="D561" s="30" t="s">
        <v>990</v>
      </c>
      <c r="E561" s="31" t="s">
        <v>991</v>
      </c>
      <c r="F561" s="31" t="s">
        <v>327</v>
      </c>
      <c r="G561" s="30" t="s">
        <v>81</v>
      </c>
      <c r="H561" s="30" t="s">
        <v>135</v>
      </c>
      <c r="I561" s="32">
        <v>46138</v>
      </c>
      <c r="J561" s="30" t="s">
        <v>83</v>
      </c>
      <c r="K561" s="32" t="s">
        <v>42</v>
      </c>
      <c r="L561" s="30" t="s">
        <v>114</v>
      </c>
      <c r="M561" s="30" t="s">
        <v>328</v>
      </c>
      <c r="N561" s="37">
        <v>2350</v>
      </c>
      <c r="O561" s="34" t="s">
        <v>86</v>
      </c>
      <c r="P561" s="35" t="s">
        <v>304</v>
      </c>
      <c r="Q561" s="29" t="s">
        <v>909</v>
      </c>
    </row>
    <row r="562" spans="1:17" ht="14.25" customHeight="1" x14ac:dyDescent="0.3">
      <c r="A562" s="28">
        <v>46141</v>
      </c>
      <c r="B562" s="29" t="s">
        <v>76</v>
      </c>
      <c r="C562" s="30" t="s">
        <v>103</v>
      </c>
      <c r="D562" s="30" t="s">
        <v>992</v>
      </c>
      <c r="E562" s="31" t="s">
        <v>993</v>
      </c>
      <c r="F562" s="31" t="s">
        <v>816</v>
      </c>
      <c r="G562" s="30" t="s">
        <v>81</v>
      </c>
      <c r="H562" s="30" t="s">
        <v>504</v>
      </c>
      <c r="I562" s="32">
        <v>46139</v>
      </c>
      <c r="J562" s="30" t="s">
        <v>83</v>
      </c>
      <c r="K562" s="32" t="s">
        <v>32</v>
      </c>
      <c r="L562" s="30" t="s">
        <v>114</v>
      </c>
      <c r="M562" s="30" t="s">
        <v>994</v>
      </c>
      <c r="N562" s="37" t="s">
        <v>81</v>
      </c>
      <c r="O562" s="34" t="s">
        <v>86</v>
      </c>
      <c r="P562" s="35" t="s">
        <v>304</v>
      </c>
      <c r="Q562" s="29" t="s">
        <v>909</v>
      </c>
    </row>
    <row r="563" spans="1:17" ht="14.25" customHeight="1" x14ac:dyDescent="0.3">
      <c r="A563" s="28">
        <v>46141</v>
      </c>
      <c r="B563" s="29" t="s">
        <v>76</v>
      </c>
      <c r="C563" s="30" t="s">
        <v>170</v>
      </c>
      <c r="D563" s="30" t="s">
        <v>995</v>
      </c>
      <c r="E563" s="31" t="s">
        <v>996</v>
      </c>
      <c r="F563" s="31" t="s">
        <v>568</v>
      </c>
      <c r="G563" s="30" t="s">
        <v>81</v>
      </c>
      <c r="H563" s="30" t="s">
        <v>51</v>
      </c>
      <c r="I563" s="32">
        <v>46139</v>
      </c>
      <c r="J563" s="30" t="s">
        <v>83</v>
      </c>
      <c r="K563" s="32" t="s">
        <v>50</v>
      </c>
      <c r="L563" s="30" t="s">
        <v>114</v>
      </c>
      <c r="M563" s="30" t="s">
        <v>176</v>
      </c>
      <c r="N563" s="37" t="s">
        <v>81</v>
      </c>
      <c r="O563" s="34" t="s">
        <v>86</v>
      </c>
      <c r="P563" s="35" t="s">
        <v>304</v>
      </c>
      <c r="Q563" s="29" t="s">
        <v>909</v>
      </c>
    </row>
    <row r="564" spans="1:17" ht="14.25" customHeight="1" x14ac:dyDescent="0.3">
      <c r="A564" s="28">
        <v>46140</v>
      </c>
      <c r="B564" s="29" t="s">
        <v>76</v>
      </c>
      <c r="C564" s="30" t="s">
        <v>103</v>
      </c>
      <c r="D564" s="30" t="s">
        <v>997</v>
      </c>
      <c r="E564" s="31" t="s">
        <v>609</v>
      </c>
      <c r="F564" s="31" t="s">
        <v>610</v>
      </c>
      <c r="G564" s="30" t="s">
        <v>81</v>
      </c>
      <c r="H564" s="30" t="s">
        <v>675</v>
      </c>
      <c r="I564" s="32">
        <v>46138</v>
      </c>
      <c r="J564" s="30" t="s">
        <v>83</v>
      </c>
      <c r="K564" s="32" t="s">
        <v>44</v>
      </c>
      <c r="L564" s="30" t="s">
        <v>114</v>
      </c>
      <c r="M564" s="30" t="s">
        <v>987</v>
      </c>
      <c r="N564" s="37" t="s">
        <v>81</v>
      </c>
      <c r="O564" s="34" t="s">
        <v>86</v>
      </c>
      <c r="P564" s="35" t="s">
        <v>304</v>
      </c>
      <c r="Q564" s="29" t="s">
        <v>909</v>
      </c>
    </row>
    <row r="565" spans="1:17" ht="14.25" customHeight="1" x14ac:dyDescent="0.3">
      <c r="A565" s="28">
        <v>46140</v>
      </c>
      <c r="B565" s="29" t="s">
        <v>76</v>
      </c>
      <c r="C565" s="30" t="s">
        <v>103</v>
      </c>
      <c r="D565" s="30" t="s">
        <v>998</v>
      </c>
      <c r="E565" s="31" t="s">
        <v>971</v>
      </c>
      <c r="F565" s="31" t="s">
        <v>165</v>
      </c>
      <c r="G565" s="30" t="s">
        <v>81</v>
      </c>
      <c r="H565" s="30" t="s">
        <v>689</v>
      </c>
      <c r="I565" s="32">
        <v>46138</v>
      </c>
      <c r="J565" s="30" t="s">
        <v>83</v>
      </c>
      <c r="K565" s="32" t="s">
        <v>45</v>
      </c>
      <c r="L565" s="30" t="s">
        <v>114</v>
      </c>
      <c r="M565" s="30" t="s">
        <v>307</v>
      </c>
      <c r="N565" s="37" t="s">
        <v>81</v>
      </c>
      <c r="O565" s="34" t="s">
        <v>86</v>
      </c>
      <c r="P565" s="35" t="s">
        <v>304</v>
      </c>
      <c r="Q565" s="29" t="s">
        <v>909</v>
      </c>
    </row>
    <row r="566" spans="1:17" ht="14.25" customHeight="1" x14ac:dyDescent="0.3">
      <c r="A566" s="28">
        <v>46140</v>
      </c>
      <c r="B566" s="29" t="s">
        <v>76</v>
      </c>
      <c r="C566" s="30" t="s">
        <v>103</v>
      </c>
      <c r="D566" s="30" t="s">
        <v>999</v>
      </c>
      <c r="E566" s="31" t="s">
        <v>1000</v>
      </c>
      <c r="F566" s="31" t="s">
        <v>1001</v>
      </c>
      <c r="G566" s="30" t="s">
        <v>81</v>
      </c>
      <c r="H566" s="30" t="s">
        <v>166</v>
      </c>
      <c r="I566" s="32">
        <v>46138</v>
      </c>
      <c r="J566" s="30" t="s">
        <v>83</v>
      </c>
      <c r="K566" s="32" t="s">
        <v>28</v>
      </c>
      <c r="L566" s="30" t="s">
        <v>114</v>
      </c>
      <c r="M566" s="30" t="s">
        <v>954</v>
      </c>
      <c r="N566" s="37">
        <v>2900</v>
      </c>
      <c r="O566" s="34" t="s">
        <v>86</v>
      </c>
      <c r="P566" s="35" t="s">
        <v>304</v>
      </c>
      <c r="Q566" s="29" t="s">
        <v>909</v>
      </c>
    </row>
    <row r="567" spans="1:17" ht="14.25" customHeight="1" x14ac:dyDescent="0.3">
      <c r="A567" s="28">
        <v>46140</v>
      </c>
      <c r="B567" s="29" t="s">
        <v>76</v>
      </c>
      <c r="C567" s="30" t="s">
        <v>925</v>
      </c>
      <c r="D567" s="30" t="s">
        <v>1002</v>
      </c>
      <c r="E567" s="31" t="s">
        <v>977</v>
      </c>
      <c r="F567" s="31" t="s">
        <v>183</v>
      </c>
      <c r="G567" s="30" t="s">
        <v>81</v>
      </c>
      <c r="H567" s="30" t="s">
        <v>124</v>
      </c>
      <c r="I567" s="32">
        <v>46139</v>
      </c>
      <c r="J567" s="30" t="s">
        <v>136</v>
      </c>
      <c r="K567" s="32" t="s">
        <v>42</v>
      </c>
      <c r="L567" s="30" t="s">
        <v>498</v>
      </c>
      <c r="M567" s="30" t="s">
        <v>184</v>
      </c>
      <c r="N567" s="37">
        <v>1350</v>
      </c>
      <c r="O567" s="34" t="s">
        <v>86</v>
      </c>
      <c r="P567" s="35" t="s">
        <v>304</v>
      </c>
      <c r="Q567" s="29" t="s">
        <v>909</v>
      </c>
    </row>
    <row r="568" spans="1:17" ht="14.25" customHeight="1" x14ac:dyDescent="0.3">
      <c r="A568" s="28">
        <v>46141</v>
      </c>
      <c r="B568" s="29" t="s">
        <v>76</v>
      </c>
      <c r="C568" s="30" t="s">
        <v>103</v>
      </c>
      <c r="D568" s="30" t="s">
        <v>1003</v>
      </c>
      <c r="E568" s="31" t="s">
        <v>1004</v>
      </c>
      <c r="F568" s="31" t="s">
        <v>179</v>
      </c>
      <c r="G568" s="30" t="s">
        <v>334</v>
      </c>
      <c r="H568" s="30" t="s">
        <v>166</v>
      </c>
      <c r="I568" s="32">
        <v>46139</v>
      </c>
      <c r="J568" s="30" t="s">
        <v>83</v>
      </c>
      <c r="K568" s="32" t="s">
        <v>28</v>
      </c>
      <c r="L568" s="30" t="s">
        <v>114</v>
      </c>
      <c r="M568" s="30" t="s">
        <v>180</v>
      </c>
      <c r="N568" s="37">
        <v>2295</v>
      </c>
      <c r="O568" s="34" t="s">
        <v>86</v>
      </c>
      <c r="P568" s="35" t="s">
        <v>304</v>
      </c>
      <c r="Q568" s="29" t="s">
        <v>909</v>
      </c>
    </row>
    <row r="569" spans="1:17" ht="14.25" customHeight="1" x14ac:dyDescent="0.3">
      <c r="A569" s="28">
        <v>46141</v>
      </c>
      <c r="B569" s="29" t="s">
        <v>76</v>
      </c>
      <c r="C569" s="30" t="s">
        <v>103</v>
      </c>
      <c r="D569" s="30" t="s">
        <v>1005</v>
      </c>
      <c r="E569" s="31" t="s">
        <v>953</v>
      </c>
      <c r="F569" s="31" t="s">
        <v>209</v>
      </c>
      <c r="G569" s="30" t="s">
        <v>81</v>
      </c>
      <c r="H569" s="30" t="s">
        <v>804</v>
      </c>
      <c r="I569" s="32">
        <v>46139</v>
      </c>
      <c r="J569" s="30" t="s">
        <v>83</v>
      </c>
      <c r="K569" s="32" t="s">
        <v>42</v>
      </c>
      <c r="L569" s="30" t="s">
        <v>114</v>
      </c>
      <c r="M569" s="30" t="s">
        <v>954</v>
      </c>
      <c r="N569" s="37" t="s">
        <v>81</v>
      </c>
      <c r="O569" s="34" t="s">
        <v>86</v>
      </c>
      <c r="P569" s="35" t="s">
        <v>304</v>
      </c>
      <c r="Q569" s="29" t="s">
        <v>909</v>
      </c>
    </row>
    <row r="570" spans="1:17" ht="14.25" customHeight="1" x14ac:dyDescent="0.3">
      <c r="A570" s="28">
        <v>46141</v>
      </c>
      <c r="B570" s="29" t="s">
        <v>76</v>
      </c>
      <c r="C570" s="30" t="s">
        <v>103</v>
      </c>
      <c r="D570" s="30" t="s">
        <v>1006</v>
      </c>
      <c r="E570" s="31" t="s">
        <v>953</v>
      </c>
      <c r="F570" s="31" t="s">
        <v>209</v>
      </c>
      <c r="G570" s="30" t="s">
        <v>81</v>
      </c>
      <c r="H570" s="30" t="s">
        <v>804</v>
      </c>
      <c r="I570" s="32">
        <v>46139</v>
      </c>
      <c r="J570" s="30" t="s">
        <v>83</v>
      </c>
      <c r="K570" s="32" t="s">
        <v>42</v>
      </c>
      <c r="L570" s="30" t="s">
        <v>114</v>
      </c>
      <c r="M570" s="30" t="s">
        <v>954</v>
      </c>
      <c r="N570" s="37" t="s">
        <v>81</v>
      </c>
      <c r="O570" s="34" t="s">
        <v>86</v>
      </c>
      <c r="P570" s="35" t="s">
        <v>304</v>
      </c>
      <c r="Q570" s="29" t="s">
        <v>909</v>
      </c>
    </row>
    <row r="571" spans="1:17" ht="14.25" customHeight="1" x14ac:dyDescent="0.3">
      <c r="A571" s="28">
        <v>46142</v>
      </c>
      <c r="B571" s="29" t="s">
        <v>76</v>
      </c>
      <c r="C571" s="30" t="s">
        <v>96</v>
      </c>
      <c r="D571" s="30" t="s">
        <v>1007</v>
      </c>
      <c r="E571" s="31" t="s">
        <v>459</v>
      </c>
      <c r="F571" s="31" t="s">
        <v>111</v>
      </c>
      <c r="G571" s="30" t="s">
        <v>112</v>
      </c>
      <c r="H571" s="30" t="s">
        <v>135</v>
      </c>
      <c r="I571" s="32">
        <v>46140</v>
      </c>
      <c r="J571" s="30" t="s">
        <v>83</v>
      </c>
      <c r="K571" s="32" t="s">
        <v>42</v>
      </c>
      <c r="L571" s="30" t="s">
        <v>114</v>
      </c>
      <c r="M571" s="30" t="s">
        <v>460</v>
      </c>
      <c r="N571" s="37">
        <v>2735</v>
      </c>
      <c r="O571" s="34" t="s">
        <v>86</v>
      </c>
      <c r="P571" s="35" t="s">
        <v>304</v>
      </c>
      <c r="Q571" s="29" t="s">
        <v>909</v>
      </c>
    </row>
    <row r="572" spans="1:17" ht="14.25" customHeight="1" x14ac:dyDescent="0.3">
      <c r="A572" s="28">
        <v>46142</v>
      </c>
      <c r="B572" s="29" t="s">
        <v>76</v>
      </c>
      <c r="C572" s="30" t="s">
        <v>96</v>
      </c>
      <c r="D572" s="30" t="s">
        <v>1008</v>
      </c>
      <c r="E572" s="31" t="s">
        <v>459</v>
      </c>
      <c r="F572" s="31" t="s">
        <v>111</v>
      </c>
      <c r="G572" s="30" t="s">
        <v>112</v>
      </c>
      <c r="H572" s="30" t="s">
        <v>135</v>
      </c>
      <c r="I572" s="32">
        <v>46140</v>
      </c>
      <c r="J572" s="30" t="s">
        <v>83</v>
      </c>
      <c r="K572" s="32" t="s">
        <v>42</v>
      </c>
      <c r="L572" s="30" t="s">
        <v>114</v>
      </c>
      <c r="M572" s="30" t="s">
        <v>460</v>
      </c>
      <c r="N572" s="37">
        <v>2735</v>
      </c>
      <c r="O572" s="34" t="s">
        <v>86</v>
      </c>
      <c r="P572" s="35" t="s">
        <v>304</v>
      </c>
      <c r="Q572" s="29" t="s">
        <v>909</v>
      </c>
    </row>
    <row r="573" spans="1:17" ht="14.25" customHeight="1" x14ac:dyDescent="0.3">
      <c r="A573" s="28">
        <v>46142</v>
      </c>
      <c r="B573" s="29" t="s">
        <v>76</v>
      </c>
      <c r="C573" s="30" t="s">
        <v>96</v>
      </c>
      <c r="D573" s="30" t="s">
        <v>1009</v>
      </c>
      <c r="E573" s="31" t="s">
        <v>459</v>
      </c>
      <c r="F573" s="31" t="s">
        <v>111</v>
      </c>
      <c r="G573" s="30" t="s">
        <v>112</v>
      </c>
      <c r="H573" s="30" t="s">
        <v>135</v>
      </c>
      <c r="I573" s="32">
        <v>46140</v>
      </c>
      <c r="J573" s="30" t="s">
        <v>83</v>
      </c>
      <c r="K573" s="32" t="s">
        <v>42</v>
      </c>
      <c r="L573" s="30" t="s">
        <v>114</v>
      </c>
      <c r="M573" s="30" t="s">
        <v>460</v>
      </c>
      <c r="N573" s="37">
        <v>2735</v>
      </c>
      <c r="O573" s="34" t="s">
        <v>86</v>
      </c>
      <c r="P573" s="35" t="s">
        <v>304</v>
      </c>
      <c r="Q573" s="29" t="s">
        <v>909</v>
      </c>
    </row>
    <row r="574" spans="1:17" ht="14.25" customHeight="1" x14ac:dyDescent="0.3">
      <c r="A574" s="28">
        <v>46148</v>
      </c>
      <c r="B574" s="29" t="s">
        <v>162</v>
      </c>
      <c r="C574" s="30" t="s">
        <v>103</v>
      </c>
      <c r="D574" s="30" t="s">
        <v>1010</v>
      </c>
      <c r="E574" s="31" t="s">
        <v>971</v>
      </c>
      <c r="F574" s="31" t="s">
        <v>165</v>
      </c>
      <c r="G574" s="30" t="s">
        <v>81</v>
      </c>
      <c r="H574" s="30" t="s">
        <v>258</v>
      </c>
      <c r="I574" s="32">
        <v>46144</v>
      </c>
      <c r="J574" s="30" t="s">
        <v>83</v>
      </c>
      <c r="K574" s="32" t="s">
        <v>58</v>
      </c>
      <c r="L574" s="30" t="s">
        <v>114</v>
      </c>
      <c r="M574" s="30" t="s">
        <v>307</v>
      </c>
      <c r="N574" s="37" t="s">
        <v>81</v>
      </c>
      <c r="O574" s="34" t="s">
        <v>86</v>
      </c>
      <c r="P574" s="35" t="s">
        <v>304</v>
      </c>
      <c r="Q574" s="29" t="s">
        <v>1011</v>
      </c>
    </row>
    <row r="575" spans="1:17" ht="14.25" customHeight="1" x14ac:dyDescent="0.3">
      <c r="A575" s="28">
        <v>46148</v>
      </c>
      <c r="B575" s="29" t="s">
        <v>162</v>
      </c>
      <c r="C575" s="30" t="s">
        <v>103</v>
      </c>
      <c r="D575" s="30" t="s">
        <v>1012</v>
      </c>
      <c r="E575" s="31" t="s">
        <v>971</v>
      </c>
      <c r="F575" s="31" t="s">
        <v>165</v>
      </c>
      <c r="G575" s="30" t="s">
        <v>81</v>
      </c>
      <c r="H575" s="30" t="s">
        <v>258</v>
      </c>
      <c r="I575" s="32">
        <v>46144</v>
      </c>
      <c r="J575" s="30" t="s">
        <v>83</v>
      </c>
      <c r="K575" s="32" t="s">
        <v>58</v>
      </c>
      <c r="L575" s="30" t="s">
        <v>114</v>
      </c>
      <c r="M575" s="30" t="s">
        <v>307</v>
      </c>
      <c r="N575" s="37" t="s">
        <v>81</v>
      </c>
      <c r="O575" s="34" t="s">
        <v>86</v>
      </c>
      <c r="P575" s="35" t="s">
        <v>304</v>
      </c>
      <c r="Q575" s="29" t="s">
        <v>1011</v>
      </c>
    </row>
    <row r="576" spans="1:17" ht="14.25" customHeight="1" x14ac:dyDescent="0.3">
      <c r="A576" s="28">
        <v>46148</v>
      </c>
      <c r="B576" s="29" t="s">
        <v>162</v>
      </c>
      <c r="C576" s="30" t="s">
        <v>103</v>
      </c>
      <c r="D576" s="30" t="s">
        <v>1013</v>
      </c>
      <c r="E576" s="31" t="s">
        <v>971</v>
      </c>
      <c r="F576" s="31" t="s">
        <v>165</v>
      </c>
      <c r="G576" s="30" t="s">
        <v>81</v>
      </c>
      <c r="H576" s="30" t="s">
        <v>258</v>
      </c>
      <c r="I576" s="32">
        <v>46144</v>
      </c>
      <c r="J576" s="30" t="s">
        <v>83</v>
      </c>
      <c r="K576" s="32" t="s">
        <v>58</v>
      </c>
      <c r="L576" s="30" t="s">
        <v>114</v>
      </c>
      <c r="M576" s="30" t="s">
        <v>307</v>
      </c>
      <c r="N576" s="37" t="s">
        <v>81</v>
      </c>
      <c r="O576" s="34" t="s">
        <v>86</v>
      </c>
      <c r="P576" s="35" t="s">
        <v>304</v>
      </c>
      <c r="Q576" s="29" t="s">
        <v>1011</v>
      </c>
    </row>
    <row r="577" spans="1:17" ht="14.25" customHeight="1" x14ac:dyDescent="0.3">
      <c r="A577" s="28">
        <v>46148</v>
      </c>
      <c r="B577" s="29" t="s">
        <v>162</v>
      </c>
      <c r="C577" s="30" t="s">
        <v>103</v>
      </c>
      <c r="D577" s="30" t="s">
        <v>1014</v>
      </c>
      <c r="E577" s="31" t="s">
        <v>971</v>
      </c>
      <c r="F577" s="31" t="s">
        <v>165</v>
      </c>
      <c r="G577" s="30" t="s">
        <v>81</v>
      </c>
      <c r="H577" s="30" t="s">
        <v>258</v>
      </c>
      <c r="I577" s="32">
        <v>46144</v>
      </c>
      <c r="J577" s="30" t="s">
        <v>83</v>
      </c>
      <c r="K577" s="32" t="s">
        <v>58</v>
      </c>
      <c r="L577" s="30" t="s">
        <v>114</v>
      </c>
      <c r="M577" s="30" t="s">
        <v>307</v>
      </c>
      <c r="N577" s="37" t="s">
        <v>81</v>
      </c>
      <c r="O577" s="34" t="s">
        <v>86</v>
      </c>
      <c r="P577" s="35" t="s">
        <v>304</v>
      </c>
      <c r="Q577" s="29" t="s">
        <v>1011</v>
      </c>
    </row>
    <row r="578" spans="1:17" ht="14.25" customHeight="1" x14ac:dyDescent="0.3">
      <c r="A578" s="28">
        <v>46148</v>
      </c>
      <c r="B578" s="29" t="s">
        <v>162</v>
      </c>
      <c r="C578" s="30" t="s">
        <v>103</v>
      </c>
      <c r="D578" s="30" t="s">
        <v>1015</v>
      </c>
      <c r="E578" s="31" t="s">
        <v>971</v>
      </c>
      <c r="F578" s="31" t="s">
        <v>165</v>
      </c>
      <c r="G578" s="30" t="s">
        <v>81</v>
      </c>
      <c r="H578" s="30" t="s">
        <v>258</v>
      </c>
      <c r="I578" s="32">
        <v>46144</v>
      </c>
      <c r="J578" s="30" t="s">
        <v>83</v>
      </c>
      <c r="K578" s="32" t="s">
        <v>58</v>
      </c>
      <c r="L578" s="30" t="s">
        <v>114</v>
      </c>
      <c r="M578" s="30" t="s">
        <v>307</v>
      </c>
      <c r="N578" s="37" t="s">
        <v>81</v>
      </c>
      <c r="O578" s="34" t="s">
        <v>86</v>
      </c>
      <c r="P578" s="35" t="s">
        <v>304</v>
      </c>
      <c r="Q578" s="29" t="s">
        <v>1011</v>
      </c>
    </row>
    <row r="579" spans="1:17" ht="14.25" customHeight="1" x14ac:dyDescent="0.3">
      <c r="A579" s="28">
        <v>46150</v>
      </c>
      <c r="B579" s="29" t="s">
        <v>162</v>
      </c>
      <c r="C579" s="30" t="s">
        <v>925</v>
      </c>
      <c r="D579" s="30" t="s">
        <v>1016</v>
      </c>
      <c r="E579" s="31" t="s">
        <v>369</v>
      </c>
      <c r="F579" s="31" t="s">
        <v>370</v>
      </c>
      <c r="G579" s="30" t="s">
        <v>81</v>
      </c>
      <c r="H579" s="30" t="s">
        <v>1017</v>
      </c>
      <c r="I579" s="32">
        <v>46150</v>
      </c>
      <c r="J579" s="30" t="s">
        <v>83</v>
      </c>
      <c r="K579" s="32" t="s">
        <v>42</v>
      </c>
      <c r="L579" s="30" t="s">
        <v>114</v>
      </c>
      <c r="M579" s="30" t="s">
        <v>1018</v>
      </c>
      <c r="N579" s="37">
        <v>0</v>
      </c>
      <c r="O579" s="34" t="s">
        <v>86</v>
      </c>
      <c r="P579" s="35" t="s">
        <v>304</v>
      </c>
      <c r="Q579" s="29" t="s">
        <v>1011</v>
      </c>
    </row>
    <row r="580" spans="1:17" ht="14.25" customHeight="1" x14ac:dyDescent="0.3">
      <c r="A580" s="28">
        <v>46150</v>
      </c>
      <c r="B580" s="29" t="s">
        <v>162</v>
      </c>
      <c r="C580" s="30" t="s">
        <v>925</v>
      </c>
      <c r="D580" s="30" t="s">
        <v>1019</v>
      </c>
      <c r="E580" s="31" t="s">
        <v>369</v>
      </c>
      <c r="F580" s="31" t="s">
        <v>370</v>
      </c>
      <c r="G580" s="30" t="s">
        <v>81</v>
      </c>
      <c r="H580" s="30" t="s">
        <v>1017</v>
      </c>
      <c r="I580" s="32">
        <v>46150</v>
      </c>
      <c r="J580" s="30" t="s">
        <v>83</v>
      </c>
      <c r="K580" s="32" t="s">
        <v>42</v>
      </c>
      <c r="L580" s="30" t="s">
        <v>114</v>
      </c>
      <c r="M580" s="30" t="s">
        <v>1018</v>
      </c>
      <c r="N580" s="37">
        <v>0</v>
      </c>
      <c r="O580" s="34" t="s">
        <v>86</v>
      </c>
      <c r="P580" s="35" t="s">
        <v>304</v>
      </c>
      <c r="Q580" s="29" t="s">
        <v>1011</v>
      </c>
    </row>
    <row r="581" spans="1:17" ht="14.25" customHeight="1" x14ac:dyDescent="0.3">
      <c r="A581" s="28">
        <v>46153</v>
      </c>
      <c r="B581" s="29" t="s">
        <v>162</v>
      </c>
      <c r="C581" s="30" t="s">
        <v>77</v>
      </c>
      <c r="D581" s="30" t="s">
        <v>1020</v>
      </c>
      <c r="E581" s="31" t="s">
        <v>1021</v>
      </c>
      <c r="F581" s="31" t="s">
        <v>476</v>
      </c>
      <c r="G581" s="30" t="s">
        <v>81</v>
      </c>
      <c r="H581" s="30" t="s">
        <v>1022</v>
      </c>
      <c r="I581" s="32">
        <v>46151</v>
      </c>
      <c r="J581" s="30" t="s">
        <v>83</v>
      </c>
      <c r="K581" s="32" t="s">
        <v>42</v>
      </c>
      <c r="L581" s="30" t="s">
        <v>84</v>
      </c>
      <c r="M581" s="30" t="s">
        <v>1023</v>
      </c>
      <c r="N581" s="37">
        <v>0</v>
      </c>
      <c r="O581" s="34" t="s">
        <v>86</v>
      </c>
      <c r="P581" s="35" t="s">
        <v>304</v>
      </c>
      <c r="Q581" s="29" t="s">
        <v>1011</v>
      </c>
    </row>
    <row r="582" spans="1:17" ht="14.25" customHeight="1" x14ac:dyDescent="0.3">
      <c r="A582" s="28">
        <v>46153</v>
      </c>
      <c r="B582" s="29" t="s">
        <v>162</v>
      </c>
      <c r="C582" s="30" t="s">
        <v>103</v>
      </c>
      <c r="D582" s="30" t="s">
        <v>1024</v>
      </c>
      <c r="E582" s="31" t="s">
        <v>993</v>
      </c>
      <c r="F582" s="31" t="s">
        <v>816</v>
      </c>
      <c r="G582" s="30" t="s">
        <v>81</v>
      </c>
      <c r="H582" s="30" t="s">
        <v>1025</v>
      </c>
      <c r="I582" s="32">
        <v>46150</v>
      </c>
      <c r="J582" s="30" t="s">
        <v>83</v>
      </c>
      <c r="K582" s="32" t="s">
        <v>42</v>
      </c>
      <c r="L582" s="30" t="s">
        <v>84</v>
      </c>
      <c r="M582" s="30" t="s">
        <v>994</v>
      </c>
      <c r="N582" s="37">
        <v>0</v>
      </c>
      <c r="O582" s="34" t="s">
        <v>86</v>
      </c>
      <c r="P582" s="35" t="s">
        <v>304</v>
      </c>
      <c r="Q582" s="29" t="s">
        <v>1011</v>
      </c>
    </row>
    <row r="583" spans="1:17" ht="14.25" customHeight="1" x14ac:dyDescent="0.3">
      <c r="A583" s="28">
        <v>46153</v>
      </c>
      <c r="B583" s="29" t="s">
        <v>162</v>
      </c>
      <c r="C583" s="30" t="s">
        <v>103</v>
      </c>
      <c r="D583" s="30" t="s">
        <v>1026</v>
      </c>
      <c r="E583" s="31" t="s">
        <v>1027</v>
      </c>
      <c r="F583" s="31" t="s">
        <v>242</v>
      </c>
      <c r="G583" s="30" t="s">
        <v>81</v>
      </c>
      <c r="H583" s="30" t="s">
        <v>243</v>
      </c>
      <c r="I583" s="32">
        <v>46150</v>
      </c>
      <c r="J583" s="30" t="s">
        <v>136</v>
      </c>
      <c r="K583" s="32" t="s">
        <v>44</v>
      </c>
      <c r="L583" s="30" t="s">
        <v>498</v>
      </c>
      <c r="M583" s="30" t="s">
        <v>244</v>
      </c>
      <c r="N583" s="37" t="s">
        <v>81</v>
      </c>
      <c r="O583" s="34" t="s">
        <v>86</v>
      </c>
      <c r="P583" s="35" t="s">
        <v>304</v>
      </c>
      <c r="Q583" s="29" t="s">
        <v>1011</v>
      </c>
    </row>
    <row r="584" spans="1:17" ht="14.25" customHeight="1" x14ac:dyDescent="0.3">
      <c r="A584" s="28">
        <v>46153</v>
      </c>
      <c r="B584" s="29" t="s">
        <v>162</v>
      </c>
      <c r="C584" s="30" t="s">
        <v>925</v>
      </c>
      <c r="D584" s="30" t="s">
        <v>1028</v>
      </c>
      <c r="E584" s="31" t="s">
        <v>927</v>
      </c>
      <c r="F584" s="31" t="s">
        <v>183</v>
      </c>
      <c r="G584" s="30" t="s">
        <v>81</v>
      </c>
      <c r="H584" s="30" t="s">
        <v>156</v>
      </c>
      <c r="I584" s="32">
        <v>46151</v>
      </c>
      <c r="J584" s="30" t="s">
        <v>83</v>
      </c>
      <c r="K584" s="32" t="s">
        <v>44</v>
      </c>
      <c r="L584" s="30" t="s">
        <v>84</v>
      </c>
      <c r="M584" s="30" t="s">
        <v>184</v>
      </c>
      <c r="N584" s="37">
        <v>0</v>
      </c>
      <c r="O584" s="34" t="s">
        <v>86</v>
      </c>
      <c r="P584" s="35" t="s">
        <v>304</v>
      </c>
      <c r="Q584" s="29" t="s">
        <v>1011</v>
      </c>
    </row>
    <row r="585" spans="1:17" ht="14.25" customHeight="1" x14ac:dyDescent="0.3">
      <c r="A585" s="28">
        <v>46154</v>
      </c>
      <c r="B585" s="29" t="s">
        <v>162</v>
      </c>
      <c r="C585" s="30" t="s">
        <v>103</v>
      </c>
      <c r="D585" s="30" t="s">
        <v>1029</v>
      </c>
      <c r="E585" s="31" t="s">
        <v>1030</v>
      </c>
      <c r="F585" s="31" t="s">
        <v>237</v>
      </c>
      <c r="G585" s="30" t="s">
        <v>81</v>
      </c>
      <c r="H585" s="30" t="s">
        <v>238</v>
      </c>
      <c r="I585" s="32">
        <v>46152</v>
      </c>
      <c r="J585" s="30" t="s">
        <v>83</v>
      </c>
      <c r="K585" s="32" t="s">
        <v>25</v>
      </c>
      <c r="L585" s="30" t="s">
        <v>84</v>
      </c>
      <c r="M585" s="30" t="s">
        <v>239</v>
      </c>
      <c r="N585" s="37">
        <v>0</v>
      </c>
      <c r="O585" s="34" t="s">
        <v>86</v>
      </c>
      <c r="P585" s="35" t="s">
        <v>304</v>
      </c>
      <c r="Q585" s="29" t="s">
        <v>1011</v>
      </c>
    </row>
    <row r="586" spans="1:17" ht="14.25" customHeight="1" x14ac:dyDescent="0.3">
      <c r="A586" s="28">
        <v>46154</v>
      </c>
      <c r="B586" s="29" t="s">
        <v>162</v>
      </c>
      <c r="C586" s="30" t="s">
        <v>103</v>
      </c>
      <c r="D586" s="30" t="s">
        <v>1031</v>
      </c>
      <c r="E586" s="31" t="s">
        <v>1030</v>
      </c>
      <c r="F586" s="31" t="s">
        <v>237</v>
      </c>
      <c r="G586" s="30" t="s">
        <v>81</v>
      </c>
      <c r="H586" s="30" t="s">
        <v>238</v>
      </c>
      <c r="I586" s="32">
        <v>46152</v>
      </c>
      <c r="J586" s="30" t="s">
        <v>83</v>
      </c>
      <c r="K586" s="32" t="s">
        <v>25</v>
      </c>
      <c r="L586" s="30" t="s">
        <v>84</v>
      </c>
      <c r="M586" s="30" t="s">
        <v>239</v>
      </c>
      <c r="N586" s="37">
        <v>0</v>
      </c>
      <c r="O586" s="34" t="s">
        <v>86</v>
      </c>
      <c r="P586" s="35" t="s">
        <v>304</v>
      </c>
      <c r="Q586" s="29" t="s">
        <v>1011</v>
      </c>
    </row>
    <row r="587" spans="1:17" ht="14.25" customHeight="1" x14ac:dyDescent="0.3">
      <c r="A587" s="28">
        <v>46154</v>
      </c>
      <c r="B587" s="29" t="s">
        <v>162</v>
      </c>
      <c r="C587" s="30" t="s">
        <v>337</v>
      </c>
      <c r="D587" s="30" t="s">
        <v>1032</v>
      </c>
      <c r="E587" s="31" t="s">
        <v>1033</v>
      </c>
      <c r="F587" s="31" t="s">
        <v>340</v>
      </c>
      <c r="G587" s="30" t="s">
        <v>81</v>
      </c>
      <c r="H587" s="30" t="s">
        <v>893</v>
      </c>
      <c r="I587" s="32">
        <v>46152</v>
      </c>
      <c r="J587" s="30" t="s">
        <v>83</v>
      </c>
      <c r="K587" s="32" t="s">
        <v>41</v>
      </c>
      <c r="L587" s="30" t="s">
        <v>84</v>
      </c>
      <c r="M587" s="30" t="s">
        <v>839</v>
      </c>
      <c r="N587" s="37">
        <v>0</v>
      </c>
      <c r="O587" s="34" t="s">
        <v>86</v>
      </c>
      <c r="P587" s="35" t="s">
        <v>304</v>
      </c>
      <c r="Q587" s="29" t="s">
        <v>1011</v>
      </c>
    </row>
    <row r="588" spans="1:17" ht="14.25" customHeight="1" x14ac:dyDescent="0.3">
      <c r="A588" s="28">
        <v>46154</v>
      </c>
      <c r="B588" s="29" t="s">
        <v>162</v>
      </c>
      <c r="C588" s="30" t="s">
        <v>337</v>
      </c>
      <c r="D588" s="30" t="s">
        <v>1034</v>
      </c>
      <c r="E588" s="31" t="s">
        <v>1033</v>
      </c>
      <c r="F588" s="31" t="s">
        <v>340</v>
      </c>
      <c r="G588" s="30" t="s">
        <v>81</v>
      </c>
      <c r="H588" s="30" t="s">
        <v>893</v>
      </c>
      <c r="I588" s="32">
        <v>46152</v>
      </c>
      <c r="J588" s="30" t="s">
        <v>83</v>
      </c>
      <c r="K588" s="32" t="s">
        <v>41</v>
      </c>
      <c r="L588" s="30" t="s">
        <v>84</v>
      </c>
      <c r="M588" s="30" t="s">
        <v>839</v>
      </c>
      <c r="N588" s="37">
        <v>0</v>
      </c>
      <c r="O588" s="34" t="s">
        <v>86</v>
      </c>
      <c r="P588" s="35" t="s">
        <v>304</v>
      </c>
      <c r="Q588" s="29" t="s">
        <v>1011</v>
      </c>
    </row>
    <row r="589" spans="1:17" ht="14.25" customHeight="1" x14ac:dyDescent="0.3">
      <c r="A589" s="28">
        <v>46156</v>
      </c>
      <c r="B589" s="29" t="s">
        <v>162</v>
      </c>
      <c r="C589" s="30" t="s">
        <v>925</v>
      </c>
      <c r="D589" s="30" t="s">
        <v>1035</v>
      </c>
      <c r="E589" s="31" t="s">
        <v>939</v>
      </c>
      <c r="F589" s="31" t="s">
        <v>940</v>
      </c>
      <c r="G589" s="30" t="s">
        <v>81</v>
      </c>
      <c r="H589" s="30" t="s">
        <v>1036</v>
      </c>
      <c r="I589" s="32">
        <v>46154</v>
      </c>
      <c r="J589" s="30" t="s">
        <v>83</v>
      </c>
      <c r="K589" s="32" t="s">
        <v>42</v>
      </c>
      <c r="L589" s="30" t="s">
        <v>84</v>
      </c>
      <c r="M589" s="30" t="s">
        <v>1037</v>
      </c>
      <c r="N589" s="37">
        <v>0</v>
      </c>
      <c r="O589" s="34" t="s">
        <v>86</v>
      </c>
      <c r="P589" s="35" t="s">
        <v>304</v>
      </c>
      <c r="Q589" s="29" t="s">
        <v>1011</v>
      </c>
    </row>
    <row r="590" spans="1:17" ht="14.25" customHeight="1" x14ac:dyDescent="0.3">
      <c r="A590" s="28">
        <v>46156</v>
      </c>
      <c r="B590" s="29" t="s">
        <v>162</v>
      </c>
      <c r="C590" s="30" t="s">
        <v>925</v>
      </c>
      <c r="D590" s="30" t="s">
        <v>1038</v>
      </c>
      <c r="E590" s="31" t="s">
        <v>939</v>
      </c>
      <c r="F590" s="31" t="s">
        <v>940</v>
      </c>
      <c r="G590" s="30" t="s">
        <v>81</v>
      </c>
      <c r="H590" s="30" t="s">
        <v>1036</v>
      </c>
      <c r="I590" s="32">
        <v>46154</v>
      </c>
      <c r="J590" s="30" t="s">
        <v>83</v>
      </c>
      <c r="K590" s="32" t="s">
        <v>42</v>
      </c>
      <c r="L590" s="30" t="s">
        <v>84</v>
      </c>
      <c r="M590" s="30" t="s">
        <v>1037</v>
      </c>
      <c r="N590" s="37">
        <v>0</v>
      </c>
      <c r="O590" s="34" t="s">
        <v>86</v>
      </c>
      <c r="P590" s="35" t="s">
        <v>304</v>
      </c>
      <c r="Q590" s="29" t="s">
        <v>1011</v>
      </c>
    </row>
    <row r="591" spans="1:17" ht="14.25" customHeight="1" x14ac:dyDescent="0.3">
      <c r="A591" s="28">
        <v>46156</v>
      </c>
      <c r="B591" s="29" t="s">
        <v>162</v>
      </c>
      <c r="C591" s="30" t="s">
        <v>925</v>
      </c>
      <c r="D591" s="30" t="s">
        <v>1039</v>
      </c>
      <c r="E591" s="31" t="s">
        <v>1040</v>
      </c>
      <c r="F591" s="31" t="s">
        <v>1041</v>
      </c>
      <c r="G591" s="30" t="s">
        <v>81</v>
      </c>
      <c r="H591" s="30" t="s">
        <v>1036</v>
      </c>
      <c r="I591" s="32">
        <v>46154</v>
      </c>
      <c r="J591" s="30" t="s">
        <v>83</v>
      </c>
      <c r="K591" s="32" t="s">
        <v>42</v>
      </c>
      <c r="L591" s="30" t="s">
        <v>84</v>
      </c>
      <c r="M591" s="30" t="s">
        <v>1037</v>
      </c>
      <c r="N591" s="37">
        <v>0</v>
      </c>
      <c r="O591" s="34" t="s">
        <v>86</v>
      </c>
      <c r="P591" s="35" t="s">
        <v>304</v>
      </c>
      <c r="Q591" s="29" t="s">
        <v>1011</v>
      </c>
    </row>
    <row r="592" spans="1:17" ht="14.25" customHeight="1" x14ac:dyDescent="0.3">
      <c r="A592" s="28">
        <v>46156</v>
      </c>
      <c r="B592" s="29" t="s">
        <v>162</v>
      </c>
      <c r="C592" s="30" t="s">
        <v>96</v>
      </c>
      <c r="D592" s="30" t="s">
        <v>1042</v>
      </c>
      <c r="E592" s="31" t="s">
        <v>459</v>
      </c>
      <c r="F592" s="31" t="s">
        <v>111</v>
      </c>
      <c r="G592" s="30" t="s">
        <v>112</v>
      </c>
      <c r="H592" s="30" t="s">
        <v>135</v>
      </c>
      <c r="I592" s="32">
        <v>46156</v>
      </c>
      <c r="J592" s="30" t="s">
        <v>136</v>
      </c>
      <c r="K592" s="32" t="s">
        <v>42</v>
      </c>
      <c r="L592" s="30" t="s">
        <v>498</v>
      </c>
      <c r="M592" s="30" t="s">
        <v>460</v>
      </c>
      <c r="N592" s="37">
        <v>2735</v>
      </c>
      <c r="O592" s="34" t="s">
        <v>86</v>
      </c>
      <c r="P592" s="35" t="s">
        <v>304</v>
      </c>
      <c r="Q592" s="29" t="s">
        <v>1011</v>
      </c>
    </row>
    <row r="593" spans="1:17" ht="14.25" customHeight="1" x14ac:dyDescent="0.3">
      <c r="A593" s="28">
        <v>46156</v>
      </c>
      <c r="B593" s="29" t="s">
        <v>162</v>
      </c>
      <c r="C593" s="30" t="s">
        <v>96</v>
      </c>
      <c r="D593" s="30" t="s">
        <v>1043</v>
      </c>
      <c r="E593" s="31" t="s">
        <v>459</v>
      </c>
      <c r="F593" s="31" t="s">
        <v>111</v>
      </c>
      <c r="G593" s="30" t="s">
        <v>112</v>
      </c>
      <c r="H593" s="30" t="s">
        <v>135</v>
      </c>
      <c r="I593" s="32">
        <v>46156</v>
      </c>
      <c r="J593" s="30" t="s">
        <v>136</v>
      </c>
      <c r="K593" s="32" t="s">
        <v>42</v>
      </c>
      <c r="L593" s="30" t="s">
        <v>498</v>
      </c>
      <c r="M593" s="30" t="s">
        <v>460</v>
      </c>
      <c r="N593" s="37">
        <v>2735</v>
      </c>
      <c r="O593" s="34" t="s">
        <v>86</v>
      </c>
      <c r="P593" s="35" t="s">
        <v>304</v>
      </c>
      <c r="Q593" s="29" t="s">
        <v>1011</v>
      </c>
    </row>
    <row r="594" spans="1:17" ht="14.25" customHeight="1" x14ac:dyDescent="0.3">
      <c r="A594" s="28">
        <v>46158</v>
      </c>
      <c r="B594" s="29" t="s">
        <v>162</v>
      </c>
      <c r="C594" s="30" t="s">
        <v>96</v>
      </c>
      <c r="D594" s="30" t="s">
        <v>1044</v>
      </c>
      <c r="E594" s="31" t="s">
        <v>1045</v>
      </c>
      <c r="F594" s="31" t="s">
        <v>538</v>
      </c>
      <c r="G594" s="30" t="s">
        <v>81</v>
      </c>
      <c r="H594" s="30" t="s">
        <v>1046</v>
      </c>
      <c r="I594" s="32">
        <v>46158</v>
      </c>
      <c r="J594" s="30" t="s">
        <v>136</v>
      </c>
      <c r="K594" s="32" t="s">
        <v>44</v>
      </c>
      <c r="L594" s="30" t="s">
        <v>498</v>
      </c>
      <c r="M594" s="30" t="s">
        <v>539</v>
      </c>
      <c r="N594" s="37">
        <v>0</v>
      </c>
      <c r="O594" s="34" t="s">
        <v>86</v>
      </c>
      <c r="P594" s="35" t="s">
        <v>304</v>
      </c>
      <c r="Q594" s="29" t="s">
        <v>1011</v>
      </c>
    </row>
    <row r="595" spans="1:17" ht="14.25" customHeight="1" x14ac:dyDescent="0.3">
      <c r="A595" s="28">
        <v>46158</v>
      </c>
      <c r="B595" s="29" t="s">
        <v>162</v>
      </c>
      <c r="C595" s="30" t="s">
        <v>96</v>
      </c>
      <c r="D595" s="30" t="s">
        <v>1047</v>
      </c>
      <c r="E595" s="31" t="s">
        <v>1045</v>
      </c>
      <c r="F595" s="31" t="s">
        <v>538</v>
      </c>
      <c r="G595" s="30" t="s">
        <v>81</v>
      </c>
      <c r="H595" s="30" t="s">
        <v>1046</v>
      </c>
      <c r="I595" s="32">
        <v>46158</v>
      </c>
      <c r="J595" s="30" t="s">
        <v>136</v>
      </c>
      <c r="K595" s="32" t="s">
        <v>44</v>
      </c>
      <c r="L595" s="30" t="s">
        <v>498</v>
      </c>
      <c r="M595" s="30" t="s">
        <v>539</v>
      </c>
      <c r="N595" s="37">
        <v>0</v>
      </c>
      <c r="O595" s="34" t="s">
        <v>86</v>
      </c>
      <c r="P595" s="35" t="s">
        <v>304</v>
      </c>
      <c r="Q595" s="29" t="s">
        <v>1011</v>
      </c>
    </row>
    <row r="596" spans="1:17" ht="14.25" customHeight="1" x14ac:dyDescent="0.3">
      <c r="A596" s="28">
        <v>46158</v>
      </c>
      <c r="B596" s="29" t="s">
        <v>162</v>
      </c>
      <c r="C596" s="30" t="s">
        <v>103</v>
      </c>
      <c r="D596" s="30" t="s">
        <v>1048</v>
      </c>
      <c r="E596" s="31" t="s">
        <v>1049</v>
      </c>
      <c r="F596" s="31" t="s">
        <v>247</v>
      </c>
      <c r="G596" s="30" t="s">
        <v>81</v>
      </c>
      <c r="H596" s="30" t="s">
        <v>248</v>
      </c>
      <c r="I596" s="32">
        <v>46156</v>
      </c>
      <c r="J596" s="30" t="s">
        <v>83</v>
      </c>
      <c r="K596" s="32" t="s">
        <v>25</v>
      </c>
      <c r="L596" s="30" t="s">
        <v>114</v>
      </c>
      <c r="M596" s="30" t="s">
        <v>249</v>
      </c>
      <c r="N596" s="37">
        <v>0</v>
      </c>
      <c r="O596" s="34" t="s">
        <v>86</v>
      </c>
      <c r="P596" s="35" t="s">
        <v>304</v>
      </c>
      <c r="Q596" s="29" t="s">
        <v>1011</v>
      </c>
    </row>
    <row r="597" spans="1:17" ht="14.25" customHeight="1" x14ac:dyDescent="0.3">
      <c r="A597" s="28">
        <v>46158</v>
      </c>
      <c r="B597" s="29" t="s">
        <v>162</v>
      </c>
      <c r="C597" s="30" t="s">
        <v>103</v>
      </c>
      <c r="D597" s="30" t="s">
        <v>1050</v>
      </c>
      <c r="E597" s="31" t="s">
        <v>1049</v>
      </c>
      <c r="F597" s="31" t="s">
        <v>247</v>
      </c>
      <c r="G597" s="30" t="s">
        <v>81</v>
      </c>
      <c r="H597" s="30" t="s">
        <v>248</v>
      </c>
      <c r="I597" s="32">
        <v>46156</v>
      </c>
      <c r="J597" s="30" t="s">
        <v>83</v>
      </c>
      <c r="K597" s="32" t="s">
        <v>25</v>
      </c>
      <c r="L597" s="30" t="s">
        <v>114</v>
      </c>
      <c r="M597" s="30" t="s">
        <v>249</v>
      </c>
      <c r="N597" s="37">
        <v>0</v>
      </c>
      <c r="O597" s="34" t="s">
        <v>86</v>
      </c>
      <c r="P597" s="35" t="s">
        <v>304</v>
      </c>
      <c r="Q597" s="29" t="s">
        <v>1011</v>
      </c>
    </row>
    <row r="598" spans="1:17" ht="14.25" customHeight="1" x14ac:dyDescent="0.3">
      <c r="A598" s="28">
        <v>46158</v>
      </c>
      <c r="B598" s="29" t="s">
        <v>162</v>
      </c>
      <c r="C598" s="30" t="s">
        <v>103</v>
      </c>
      <c r="D598" s="30" t="s">
        <v>1051</v>
      </c>
      <c r="E598" s="31" t="s">
        <v>953</v>
      </c>
      <c r="F598" s="31" t="s">
        <v>209</v>
      </c>
      <c r="G598" s="30" t="s">
        <v>81</v>
      </c>
      <c r="H598" s="30" t="s">
        <v>804</v>
      </c>
      <c r="I598" s="32">
        <v>46156</v>
      </c>
      <c r="J598" s="30" t="s">
        <v>83</v>
      </c>
      <c r="K598" s="32" t="s">
        <v>28</v>
      </c>
      <c r="L598" s="30" t="s">
        <v>114</v>
      </c>
      <c r="M598" s="30" t="s">
        <v>211</v>
      </c>
      <c r="N598" s="37">
        <v>0</v>
      </c>
      <c r="O598" s="34" t="s">
        <v>86</v>
      </c>
      <c r="P598" s="35" t="s">
        <v>304</v>
      </c>
      <c r="Q598" s="29" t="s">
        <v>1011</v>
      </c>
    </row>
    <row r="599" spans="1:17" ht="14.25" customHeight="1" x14ac:dyDescent="0.3">
      <c r="A599" s="28">
        <v>46158</v>
      </c>
      <c r="B599" s="29" t="s">
        <v>162</v>
      </c>
      <c r="C599" s="30" t="s">
        <v>103</v>
      </c>
      <c r="D599" s="30" t="s">
        <v>1052</v>
      </c>
      <c r="E599" s="31" t="s">
        <v>953</v>
      </c>
      <c r="F599" s="31" t="s">
        <v>209</v>
      </c>
      <c r="G599" s="30" t="s">
        <v>81</v>
      </c>
      <c r="H599" s="30" t="s">
        <v>804</v>
      </c>
      <c r="I599" s="32">
        <v>46156</v>
      </c>
      <c r="J599" s="30" t="s">
        <v>83</v>
      </c>
      <c r="K599" s="32" t="s">
        <v>28</v>
      </c>
      <c r="L599" s="30" t="s">
        <v>114</v>
      </c>
      <c r="M599" s="30" t="s">
        <v>211</v>
      </c>
      <c r="N599" s="37">
        <v>0</v>
      </c>
      <c r="O599" s="34" t="s">
        <v>86</v>
      </c>
      <c r="P599" s="35" t="s">
        <v>304</v>
      </c>
      <c r="Q599" s="29" t="s">
        <v>1011</v>
      </c>
    </row>
    <row r="600" spans="1:17" ht="14.25" customHeight="1" x14ac:dyDescent="0.3">
      <c r="A600" s="28">
        <v>46159</v>
      </c>
      <c r="B600" s="29" t="s">
        <v>162</v>
      </c>
      <c r="C600" s="30" t="s">
        <v>77</v>
      </c>
      <c r="D600" s="30" t="s">
        <v>1053</v>
      </c>
      <c r="E600" s="31" t="s">
        <v>1054</v>
      </c>
      <c r="F600" s="31" t="s">
        <v>476</v>
      </c>
      <c r="G600" s="30" t="s">
        <v>81</v>
      </c>
      <c r="H600" s="30" t="s">
        <v>1022</v>
      </c>
      <c r="I600" s="32">
        <v>46159</v>
      </c>
      <c r="J600" s="30" t="s">
        <v>136</v>
      </c>
      <c r="K600" s="32" t="s">
        <v>42</v>
      </c>
      <c r="L600" s="30" t="s">
        <v>498</v>
      </c>
      <c r="M600" s="30" t="s">
        <v>1023</v>
      </c>
      <c r="N600" s="37">
        <v>0</v>
      </c>
      <c r="O600" s="34" t="s">
        <v>86</v>
      </c>
      <c r="P600" s="35" t="s">
        <v>304</v>
      </c>
      <c r="Q600" s="29" t="s">
        <v>1011</v>
      </c>
    </row>
    <row r="601" spans="1:17" ht="14.25" customHeight="1" x14ac:dyDescent="0.3">
      <c r="A601" s="28">
        <v>46161</v>
      </c>
      <c r="B601" s="29" t="s">
        <v>162</v>
      </c>
      <c r="C601" s="30" t="s">
        <v>925</v>
      </c>
      <c r="D601" s="30" t="s">
        <v>1055</v>
      </c>
      <c r="E601" s="31" t="s">
        <v>1056</v>
      </c>
      <c r="F601" s="31" t="s">
        <v>1057</v>
      </c>
      <c r="G601" s="30" t="s">
        <v>81</v>
      </c>
      <c r="H601" s="30" t="s">
        <v>1036</v>
      </c>
      <c r="I601" s="32">
        <v>46159</v>
      </c>
      <c r="J601" s="30" t="s">
        <v>83</v>
      </c>
      <c r="K601" s="32" t="s">
        <v>25</v>
      </c>
      <c r="L601" s="30" t="s">
        <v>84</v>
      </c>
      <c r="M601" s="30" t="s">
        <v>1058</v>
      </c>
      <c r="N601" s="37" t="s">
        <v>81</v>
      </c>
      <c r="O601" s="34" t="s">
        <v>86</v>
      </c>
      <c r="P601" s="35" t="s">
        <v>304</v>
      </c>
      <c r="Q601" s="29" t="s">
        <v>1011</v>
      </c>
    </row>
    <row r="602" spans="1:17" ht="14.25" customHeight="1" x14ac:dyDescent="0.3">
      <c r="A602" s="28">
        <v>46161</v>
      </c>
      <c r="B602" s="29" t="s">
        <v>162</v>
      </c>
      <c r="C602" s="30" t="s">
        <v>925</v>
      </c>
      <c r="D602" s="30" t="s">
        <v>1059</v>
      </c>
      <c r="E602" s="31" t="s">
        <v>1056</v>
      </c>
      <c r="F602" s="31" t="s">
        <v>1057</v>
      </c>
      <c r="G602" s="30" t="s">
        <v>81</v>
      </c>
      <c r="H602" s="30" t="s">
        <v>1036</v>
      </c>
      <c r="I602" s="32">
        <v>46159</v>
      </c>
      <c r="J602" s="30" t="s">
        <v>83</v>
      </c>
      <c r="K602" s="32" t="s">
        <v>25</v>
      </c>
      <c r="L602" s="30" t="s">
        <v>84</v>
      </c>
      <c r="M602" s="30" t="s">
        <v>1058</v>
      </c>
      <c r="N602" s="37" t="s">
        <v>81</v>
      </c>
      <c r="O602" s="34" t="s">
        <v>86</v>
      </c>
      <c r="P602" s="35" t="s">
        <v>304</v>
      </c>
      <c r="Q602" s="29" t="s">
        <v>1011</v>
      </c>
    </row>
    <row r="603" spans="1:17" ht="14.25" customHeight="1" x14ac:dyDescent="0.3">
      <c r="A603" s="28">
        <v>46162</v>
      </c>
      <c r="B603" s="29" t="s">
        <v>162</v>
      </c>
      <c r="C603" s="30" t="s">
        <v>96</v>
      </c>
      <c r="D603" s="30" t="s">
        <v>1060</v>
      </c>
      <c r="E603" s="31" t="s">
        <v>1061</v>
      </c>
      <c r="F603" s="31" t="s">
        <v>99</v>
      </c>
      <c r="G603" s="30" t="s">
        <v>81</v>
      </c>
      <c r="H603" s="30" t="s">
        <v>227</v>
      </c>
      <c r="I603" s="32">
        <v>46160</v>
      </c>
      <c r="J603" s="30" t="s">
        <v>83</v>
      </c>
      <c r="K603" s="32" t="s">
        <v>44</v>
      </c>
      <c r="L603" s="30" t="s">
        <v>84</v>
      </c>
      <c r="M603" s="30" t="s">
        <v>101</v>
      </c>
      <c r="N603" s="37" t="s">
        <v>81</v>
      </c>
      <c r="O603" s="34" t="s">
        <v>86</v>
      </c>
      <c r="P603" s="35" t="s">
        <v>304</v>
      </c>
      <c r="Q603" s="29" t="s">
        <v>1011</v>
      </c>
    </row>
    <row r="604" spans="1:17" ht="14.25" customHeight="1" x14ac:dyDescent="0.3">
      <c r="A604" s="28">
        <v>46162</v>
      </c>
      <c r="B604" s="29" t="s">
        <v>162</v>
      </c>
      <c r="C604" s="30" t="s">
        <v>96</v>
      </c>
      <c r="D604" s="30" t="s">
        <v>1062</v>
      </c>
      <c r="E604" s="31" t="s">
        <v>1061</v>
      </c>
      <c r="F604" s="31" t="s">
        <v>99</v>
      </c>
      <c r="G604" s="30" t="s">
        <v>81</v>
      </c>
      <c r="H604" s="30" t="s">
        <v>227</v>
      </c>
      <c r="I604" s="32">
        <v>46160</v>
      </c>
      <c r="J604" s="30" t="s">
        <v>83</v>
      </c>
      <c r="K604" s="32" t="s">
        <v>44</v>
      </c>
      <c r="L604" s="30" t="s">
        <v>84</v>
      </c>
      <c r="M604" s="30" t="s">
        <v>101</v>
      </c>
      <c r="N604" s="37" t="s">
        <v>81</v>
      </c>
      <c r="O604" s="34" t="s">
        <v>86</v>
      </c>
      <c r="P604" s="35" t="s">
        <v>304</v>
      </c>
      <c r="Q604" s="29" t="s">
        <v>1011</v>
      </c>
    </row>
    <row r="605" spans="1:17" ht="14.25" customHeight="1" x14ac:dyDescent="0.3">
      <c r="A605" s="28">
        <v>46163</v>
      </c>
      <c r="B605" s="29" t="s">
        <v>162</v>
      </c>
      <c r="C605" s="30" t="s">
        <v>77</v>
      </c>
      <c r="D605" s="30" t="s">
        <v>1063</v>
      </c>
      <c r="E605" s="31" t="s">
        <v>1064</v>
      </c>
      <c r="F605" s="31" t="s">
        <v>679</v>
      </c>
      <c r="G605" s="30" t="s">
        <v>112</v>
      </c>
      <c r="H605" s="30" t="s">
        <v>156</v>
      </c>
      <c r="I605" s="32">
        <v>46160</v>
      </c>
      <c r="J605" s="30" t="s">
        <v>83</v>
      </c>
      <c r="K605" s="32" t="s">
        <v>44</v>
      </c>
      <c r="L605" s="30" t="s">
        <v>84</v>
      </c>
      <c r="M605" s="30" t="s">
        <v>681</v>
      </c>
      <c r="N605" s="37">
        <v>2900</v>
      </c>
      <c r="O605" s="34" t="s">
        <v>86</v>
      </c>
      <c r="P605" s="35" t="s">
        <v>304</v>
      </c>
      <c r="Q605" s="29" t="s">
        <v>1011</v>
      </c>
    </row>
    <row r="606" spans="1:17" ht="14.25" customHeight="1" x14ac:dyDescent="0.3">
      <c r="A606" s="28">
        <v>46163</v>
      </c>
      <c r="B606" s="29" t="s">
        <v>162</v>
      </c>
      <c r="C606" s="30" t="s">
        <v>77</v>
      </c>
      <c r="D606" s="30" t="s">
        <v>1065</v>
      </c>
      <c r="E606" s="31" t="s">
        <v>1064</v>
      </c>
      <c r="F606" s="31" t="s">
        <v>679</v>
      </c>
      <c r="G606" s="30" t="s">
        <v>112</v>
      </c>
      <c r="H606" s="30" t="s">
        <v>156</v>
      </c>
      <c r="I606" s="32">
        <v>46160</v>
      </c>
      <c r="J606" s="30" t="s">
        <v>83</v>
      </c>
      <c r="K606" s="32" t="s">
        <v>44</v>
      </c>
      <c r="L606" s="30" t="s">
        <v>84</v>
      </c>
      <c r="M606" s="30" t="s">
        <v>681</v>
      </c>
      <c r="N606" s="37">
        <v>2900</v>
      </c>
      <c r="O606" s="34" t="s">
        <v>86</v>
      </c>
      <c r="P606" s="35" t="s">
        <v>304</v>
      </c>
      <c r="Q606" s="29" t="s">
        <v>1011</v>
      </c>
    </row>
    <row r="607" spans="1:17" ht="14.25" customHeight="1" x14ac:dyDescent="0.3">
      <c r="A607" s="28">
        <v>46163</v>
      </c>
      <c r="B607" s="29" t="s">
        <v>162</v>
      </c>
      <c r="C607" s="30" t="s">
        <v>77</v>
      </c>
      <c r="D607" s="30" t="s">
        <v>1066</v>
      </c>
      <c r="E607" s="31" t="s">
        <v>1064</v>
      </c>
      <c r="F607" s="31" t="s">
        <v>679</v>
      </c>
      <c r="G607" s="30" t="s">
        <v>112</v>
      </c>
      <c r="H607" s="30" t="s">
        <v>156</v>
      </c>
      <c r="I607" s="32">
        <v>46160</v>
      </c>
      <c r="J607" s="30" t="s">
        <v>83</v>
      </c>
      <c r="K607" s="32" t="s">
        <v>44</v>
      </c>
      <c r="L607" s="30" t="s">
        <v>84</v>
      </c>
      <c r="M607" s="30" t="s">
        <v>681</v>
      </c>
      <c r="N607" s="37">
        <v>2900</v>
      </c>
      <c r="O607" s="34" t="s">
        <v>86</v>
      </c>
      <c r="P607" s="35" t="s">
        <v>304</v>
      </c>
      <c r="Q607" s="29" t="s">
        <v>1011</v>
      </c>
    </row>
    <row r="608" spans="1:17" ht="14.25" customHeight="1" x14ac:dyDescent="0.3">
      <c r="A608" s="28">
        <v>46164</v>
      </c>
      <c r="B608" s="29" t="s">
        <v>162</v>
      </c>
      <c r="C608" s="30" t="s">
        <v>96</v>
      </c>
      <c r="D608" s="30" t="s">
        <v>1067</v>
      </c>
      <c r="E608" s="31" t="s">
        <v>961</v>
      </c>
      <c r="F608" s="31" t="s">
        <v>134</v>
      </c>
      <c r="G608" s="30" t="s">
        <v>81</v>
      </c>
      <c r="H608" s="30" t="s">
        <v>346</v>
      </c>
      <c r="I608" s="32">
        <v>46161</v>
      </c>
      <c r="J608" s="30" t="s">
        <v>136</v>
      </c>
      <c r="K608" s="32" t="s">
        <v>44</v>
      </c>
      <c r="L608" s="30" t="s">
        <v>498</v>
      </c>
      <c r="M608" s="30" t="s">
        <v>141</v>
      </c>
      <c r="N608" s="37" t="s">
        <v>81</v>
      </c>
      <c r="O608" s="34" t="s">
        <v>86</v>
      </c>
      <c r="P608" s="35" t="s">
        <v>304</v>
      </c>
      <c r="Q608" s="29" t="s">
        <v>1011</v>
      </c>
    </row>
    <row r="609" spans="1:17" ht="14.25" customHeight="1" x14ac:dyDescent="0.3">
      <c r="A609" s="28">
        <v>46165</v>
      </c>
      <c r="B609" s="29" t="s">
        <v>162</v>
      </c>
      <c r="C609" s="30" t="s">
        <v>96</v>
      </c>
      <c r="D609" s="30" t="s">
        <v>1068</v>
      </c>
      <c r="E609" s="31" t="s">
        <v>961</v>
      </c>
      <c r="F609" s="31" t="s">
        <v>134</v>
      </c>
      <c r="G609" s="30" t="s">
        <v>81</v>
      </c>
      <c r="H609" s="30" t="s">
        <v>346</v>
      </c>
      <c r="I609" s="32">
        <v>46164</v>
      </c>
      <c r="J609" s="30" t="s">
        <v>136</v>
      </c>
      <c r="K609" s="32" t="s">
        <v>44</v>
      </c>
      <c r="L609" s="30" t="s">
        <v>498</v>
      </c>
      <c r="M609" s="30" t="s">
        <v>138</v>
      </c>
      <c r="N609" s="37">
        <v>0</v>
      </c>
      <c r="O609" s="34" t="s">
        <v>86</v>
      </c>
      <c r="P609" s="35" t="s">
        <v>304</v>
      </c>
      <c r="Q609" s="29" t="s">
        <v>1011</v>
      </c>
    </row>
    <row r="610" spans="1:17" ht="14.25" customHeight="1" x14ac:dyDescent="0.3">
      <c r="A610" s="28">
        <v>46165</v>
      </c>
      <c r="B610" s="29" t="s">
        <v>162</v>
      </c>
      <c r="C610" s="30" t="s">
        <v>103</v>
      </c>
      <c r="D610" s="30" t="s">
        <v>1069</v>
      </c>
      <c r="E610" s="31" t="s">
        <v>971</v>
      </c>
      <c r="F610" s="31" t="s">
        <v>165</v>
      </c>
      <c r="G610" s="30" t="s">
        <v>81</v>
      </c>
      <c r="H610" s="30" t="s">
        <v>689</v>
      </c>
      <c r="I610" s="32">
        <v>46165</v>
      </c>
      <c r="J610" s="30" t="s">
        <v>83</v>
      </c>
      <c r="K610" s="32" t="s">
        <v>42</v>
      </c>
      <c r="L610" s="30" t="s">
        <v>114</v>
      </c>
      <c r="M610" s="30" t="s">
        <v>307</v>
      </c>
      <c r="N610" s="37" t="s">
        <v>81</v>
      </c>
      <c r="O610" s="34" t="s">
        <v>86</v>
      </c>
      <c r="P610" s="35" t="s">
        <v>304</v>
      </c>
      <c r="Q610" s="29" t="s">
        <v>1011</v>
      </c>
    </row>
    <row r="611" spans="1:17" ht="14.25" customHeight="1" x14ac:dyDescent="0.3">
      <c r="A611" s="28">
        <v>46165</v>
      </c>
      <c r="B611" s="29" t="s">
        <v>162</v>
      </c>
      <c r="C611" s="30" t="s">
        <v>103</v>
      </c>
      <c r="D611" s="30" t="s">
        <v>1070</v>
      </c>
      <c r="E611" s="31" t="s">
        <v>971</v>
      </c>
      <c r="F611" s="31" t="s">
        <v>165</v>
      </c>
      <c r="G611" s="30" t="s">
        <v>81</v>
      </c>
      <c r="H611" s="30" t="s">
        <v>689</v>
      </c>
      <c r="I611" s="32">
        <v>46165</v>
      </c>
      <c r="J611" s="30" t="s">
        <v>83</v>
      </c>
      <c r="K611" s="32" t="s">
        <v>42</v>
      </c>
      <c r="L611" s="30" t="s">
        <v>114</v>
      </c>
      <c r="M611" s="30" t="s">
        <v>307</v>
      </c>
      <c r="N611" s="37" t="s">
        <v>81</v>
      </c>
      <c r="O611" s="34" t="s">
        <v>86</v>
      </c>
      <c r="P611" s="35" t="s">
        <v>304</v>
      </c>
      <c r="Q611" s="29" t="s">
        <v>1011</v>
      </c>
    </row>
    <row r="612" spans="1:17" ht="14.25" customHeight="1" x14ac:dyDescent="0.3">
      <c r="A612" s="28">
        <v>46166</v>
      </c>
      <c r="B612" s="29" t="s">
        <v>162</v>
      </c>
      <c r="C612" s="30" t="s">
        <v>77</v>
      </c>
      <c r="D612" s="30" t="s">
        <v>1071</v>
      </c>
      <c r="E612" s="31" t="s">
        <v>1072</v>
      </c>
      <c r="F612" s="31" t="s">
        <v>253</v>
      </c>
      <c r="G612" s="30" t="s">
        <v>112</v>
      </c>
      <c r="H612" s="30" t="s">
        <v>672</v>
      </c>
      <c r="I612" s="32">
        <v>46162</v>
      </c>
      <c r="J612" s="30" t="s">
        <v>83</v>
      </c>
      <c r="K612" s="32" t="s">
        <v>44</v>
      </c>
      <c r="L612" s="30" t="s">
        <v>84</v>
      </c>
      <c r="M612" s="30" t="s">
        <v>85</v>
      </c>
      <c r="N612" s="37">
        <v>5275</v>
      </c>
      <c r="O612" s="34" t="s">
        <v>86</v>
      </c>
      <c r="P612" s="35" t="s">
        <v>304</v>
      </c>
      <c r="Q612" s="29" t="s">
        <v>1011</v>
      </c>
    </row>
    <row r="613" spans="1:17" ht="14.25" customHeight="1" x14ac:dyDescent="0.3">
      <c r="A613" s="28">
        <v>46166</v>
      </c>
      <c r="B613" s="29" t="s">
        <v>162</v>
      </c>
      <c r="C613" s="30" t="s">
        <v>77</v>
      </c>
      <c r="D613" s="30" t="s">
        <v>1073</v>
      </c>
      <c r="E613" s="31" t="s">
        <v>1072</v>
      </c>
      <c r="F613" s="31" t="s">
        <v>253</v>
      </c>
      <c r="G613" s="30" t="s">
        <v>112</v>
      </c>
      <c r="H613" s="30" t="s">
        <v>672</v>
      </c>
      <c r="I613" s="32">
        <v>46162</v>
      </c>
      <c r="J613" s="30" t="s">
        <v>83</v>
      </c>
      <c r="K613" s="32" t="s">
        <v>44</v>
      </c>
      <c r="L613" s="30" t="s">
        <v>84</v>
      </c>
      <c r="M613" s="30" t="s">
        <v>85</v>
      </c>
      <c r="N613" s="37">
        <v>5275</v>
      </c>
      <c r="O613" s="34" t="s">
        <v>86</v>
      </c>
      <c r="P613" s="35" t="s">
        <v>304</v>
      </c>
      <c r="Q613" s="29" t="s">
        <v>1011</v>
      </c>
    </row>
    <row r="614" spans="1:17" ht="14.25" customHeight="1" x14ac:dyDescent="0.3">
      <c r="A614" s="28">
        <v>46166</v>
      </c>
      <c r="B614" s="29" t="s">
        <v>162</v>
      </c>
      <c r="C614" s="30" t="s">
        <v>96</v>
      </c>
      <c r="D614" s="30" t="s">
        <v>1074</v>
      </c>
      <c r="E614" s="31" t="s">
        <v>1075</v>
      </c>
      <c r="F614" s="31" t="s">
        <v>134</v>
      </c>
      <c r="G614" s="30" t="s">
        <v>81</v>
      </c>
      <c r="H614" s="30" t="s">
        <v>544</v>
      </c>
      <c r="I614" s="32">
        <v>46162</v>
      </c>
      <c r="J614" s="30" t="s">
        <v>83</v>
      </c>
      <c r="K614" s="32" t="s">
        <v>44</v>
      </c>
      <c r="L614" s="30" t="s">
        <v>84</v>
      </c>
      <c r="M614" s="30" t="s">
        <v>1076</v>
      </c>
      <c r="N614" s="37" t="s">
        <v>81</v>
      </c>
      <c r="O614" s="34" t="s">
        <v>86</v>
      </c>
      <c r="P614" s="35" t="s">
        <v>304</v>
      </c>
      <c r="Q614" s="29" t="s">
        <v>1011</v>
      </c>
    </row>
    <row r="615" spans="1:17" ht="14.25" customHeight="1" x14ac:dyDescent="0.3">
      <c r="A615" s="28">
        <v>46166</v>
      </c>
      <c r="B615" s="29" t="s">
        <v>162</v>
      </c>
      <c r="C615" s="30" t="s">
        <v>96</v>
      </c>
      <c r="D615" s="30" t="s">
        <v>1077</v>
      </c>
      <c r="E615" s="31" t="s">
        <v>1075</v>
      </c>
      <c r="F615" s="31" t="s">
        <v>134</v>
      </c>
      <c r="G615" s="30" t="s">
        <v>81</v>
      </c>
      <c r="H615" s="30" t="s">
        <v>544</v>
      </c>
      <c r="I615" s="32">
        <v>46162</v>
      </c>
      <c r="J615" s="30" t="s">
        <v>83</v>
      </c>
      <c r="K615" s="32" t="s">
        <v>44</v>
      </c>
      <c r="L615" s="30" t="s">
        <v>84</v>
      </c>
      <c r="M615" s="30" t="s">
        <v>1076</v>
      </c>
      <c r="N615" s="37" t="s">
        <v>81</v>
      </c>
      <c r="O615" s="34" t="s">
        <v>86</v>
      </c>
      <c r="P615" s="35" t="s">
        <v>304</v>
      </c>
      <c r="Q615" s="29" t="s">
        <v>1011</v>
      </c>
    </row>
    <row r="616" spans="1:17" ht="14.25" customHeight="1" x14ac:dyDescent="0.3">
      <c r="A616" s="28">
        <v>46167</v>
      </c>
      <c r="B616" s="29" t="s">
        <v>162</v>
      </c>
      <c r="C616" s="30" t="s">
        <v>96</v>
      </c>
      <c r="D616" s="30" t="s">
        <v>1078</v>
      </c>
      <c r="E616" s="31" t="s">
        <v>930</v>
      </c>
      <c r="F616" s="31" t="s">
        <v>99</v>
      </c>
      <c r="G616" s="30" t="s">
        <v>81</v>
      </c>
      <c r="H616" s="30" t="s">
        <v>1079</v>
      </c>
      <c r="I616" s="32">
        <v>46165</v>
      </c>
      <c r="J616" s="30" t="s">
        <v>83</v>
      </c>
      <c r="K616" s="32" t="s">
        <v>44</v>
      </c>
      <c r="L616" s="30" t="s">
        <v>114</v>
      </c>
      <c r="M616" s="30" t="s">
        <v>101</v>
      </c>
      <c r="N616" s="37">
        <v>0</v>
      </c>
      <c r="O616" s="34" t="s">
        <v>86</v>
      </c>
      <c r="P616" s="35" t="s">
        <v>304</v>
      </c>
      <c r="Q616" s="29" t="s">
        <v>1011</v>
      </c>
    </row>
    <row r="617" spans="1:17" ht="14.25" customHeight="1" x14ac:dyDescent="0.3">
      <c r="A617" s="28">
        <v>46167</v>
      </c>
      <c r="B617" s="29" t="s">
        <v>162</v>
      </c>
      <c r="C617" s="30" t="s">
        <v>96</v>
      </c>
      <c r="D617" s="30" t="s">
        <v>1080</v>
      </c>
      <c r="E617" s="31" t="s">
        <v>930</v>
      </c>
      <c r="F617" s="31" t="s">
        <v>99</v>
      </c>
      <c r="G617" s="30" t="s">
        <v>81</v>
      </c>
      <c r="H617" s="30" t="s">
        <v>1079</v>
      </c>
      <c r="I617" s="32">
        <v>46165</v>
      </c>
      <c r="J617" s="30" t="s">
        <v>83</v>
      </c>
      <c r="K617" s="32" t="s">
        <v>44</v>
      </c>
      <c r="L617" s="30" t="s">
        <v>114</v>
      </c>
      <c r="M617" s="30" t="s">
        <v>101</v>
      </c>
      <c r="N617" s="37">
        <v>0</v>
      </c>
      <c r="O617" s="34" t="s">
        <v>86</v>
      </c>
      <c r="P617" s="35" t="s">
        <v>304</v>
      </c>
      <c r="Q617" s="29" t="s">
        <v>1011</v>
      </c>
    </row>
    <row r="618" spans="1:17" ht="14.25" customHeight="1" x14ac:dyDescent="0.3">
      <c r="A618" s="28">
        <v>46167</v>
      </c>
      <c r="B618" s="29" t="s">
        <v>162</v>
      </c>
      <c r="C618" s="30" t="s">
        <v>96</v>
      </c>
      <c r="D618" s="30" t="s">
        <v>1081</v>
      </c>
      <c r="E618" s="31" t="s">
        <v>1082</v>
      </c>
      <c r="F618" s="31" t="s">
        <v>365</v>
      </c>
      <c r="G618" s="30" t="s">
        <v>81</v>
      </c>
      <c r="H618" s="30" t="s">
        <v>1083</v>
      </c>
      <c r="I618" s="32">
        <v>46168</v>
      </c>
      <c r="J618" s="30" t="s">
        <v>83</v>
      </c>
      <c r="K618" s="32" t="s">
        <v>44</v>
      </c>
      <c r="L618" s="30" t="s">
        <v>114</v>
      </c>
      <c r="M618" s="30" t="s">
        <v>1084</v>
      </c>
      <c r="N618" s="37" t="s">
        <v>81</v>
      </c>
      <c r="O618" s="34" t="s">
        <v>86</v>
      </c>
      <c r="P618" s="35" t="s">
        <v>304</v>
      </c>
      <c r="Q618" s="29" t="s">
        <v>1011</v>
      </c>
    </row>
    <row r="619" spans="1:17" ht="14.25" customHeight="1" x14ac:dyDescent="0.3">
      <c r="A619" s="28">
        <v>46167</v>
      </c>
      <c r="B619" s="29" t="s">
        <v>162</v>
      </c>
      <c r="C619" s="30" t="s">
        <v>103</v>
      </c>
      <c r="D619" s="30" t="s">
        <v>1085</v>
      </c>
      <c r="E619" s="31" t="s">
        <v>971</v>
      </c>
      <c r="F619" s="31" t="s">
        <v>165</v>
      </c>
      <c r="G619" s="30" t="s">
        <v>81</v>
      </c>
      <c r="H619" s="30" t="s">
        <v>689</v>
      </c>
      <c r="I619" s="32">
        <v>46165</v>
      </c>
      <c r="J619" s="30" t="s">
        <v>83</v>
      </c>
      <c r="K619" s="32" t="s">
        <v>42</v>
      </c>
      <c r="L619" s="30" t="s">
        <v>114</v>
      </c>
      <c r="M619" s="30" t="s">
        <v>307</v>
      </c>
      <c r="N619" s="37" t="s">
        <v>81</v>
      </c>
      <c r="O619" s="34" t="s">
        <v>86</v>
      </c>
      <c r="P619" s="35" t="s">
        <v>304</v>
      </c>
      <c r="Q619" s="29" t="s">
        <v>1011</v>
      </c>
    </row>
    <row r="620" spans="1:17" ht="14.25" customHeight="1" x14ac:dyDescent="0.3">
      <c r="A620" s="28">
        <v>46168</v>
      </c>
      <c r="B620" s="29" t="s">
        <v>162</v>
      </c>
      <c r="C620" s="30" t="s">
        <v>77</v>
      </c>
      <c r="D620" s="30" t="s">
        <v>1086</v>
      </c>
      <c r="E620" s="31" t="s">
        <v>1087</v>
      </c>
      <c r="F620" s="31" t="s">
        <v>1088</v>
      </c>
      <c r="G620" s="30" t="s">
        <v>81</v>
      </c>
      <c r="H620" s="30" t="s">
        <v>1089</v>
      </c>
      <c r="I620" s="32">
        <v>46166</v>
      </c>
      <c r="J620" s="30" t="s">
        <v>83</v>
      </c>
      <c r="K620" s="32" t="s">
        <v>44</v>
      </c>
      <c r="L620" s="30" t="s">
        <v>114</v>
      </c>
      <c r="M620" s="30" t="s">
        <v>1090</v>
      </c>
      <c r="N620" s="37">
        <v>0</v>
      </c>
      <c r="O620" s="34" t="s">
        <v>86</v>
      </c>
      <c r="P620" s="35" t="s">
        <v>304</v>
      </c>
      <c r="Q620" s="29" t="s">
        <v>1011</v>
      </c>
    </row>
    <row r="621" spans="1:17" ht="14.25" customHeight="1" x14ac:dyDescent="0.3">
      <c r="A621" s="28">
        <v>46169</v>
      </c>
      <c r="B621" s="29" t="s">
        <v>162</v>
      </c>
      <c r="C621" s="30" t="s">
        <v>103</v>
      </c>
      <c r="D621" s="30" t="s">
        <v>1091</v>
      </c>
      <c r="E621" s="31" t="s">
        <v>953</v>
      </c>
      <c r="F621" s="31" t="s">
        <v>209</v>
      </c>
      <c r="G621" s="30" t="s">
        <v>81</v>
      </c>
      <c r="H621" s="30" t="s">
        <v>804</v>
      </c>
      <c r="I621" s="32">
        <v>46167</v>
      </c>
      <c r="J621" s="30" t="s">
        <v>83</v>
      </c>
      <c r="K621" s="32" t="s">
        <v>45</v>
      </c>
      <c r="L621" s="30" t="s">
        <v>114</v>
      </c>
      <c r="M621" s="30" t="s">
        <v>211</v>
      </c>
      <c r="N621" s="37">
        <v>0</v>
      </c>
      <c r="O621" s="34" t="s">
        <v>86</v>
      </c>
      <c r="P621" s="35" t="s">
        <v>304</v>
      </c>
      <c r="Q621" s="29" t="s">
        <v>1011</v>
      </c>
    </row>
    <row r="622" spans="1:17" ht="14.25" customHeight="1" x14ac:dyDescent="0.3">
      <c r="A622" s="28">
        <v>46169</v>
      </c>
      <c r="B622" s="29" t="s">
        <v>162</v>
      </c>
      <c r="C622" s="30" t="s">
        <v>103</v>
      </c>
      <c r="D622" s="30" t="s">
        <v>1092</v>
      </c>
      <c r="E622" s="31" t="s">
        <v>953</v>
      </c>
      <c r="F622" s="31" t="s">
        <v>209</v>
      </c>
      <c r="G622" s="30" t="s">
        <v>81</v>
      </c>
      <c r="H622" s="30" t="s">
        <v>804</v>
      </c>
      <c r="I622" s="32">
        <v>46167</v>
      </c>
      <c r="J622" s="30" t="s">
        <v>83</v>
      </c>
      <c r="K622" s="32" t="s">
        <v>45</v>
      </c>
      <c r="L622" s="30" t="s">
        <v>114</v>
      </c>
      <c r="M622" s="30" t="s">
        <v>211</v>
      </c>
      <c r="N622" s="37">
        <v>0</v>
      </c>
      <c r="O622" s="34" t="s">
        <v>86</v>
      </c>
      <c r="P622" s="35" t="s">
        <v>304</v>
      </c>
      <c r="Q622" s="29" t="s">
        <v>1011</v>
      </c>
    </row>
    <row r="623" spans="1:17" ht="14.25" customHeight="1" x14ac:dyDescent="0.3">
      <c r="A623" s="28">
        <v>46170</v>
      </c>
      <c r="B623" s="29" t="s">
        <v>162</v>
      </c>
      <c r="C623" s="30" t="s">
        <v>96</v>
      </c>
      <c r="D623" s="30" t="s">
        <v>1093</v>
      </c>
      <c r="E623" s="31" t="s">
        <v>930</v>
      </c>
      <c r="F623" s="31" t="s">
        <v>99</v>
      </c>
      <c r="G623" s="30" t="s">
        <v>112</v>
      </c>
      <c r="H623" s="30" t="s">
        <v>1079</v>
      </c>
      <c r="I623" s="32">
        <v>46170</v>
      </c>
      <c r="J623" s="30" t="s">
        <v>136</v>
      </c>
      <c r="K623" s="32" t="s">
        <v>44</v>
      </c>
      <c r="L623" s="30" t="s">
        <v>498</v>
      </c>
      <c r="M623" s="30" t="s">
        <v>101</v>
      </c>
      <c r="N623" s="37">
        <v>2626</v>
      </c>
      <c r="O623" s="34" t="s">
        <v>86</v>
      </c>
      <c r="P623" s="35" t="s">
        <v>304</v>
      </c>
      <c r="Q623" s="29" t="s">
        <v>1011</v>
      </c>
    </row>
    <row r="624" spans="1:17" ht="14.25" customHeight="1" x14ac:dyDescent="0.3">
      <c r="A624" s="28">
        <v>46170</v>
      </c>
      <c r="B624" s="29" t="s">
        <v>162</v>
      </c>
      <c r="C624" s="30" t="s">
        <v>96</v>
      </c>
      <c r="D624" s="30" t="s">
        <v>1094</v>
      </c>
      <c r="E624" s="31" t="s">
        <v>930</v>
      </c>
      <c r="F624" s="31" t="s">
        <v>99</v>
      </c>
      <c r="G624" s="30" t="s">
        <v>112</v>
      </c>
      <c r="H624" s="30" t="s">
        <v>1079</v>
      </c>
      <c r="I624" s="32">
        <v>46170</v>
      </c>
      <c r="J624" s="30" t="s">
        <v>136</v>
      </c>
      <c r="K624" s="32" t="s">
        <v>44</v>
      </c>
      <c r="L624" s="30" t="s">
        <v>498</v>
      </c>
      <c r="M624" s="30" t="s">
        <v>101</v>
      </c>
      <c r="N624" s="37">
        <v>2626</v>
      </c>
      <c r="O624" s="34" t="s">
        <v>86</v>
      </c>
      <c r="P624" s="35" t="s">
        <v>304</v>
      </c>
      <c r="Q624" s="29" t="s">
        <v>1011</v>
      </c>
    </row>
    <row r="625" spans="1:17" ht="14.25" customHeight="1" x14ac:dyDescent="0.3">
      <c r="A625" s="28">
        <v>46170</v>
      </c>
      <c r="B625" s="29" t="s">
        <v>162</v>
      </c>
      <c r="C625" s="30" t="s">
        <v>170</v>
      </c>
      <c r="D625" s="30" t="s">
        <v>1095</v>
      </c>
      <c r="E625" s="31" t="s">
        <v>996</v>
      </c>
      <c r="F625" s="31" t="s">
        <v>568</v>
      </c>
      <c r="G625" s="30" t="s">
        <v>81</v>
      </c>
      <c r="H625" s="30" t="s">
        <v>445</v>
      </c>
      <c r="I625" s="32">
        <v>46168</v>
      </c>
      <c r="J625" s="30" t="s">
        <v>83</v>
      </c>
      <c r="K625" s="32" t="s">
        <v>46</v>
      </c>
      <c r="L625" s="30" t="s">
        <v>114</v>
      </c>
      <c r="M625" s="30" t="s">
        <v>176</v>
      </c>
      <c r="N625" s="37" t="s">
        <v>81</v>
      </c>
      <c r="O625" s="34" t="s">
        <v>86</v>
      </c>
      <c r="P625" s="35" t="s">
        <v>304</v>
      </c>
      <c r="Q625" s="29" t="s">
        <v>1011</v>
      </c>
    </row>
    <row r="626" spans="1:17" ht="14.25" customHeight="1" x14ac:dyDescent="0.3">
      <c r="A626" s="28">
        <v>46171</v>
      </c>
      <c r="B626" s="29" t="s">
        <v>162</v>
      </c>
      <c r="C626" s="30" t="s">
        <v>103</v>
      </c>
      <c r="D626" s="30" t="s">
        <v>1096</v>
      </c>
      <c r="E626" s="31" t="s">
        <v>1097</v>
      </c>
      <c r="F626" s="31" t="s">
        <v>209</v>
      </c>
      <c r="G626" s="30" t="s">
        <v>81</v>
      </c>
      <c r="H626" s="30" t="s">
        <v>1098</v>
      </c>
      <c r="I626" s="32">
        <v>46169</v>
      </c>
      <c r="J626" s="30" t="s">
        <v>83</v>
      </c>
      <c r="K626" s="32" t="s">
        <v>23</v>
      </c>
      <c r="L626" s="30" t="s">
        <v>114</v>
      </c>
      <c r="M626" s="30" t="s">
        <v>625</v>
      </c>
      <c r="N626" s="37" t="s">
        <v>81</v>
      </c>
      <c r="O626" s="34" t="s">
        <v>86</v>
      </c>
      <c r="P626" s="35" t="s">
        <v>304</v>
      </c>
      <c r="Q626" s="29" t="s">
        <v>1011</v>
      </c>
    </row>
    <row r="627" spans="1:17" ht="14.25" customHeight="1" x14ac:dyDescent="0.3">
      <c r="A627" s="28">
        <v>46172</v>
      </c>
      <c r="B627" s="29" t="s">
        <v>162</v>
      </c>
      <c r="C627" s="30" t="s">
        <v>170</v>
      </c>
      <c r="D627" s="30"/>
      <c r="E627" s="31" t="s">
        <v>1099</v>
      </c>
      <c r="F627" s="31" t="s">
        <v>720</v>
      </c>
      <c r="G627" s="30" t="s">
        <v>334</v>
      </c>
      <c r="H627" s="30" t="s">
        <v>114</v>
      </c>
      <c r="I627" s="32"/>
      <c r="J627" s="30"/>
      <c r="K627" s="32"/>
      <c r="L627" s="30" t="s">
        <v>114</v>
      </c>
      <c r="M627" s="30" t="s">
        <v>723</v>
      </c>
      <c r="N627" s="37">
        <v>130000</v>
      </c>
      <c r="O627" s="34" t="s">
        <v>86</v>
      </c>
      <c r="P627" s="35" t="s">
        <v>304</v>
      </c>
      <c r="Q627" s="29" t="s">
        <v>1011</v>
      </c>
    </row>
    <row r="628" spans="1:17" ht="14.25" customHeight="1" x14ac:dyDescent="0.3">
      <c r="A628" s="28">
        <v>46173</v>
      </c>
      <c r="B628" s="29" t="s">
        <v>162</v>
      </c>
      <c r="C628" s="30" t="s">
        <v>170</v>
      </c>
      <c r="D628" s="30" t="s">
        <v>1100</v>
      </c>
      <c r="E628" s="31" t="s">
        <v>996</v>
      </c>
      <c r="F628" s="31" t="s">
        <v>568</v>
      </c>
      <c r="G628" s="30" t="s">
        <v>81</v>
      </c>
      <c r="H628" s="30" t="s">
        <v>445</v>
      </c>
      <c r="I628" s="32">
        <v>46170</v>
      </c>
      <c r="J628" s="30" t="s">
        <v>83</v>
      </c>
      <c r="K628" s="32" t="s">
        <v>46</v>
      </c>
      <c r="L628" s="30" t="s">
        <v>114</v>
      </c>
      <c r="M628" s="30" t="s">
        <v>176</v>
      </c>
      <c r="N628" s="37" t="s">
        <v>81</v>
      </c>
      <c r="O628" s="34" t="s">
        <v>86</v>
      </c>
      <c r="P628" s="35" t="s">
        <v>304</v>
      </c>
      <c r="Q628" s="29" t="s">
        <v>1011</v>
      </c>
    </row>
  </sheetData>
  <autoFilter ref="A1:Q628"/>
  <conditionalFormatting sqref="D136:D137">
    <cfRule type="duplicateValues" dxfId="21" priority="2"/>
    <cfRule type="duplicateValues" dxfId="20" priority="3"/>
    <cfRule type="duplicateValues" dxfId="19" priority="4"/>
    <cfRule type="duplicateValues" dxfId="18" priority="5"/>
    <cfRule type="duplicateValues" dxfId="17" priority="6"/>
    <cfRule type="duplicateValues" dxfId="16" priority="7"/>
  </conditionalFormatting>
  <conditionalFormatting sqref="A136:A137">
    <cfRule type="containsText" dxfId="15" priority="8" operator="containsText" text="Empty slot">
      <formula>NOT(ISERROR(SEARCH("Empty slot",A136)))</formula>
    </cfRule>
    <cfRule type="containsText" dxfId="14" priority="9" operator="containsText" text="Done">
      <formula>NOT(ISERROR(SEARCH("Done",A136)))</formula>
    </cfRule>
    <cfRule type="containsText" dxfId="13" priority="10" operator="containsText" text="UL">
      <formula>NOT(ISERROR(SEARCH("UL",A136)))</formula>
    </cfRule>
    <cfRule type="containsText" dxfId="12" priority="11" operator="containsText" text="Ready">
      <formula>NOT(ISERROR(SEARCH("Ready",A136)))</formula>
    </cfRule>
  </conditionalFormatting>
  <conditionalFormatting sqref="A2:A135 A138:A628">
    <cfRule type="containsText" dxfId="11" priority="12" operator="containsText" text="Empty slot">
      <formula>NOT(ISERROR(SEARCH("Empty slot",A2)))</formula>
    </cfRule>
    <cfRule type="containsText" dxfId="10" priority="13" operator="containsText" text="Done">
      <formula>NOT(ISERROR(SEARCH("Done",A2)))</formula>
    </cfRule>
    <cfRule type="containsText" dxfId="9" priority="14" operator="containsText" text="UL">
      <formula>NOT(ISERROR(SEARCH("UL",A2)))</formula>
    </cfRule>
    <cfRule type="containsText" dxfId="8" priority="15" operator="containsText" text="Ready">
      <formula>NOT(ISERROR(SEARCH("Ready",A2)))</formula>
    </cfRule>
  </conditionalFormatting>
  <conditionalFormatting sqref="Q1">
    <cfRule type="duplicateValues" dxfId="7" priority="16"/>
  </conditionalFormatting>
  <conditionalFormatting sqref="D1:D135 D138:D628 P1:P628">
    <cfRule type="duplicateValues" dxfId="6" priority="17"/>
  </conditionalFormatting>
  <conditionalFormatting sqref="D1:D135 D138:D628">
    <cfRule type="duplicateValues" dxfId="5" priority="18"/>
    <cfRule type="duplicateValues" dxfId="4" priority="19"/>
    <cfRule type="duplicateValues" dxfId="3" priority="20"/>
    <cfRule type="duplicateValues" dxfId="2" priority="21"/>
    <cfRule type="duplicateValues" dxfId="1" priority="2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28"/>
  <sheetViews>
    <sheetView showGridLines="0" zoomScale="89" zoomScaleNormal="89" workbookViewId="0">
      <pane ySplit="1" topLeftCell="A2" activePane="bottomLeft" state="frozen"/>
      <selection pane="bottomLeft" activeCell="E133" sqref="E133"/>
    </sheetView>
  </sheetViews>
  <sheetFormatPr defaultColWidth="8.6640625" defaultRowHeight="14.4" x14ac:dyDescent="0.3"/>
  <cols>
    <col min="1" max="1" width="12" style="13" customWidth="1"/>
    <col min="2" max="2" width="9" style="13" customWidth="1"/>
    <col min="3" max="3" width="16" style="13" customWidth="1"/>
    <col min="4" max="4" width="15.109375" style="13" customWidth="1"/>
    <col min="5" max="5" width="46.21875" style="13" customWidth="1"/>
    <col min="6" max="6" width="12.109375" style="13" customWidth="1"/>
    <col min="7" max="7" width="19.109375" style="13" customWidth="1"/>
    <col min="8" max="8" width="23.33203125" style="13" customWidth="1"/>
    <col min="9" max="9" width="16" style="13" customWidth="1"/>
    <col min="10" max="10" width="16.88671875" style="13" customWidth="1"/>
    <col min="11" max="12" width="17" style="13" customWidth="1"/>
    <col min="13" max="13" width="16.109375" style="13" customWidth="1"/>
    <col min="14" max="14" width="17.88671875" style="13" customWidth="1"/>
    <col min="15" max="15" width="15.44140625" style="13" customWidth="1"/>
    <col min="16" max="16" width="20.33203125" style="13" customWidth="1"/>
  </cols>
  <sheetData>
    <row r="1" spans="1:17" ht="30" customHeight="1" x14ac:dyDescent="0.3">
      <c r="A1" s="38" t="s">
        <v>1101</v>
      </c>
      <c r="B1" s="38" t="s">
        <v>1102</v>
      </c>
      <c r="C1" s="38" t="s">
        <v>1103</v>
      </c>
      <c r="D1" s="38" t="s">
        <v>66</v>
      </c>
      <c r="E1" s="38" t="s">
        <v>65</v>
      </c>
      <c r="F1" s="38" t="s">
        <v>7</v>
      </c>
      <c r="G1" s="38" t="s">
        <v>8</v>
      </c>
      <c r="H1" s="38" t="s">
        <v>9</v>
      </c>
      <c r="I1" s="38" t="s">
        <v>1104</v>
      </c>
      <c r="J1" s="38" t="s">
        <v>1105</v>
      </c>
      <c r="K1" s="38" t="s">
        <v>1106</v>
      </c>
      <c r="L1" s="38" t="s">
        <v>1107</v>
      </c>
      <c r="M1" s="38" t="s">
        <v>74</v>
      </c>
      <c r="N1" s="38" t="s">
        <v>13</v>
      </c>
      <c r="O1" s="38" t="s">
        <v>12</v>
      </c>
      <c r="P1" s="38" t="s">
        <v>1108</v>
      </c>
      <c r="Q1" s="13" t="s">
        <v>1109</v>
      </c>
    </row>
    <row r="2" spans="1:17" ht="14.25" customHeight="1" x14ac:dyDescent="0.3">
      <c r="A2" s="39" t="str">
        <f>IFERROR("FY"&amp;TEXT(MOD(IF(MONTH(Sheet1!A2)&gt;=4,YEAR(Sheet1!A2),YEAR(Sheet1!A2)-1),100),"00")&amp;"-"&amp;TEXT(MOD(IF(MONTH(Sheet1!A2)&gt;=4,YEAR(Sheet1!A2),YEAR(Sheet1!A2)-1)+1,100),"00"),"")</f>
        <v>FY25-26</v>
      </c>
      <c r="B2" s="40" t="str">
        <f>IFERROR("Q"&amp;IF(MONTH(Sheet1!A2)&gt;=4,IF(MONTH(Sheet1!A2)&lt;=6,1,IF(MONTH(Sheet1!A2)&lt;=9,2,3)),4),"")</f>
        <v>Q1</v>
      </c>
      <c r="C2" s="39" t="str">
        <f>IFERROR(Sheet1!C2,0)</f>
        <v>MEA</v>
      </c>
      <c r="D2" s="39" t="str">
        <f>IFERROR(Sheet1!F2,0)</f>
        <v>DI</v>
      </c>
      <c r="E2" s="39" t="str">
        <f>IFERROR(Sheet1!E2,0)</f>
        <v>Nahar Al Ajnas Auto Spre Prts Tradi, Dubai (In)</v>
      </c>
      <c r="F2" s="39" t="str">
        <f>IFERROR(IF(UPPER(TRIM(Sheet1!J2))="NH","Nhava Sheva",IF(UPPER(TRIM(Sheet1!J2))="ICD","ICD Dhannad",IF(UPPER(TRIM(Sheet1!J2))="TIHI","ICD Tihi",Sheet1!J2))),0)</f>
        <v>Nhava Sheva</v>
      </c>
      <c r="G2" s="39" t="str">
        <f>IFERROR(Sheet1!M2,0)</f>
        <v>Jebel Ali</v>
      </c>
      <c r="H2" s="39" t="str">
        <f>IFERROR(Sheet1!H2,0)</f>
        <v>GACIS CARGO</v>
      </c>
      <c r="I2" s="39" t="str">
        <f>IFERROR(Sheet1!G2,0)</f>
        <v>FOB</v>
      </c>
      <c r="J2" s="39" t="str">
        <f>IFERROR(Sheet1!K2,0)</f>
        <v>InterGlobe Marine</v>
      </c>
      <c r="K2" s="41">
        <f>IFERROR(Sheet1!A2,0)</f>
        <v>45751</v>
      </c>
      <c r="L2" s="41">
        <f>IFERROR(Sheet1!I2,0)</f>
        <v>45750</v>
      </c>
      <c r="M2" s="41">
        <f>IFERROR(Sheet1!P2,0)</f>
        <v>45753</v>
      </c>
      <c r="N2" s="42">
        <f>IFERROR(IF(ISNUMBER(Sheet1!N2),Sheet1!N2,0),0)</f>
        <v>0</v>
      </c>
      <c r="O2" s="42">
        <f>IFERROR(IF(TRIM(F2)="Nhava Sheva",SUMPRODUCT((UPPER(TRIM('Origin Costs'!$A$5:$A$44))=UPPER(TRIM(J2)))*'Origin Costs'!$C$5:$C$44),IF(TRIM(F2)="ICD Tihi",SUMPRODUCT((UPPER(TRIM('Origin Costs'!$A$49:$A$88))=UPPER(TRIM(J2)))*'Origin Costs'!$C$49:$C$88),IF(TRIM(F2)="ICD Dhannad",SUMPRODUCT((UPPER(TRIM('Origin Costs'!$A$93:$A$132))=UPPER(TRIM(J2)))*'Origin Costs'!$C$93:$C$132),0))),0)</f>
        <v>0</v>
      </c>
      <c r="P2" s="42">
        <f t="shared" ref="P2:P65" si="0">N2+O2</f>
        <v>0</v>
      </c>
      <c r="Q2" s="13" t="str">
        <f>IF(OR(Dashboard!$C$4="All Customers",$E2=Dashboard!$C$4),IF($E2="","",$P2+ROW()/10000000),"")</f>
        <v/>
      </c>
    </row>
    <row r="3" spans="1:17" ht="14.25" customHeight="1" x14ac:dyDescent="0.3">
      <c r="A3" s="43" t="str">
        <f>IFERROR("FY"&amp;TEXT(MOD(IF(MONTH(Sheet1!A3)&gt;=4,YEAR(Sheet1!A3),YEAR(Sheet1!A3)-1),100),"00")&amp;"-"&amp;TEXT(MOD(IF(MONTH(Sheet1!A3)&gt;=4,YEAR(Sheet1!A3),YEAR(Sheet1!A3)-1)+1,100),"00"),"")</f>
        <v>FY25-26</v>
      </c>
      <c r="B3" s="44" t="str">
        <f>IFERROR("Q"&amp;IF(MONTH(Sheet1!A3)&gt;=4,IF(MONTH(Sheet1!A3)&lt;=6,1,IF(MONTH(Sheet1!A3)&lt;=9,2,3)),4),"")</f>
        <v>Q1</v>
      </c>
      <c r="C3" s="43" t="str">
        <f>IFERROR(Sheet1!C3,0)</f>
        <v>MEA</v>
      </c>
      <c r="D3" s="43" t="str">
        <f>IFERROR(Sheet1!F3,0)</f>
        <v>DI</v>
      </c>
      <c r="E3" s="43" t="str">
        <f>IFERROR(Sheet1!E3,0)</f>
        <v>Nahar Al Ajnas Auto Spre Prts Tradi, Dubai (In)</v>
      </c>
      <c r="F3" s="43" t="str">
        <f>IFERROR(IF(UPPER(TRIM(Sheet1!J3))="NH","Nhava Sheva",IF(UPPER(TRIM(Sheet1!J3))="ICD","ICD Dhannad",IF(UPPER(TRIM(Sheet1!J3))="TIHI","ICD Tihi",Sheet1!J3))),0)</f>
        <v>Nhava Sheva</v>
      </c>
      <c r="G3" s="43" t="str">
        <f>IFERROR(Sheet1!M3,0)</f>
        <v>Jebel Ali</v>
      </c>
      <c r="H3" s="43" t="str">
        <f>IFERROR(Sheet1!H3,0)</f>
        <v>GACIS CARGO</v>
      </c>
      <c r="I3" s="43" t="str">
        <f>IFERROR(Sheet1!G3,0)</f>
        <v>FOB</v>
      </c>
      <c r="J3" s="43" t="str">
        <f>IFERROR(Sheet1!K3,0)</f>
        <v>InterGlobe Marine</v>
      </c>
      <c r="K3" s="45">
        <f>IFERROR(Sheet1!A3,0)</f>
        <v>45751</v>
      </c>
      <c r="L3" s="45">
        <f>IFERROR(Sheet1!I3,0)</f>
        <v>45750</v>
      </c>
      <c r="M3" s="45">
        <f>IFERROR(Sheet1!P3,0)</f>
        <v>45753</v>
      </c>
      <c r="N3" s="46">
        <f>IFERROR(IF(ISNUMBER(Sheet1!N3),Sheet1!N3,0),0)</f>
        <v>0</v>
      </c>
      <c r="O3" s="46">
        <f>IFERROR(IF(TRIM(F3)="Nhava Sheva",SUMPRODUCT((UPPER(TRIM('Origin Costs'!$A$5:$A$44))=UPPER(TRIM(J3)))*'Origin Costs'!$C$5:$C$44),IF(TRIM(F3)="ICD Tihi",SUMPRODUCT((UPPER(TRIM('Origin Costs'!$A$49:$A$88))=UPPER(TRIM(J3)))*'Origin Costs'!$C$49:$C$88),IF(TRIM(F3)="ICD Dhannad",SUMPRODUCT((UPPER(TRIM('Origin Costs'!$A$93:$A$132))=UPPER(TRIM(J3)))*'Origin Costs'!$C$93:$C$132),0))),0)</f>
        <v>0</v>
      </c>
      <c r="P3" s="46">
        <f t="shared" si="0"/>
        <v>0</v>
      </c>
      <c r="Q3" s="13" t="str">
        <f>IF(OR(Dashboard!$C$4="All Customers",$E3=Dashboard!$C$4),IF($E3="","",$P3+ROW()/10000000),"")</f>
        <v/>
      </c>
    </row>
    <row r="4" spans="1:17" ht="14.25" customHeight="1" x14ac:dyDescent="0.3">
      <c r="A4" s="39" t="str">
        <f>IFERROR("FY"&amp;TEXT(MOD(IF(MONTH(Sheet1!A4)&gt;=4,YEAR(Sheet1!A4),YEAR(Sheet1!A4)-1),100),"00")&amp;"-"&amp;TEXT(MOD(IF(MONTH(Sheet1!A4)&gt;=4,YEAR(Sheet1!A4),YEAR(Sheet1!A4)-1)+1,100),"00"),"")</f>
        <v>FY25-26</v>
      </c>
      <c r="B4" s="40" t="str">
        <f>IFERROR("Q"&amp;IF(MONTH(Sheet1!A4)&gt;=4,IF(MONTH(Sheet1!A4)&lt;=6,1,IF(MONTH(Sheet1!A4)&lt;=9,2,3)),4),"")</f>
        <v>Q1</v>
      </c>
      <c r="C4" s="39" t="str">
        <f>IFERROR(Sheet1!C4,0)</f>
        <v>MEA</v>
      </c>
      <c r="D4" s="39" t="str">
        <f>IFERROR(Sheet1!F4,0)</f>
        <v>Afghanistan</v>
      </c>
      <c r="E4" s="39" t="str">
        <f>IFERROR(Sheet1!E4,0)</f>
        <v>SHOAIB FAISAL QALANDARI LTD</v>
      </c>
      <c r="F4" s="39" t="str">
        <f>IFERROR(IF(UPPER(TRIM(Sheet1!J4))="NH","Nhava Sheva",IF(UPPER(TRIM(Sheet1!J4))="ICD","ICD Dhannad",IF(UPPER(TRIM(Sheet1!J4))="TIHI","ICD Tihi",Sheet1!J4))),0)</f>
        <v>Nhava Sheva</v>
      </c>
      <c r="G4" s="39" t="str">
        <f>IFERROR(Sheet1!M4,0)</f>
        <v>Jebel Ali</v>
      </c>
      <c r="H4" s="39" t="str">
        <f>IFERROR(Sheet1!H4,0)</f>
        <v>IGM Shipping</v>
      </c>
      <c r="I4" s="39" t="str">
        <f>IFERROR(Sheet1!G4,0)</f>
        <v>FOB</v>
      </c>
      <c r="J4" s="39" t="str">
        <f>IFERROR(Sheet1!K4,0)</f>
        <v>InterGlobe Marine</v>
      </c>
      <c r="K4" s="41">
        <f>IFERROR(Sheet1!A4,0)</f>
        <v>45752</v>
      </c>
      <c r="L4" s="41">
        <f>IFERROR(Sheet1!I4,0)</f>
        <v>45745</v>
      </c>
      <c r="M4" s="41">
        <f>IFERROR(Sheet1!P4,0)</f>
        <v>45754</v>
      </c>
      <c r="N4" s="42">
        <f>IFERROR(IF(ISNUMBER(Sheet1!N4),Sheet1!N4,0),0)</f>
        <v>0</v>
      </c>
      <c r="O4" s="42">
        <f>IFERROR(IF(TRIM(F4)="Nhava Sheva",SUMPRODUCT((UPPER(TRIM('Origin Costs'!$A$5:$A$44))=UPPER(TRIM(J4)))*'Origin Costs'!$C$5:$C$44),IF(TRIM(F4)="ICD Tihi",SUMPRODUCT((UPPER(TRIM('Origin Costs'!$A$49:$A$88))=UPPER(TRIM(J4)))*'Origin Costs'!$C$49:$C$88),IF(TRIM(F4)="ICD Dhannad",SUMPRODUCT((UPPER(TRIM('Origin Costs'!$A$93:$A$132))=UPPER(TRIM(J4)))*'Origin Costs'!$C$93:$C$132),0))),0)</f>
        <v>0</v>
      </c>
      <c r="P4" s="42">
        <f t="shared" si="0"/>
        <v>0</v>
      </c>
      <c r="Q4" s="13" t="str">
        <f>IF(OR(Dashboard!$C$4="All Customers",$E4=Dashboard!$C$4),IF($E4="","",$P4+ROW()/10000000),"")</f>
        <v/>
      </c>
    </row>
    <row r="5" spans="1:17" ht="14.25" customHeight="1" x14ac:dyDescent="0.3">
      <c r="A5" s="43" t="str">
        <f>IFERROR("FY"&amp;TEXT(MOD(IF(MONTH(Sheet1!A5)&gt;=4,YEAR(Sheet1!A5),YEAR(Sheet1!A5)-1),100),"00")&amp;"-"&amp;TEXT(MOD(IF(MONTH(Sheet1!A5)&gt;=4,YEAR(Sheet1!A5),YEAR(Sheet1!A5)-1)+1,100),"00"),"")</f>
        <v>FY25-26</v>
      </c>
      <c r="B5" s="44" t="str">
        <f>IFERROR("Q"&amp;IF(MONTH(Sheet1!A5)&gt;=4,IF(MONTH(Sheet1!A5)&lt;=6,1,IF(MONTH(Sheet1!A5)&lt;=9,2,3)),4),"")</f>
        <v>Q1</v>
      </c>
      <c r="C5" s="43" t="str">
        <f>IFERROR(Sheet1!C5,0)</f>
        <v>MEA</v>
      </c>
      <c r="D5" s="43" t="str">
        <f>IFERROR(Sheet1!F5,0)</f>
        <v>DI</v>
      </c>
      <c r="E5" s="43" t="str">
        <f>IFERROR(Sheet1!E5,0)</f>
        <v>Nahar Al Ajnas Auto Spre Prts Tradi, Dubai (In)</v>
      </c>
      <c r="F5" s="43" t="str">
        <f>IFERROR(IF(UPPER(TRIM(Sheet1!J5))="NH","Nhava Sheva",IF(UPPER(TRIM(Sheet1!J5))="ICD","ICD Dhannad",IF(UPPER(TRIM(Sheet1!J5))="TIHI","ICD Tihi",Sheet1!J5))),0)</f>
        <v>Nhava Sheva</v>
      </c>
      <c r="G5" s="43" t="str">
        <f>IFERROR(Sheet1!M5,0)</f>
        <v>Jebel Ali</v>
      </c>
      <c r="H5" s="43" t="str">
        <f>IFERROR(Sheet1!H5,0)</f>
        <v>GACIS CARGO</v>
      </c>
      <c r="I5" s="43" t="str">
        <f>IFERROR(Sheet1!G5,0)</f>
        <v>FOB</v>
      </c>
      <c r="J5" s="43" t="str">
        <f>IFERROR(Sheet1!K5,0)</f>
        <v>InterGlobe Marine</v>
      </c>
      <c r="K5" s="45">
        <f>IFERROR(Sheet1!A5,0)</f>
        <v>45751</v>
      </c>
      <c r="L5" s="45">
        <f>IFERROR(Sheet1!I5,0)</f>
        <v>45750</v>
      </c>
      <c r="M5" s="45">
        <f>IFERROR(Sheet1!P5,0)</f>
        <v>45759</v>
      </c>
      <c r="N5" s="46">
        <f>IFERROR(IF(ISNUMBER(Sheet1!N5),Sheet1!N5,0),0)</f>
        <v>0</v>
      </c>
      <c r="O5" s="46">
        <f>IFERROR(IF(TRIM(F5)="Nhava Sheva",SUMPRODUCT((UPPER(TRIM('Origin Costs'!$A$5:$A$44))=UPPER(TRIM(J5)))*'Origin Costs'!$C$5:$C$44),IF(TRIM(F5)="ICD Tihi",SUMPRODUCT((UPPER(TRIM('Origin Costs'!$A$49:$A$88))=UPPER(TRIM(J5)))*'Origin Costs'!$C$49:$C$88),IF(TRIM(F5)="ICD Dhannad",SUMPRODUCT((UPPER(TRIM('Origin Costs'!$A$93:$A$132))=UPPER(TRIM(J5)))*'Origin Costs'!$C$93:$C$132),0))),0)</f>
        <v>0</v>
      </c>
      <c r="P5" s="46">
        <f t="shared" si="0"/>
        <v>0</v>
      </c>
      <c r="Q5" s="13" t="str">
        <f>IF(OR(Dashboard!$C$4="All Customers",$E5=Dashboard!$C$4),IF($E5="","",$P5+ROW()/10000000),"")</f>
        <v/>
      </c>
    </row>
    <row r="6" spans="1:17" ht="14.25" customHeight="1" x14ac:dyDescent="0.3">
      <c r="A6" s="39" t="str">
        <f>IFERROR("FY"&amp;TEXT(MOD(IF(MONTH(Sheet1!A6)&gt;=4,YEAR(Sheet1!A6),YEAR(Sheet1!A6)-1),100),"00")&amp;"-"&amp;TEXT(MOD(IF(MONTH(Sheet1!A6)&gt;=4,YEAR(Sheet1!A6),YEAR(Sheet1!A6)-1)+1,100),"00"),"")</f>
        <v>FY25-26</v>
      </c>
      <c r="B6" s="40" t="str">
        <f>IFERROR("Q"&amp;IF(MONTH(Sheet1!A6)&gt;=4,IF(MONTH(Sheet1!A6)&lt;=6,1,IF(MONTH(Sheet1!A6)&lt;=9,2,3)),4),"")</f>
        <v>Q1</v>
      </c>
      <c r="C6" s="39" t="str">
        <f>IFERROR(Sheet1!C6,0)</f>
        <v>MEA</v>
      </c>
      <c r="D6" s="39" t="str">
        <f>IFERROR(Sheet1!F6,0)</f>
        <v>DI</v>
      </c>
      <c r="E6" s="39" t="str">
        <f>IFERROR(Sheet1!E6,0)</f>
        <v>Nahar Al Ajnas Auto Spre Prts Tradi, Dubai (In)</v>
      </c>
      <c r="F6" s="39" t="str">
        <f>IFERROR(IF(UPPER(TRIM(Sheet1!J6))="NH","Nhava Sheva",IF(UPPER(TRIM(Sheet1!J6))="ICD","ICD Dhannad",IF(UPPER(TRIM(Sheet1!J6))="TIHI","ICD Tihi",Sheet1!J6))),0)</f>
        <v>Nhava Sheva</v>
      </c>
      <c r="G6" s="39" t="str">
        <f>IFERROR(Sheet1!M6,0)</f>
        <v>Jebel Ali</v>
      </c>
      <c r="H6" s="39" t="str">
        <f>IFERROR(Sheet1!H6,0)</f>
        <v>GACIS CARGO</v>
      </c>
      <c r="I6" s="39" t="str">
        <f>IFERROR(Sheet1!G6,0)</f>
        <v>FOB</v>
      </c>
      <c r="J6" s="39" t="str">
        <f>IFERROR(Sheet1!K6,0)</f>
        <v>InterGlobe Marine</v>
      </c>
      <c r="K6" s="41">
        <f>IFERROR(Sheet1!A6,0)</f>
        <v>45751</v>
      </c>
      <c r="L6" s="41">
        <f>IFERROR(Sheet1!I6,0)</f>
        <v>45750</v>
      </c>
      <c r="M6" s="41">
        <f>IFERROR(Sheet1!P6,0)</f>
        <v>45759</v>
      </c>
      <c r="N6" s="42">
        <f>IFERROR(IF(ISNUMBER(Sheet1!N6),Sheet1!N6,0),0)</f>
        <v>0</v>
      </c>
      <c r="O6" s="42">
        <f>IFERROR(IF(TRIM(F6)="Nhava Sheva",SUMPRODUCT((UPPER(TRIM('Origin Costs'!$A$5:$A$44))=UPPER(TRIM(J6)))*'Origin Costs'!$C$5:$C$44),IF(TRIM(F6)="ICD Tihi",SUMPRODUCT((UPPER(TRIM('Origin Costs'!$A$49:$A$88))=UPPER(TRIM(J6)))*'Origin Costs'!$C$49:$C$88),IF(TRIM(F6)="ICD Dhannad",SUMPRODUCT((UPPER(TRIM('Origin Costs'!$A$93:$A$132))=UPPER(TRIM(J6)))*'Origin Costs'!$C$93:$C$132),0))),0)</f>
        <v>0</v>
      </c>
      <c r="P6" s="42">
        <f t="shared" si="0"/>
        <v>0</v>
      </c>
      <c r="Q6" s="13" t="str">
        <f>IF(OR(Dashboard!$C$4="All Customers",$E6=Dashboard!$C$4),IF($E6="","",$P6+ROW()/10000000),"")</f>
        <v/>
      </c>
    </row>
    <row r="7" spans="1:17" ht="14.25" customHeight="1" x14ac:dyDescent="0.3">
      <c r="A7" s="43" t="str">
        <f>IFERROR("FY"&amp;TEXT(MOD(IF(MONTH(Sheet1!A7)&gt;=4,YEAR(Sheet1!A7),YEAR(Sheet1!A7)-1),100),"00")&amp;"-"&amp;TEXT(MOD(IF(MONTH(Sheet1!A7)&gt;=4,YEAR(Sheet1!A7),YEAR(Sheet1!A7)-1)+1,100),"00"),"")</f>
        <v>FY25-26</v>
      </c>
      <c r="B7" s="44" t="str">
        <f>IFERROR("Q"&amp;IF(MONTH(Sheet1!A7)&gt;=4,IF(MONTH(Sheet1!A7)&lt;=6,1,IF(MONTH(Sheet1!A7)&lt;=9,2,3)),4),"")</f>
        <v>Q1</v>
      </c>
      <c r="C7" s="43" t="str">
        <f>IFERROR(Sheet1!C7,0)</f>
        <v>MEA</v>
      </c>
      <c r="D7" s="43" t="str">
        <f>IFERROR(Sheet1!F7,0)</f>
        <v>DI</v>
      </c>
      <c r="E7" s="43" t="str">
        <f>IFERROR(Sheet1!E7,0)</f>
        <v>Nahar Al Ajnas Auto Spre Prts Tradi, Dubai (In)</v>
      </c>
      <c r="F7" s="43" t="str">
        <f>IFERROR(IF(UPPER(TRIM(Sheet1!J7))="NH","Nhava Sheva",IF(UPPER(TRIM(Sheet1!J7))="ICD","ICD Dhannad",IF(UPPER(TRIM(Sheet1!J7))="TIHI","ICD Tihi",Sheet1!J7))),0)</f>
        <v>Nhava Sheva</v>
      </c>
      <c r="G7" s="43" t="str">
        <f>IFERROR(Sheet1!M7,0)</f>
        <v>Jebel Ali</v>
      </c>
      <c r="H7" s="43" t="str">
        <f>IFERROR(Sheet1!H7,0)</f>
        <v>GACIS CARGO</v>
      </c>
      <c r="I7" s="43" t="str">
        <f>IFERROR(Sheet1!G7,0)</f>
        <v>FOB</v>
      </c>
      <c r="J7" s="43" t="str">
        <f>IFERROR(Sheet1!K7,0)</f>
        <v>InterGlobe Marine</v>
      </c>
      <c r="K7" s="45">
        <f>IFERROR(Sheet1!A7,0)</f>
        <v>45751</v>
      </c>
      <c r="L7" s="45">
        <f>IFERROR(Sheet1!I7,0)</f>
        <v>45750</v>
      </c>
      <c r="M7" s="45">
        <f>IFERROR(Sheet1!P7,0)</f>
        <v>45759</v>
      </c>
      <c r="N7" s="46">
        <f>IFERROR(IF(ISNUMBER(Sheet1!N7),Sheet1!N7,0),0)</f>
        <v>0</v>
      </c>
      <c r="O7" s="46">
        <f>IFERROR(IF(TRIM(F7)="Nhava Sheva",SUMPRODUCT((UPPER(TRIM('Origin Costs'!$A$5:$A$44))=UPPER(TRIM(J7)))*'Origin Costs'!$C$5:$C$44),IF(TRIM(F7)="ICD Tihi",SUMPRODUCT((UPPER(TRIM('Origin Costs'!$A$49:$A$88))=UPPER(TRIM(J7)))*'Origin Costs'!$C$49:$C$88),IF(TRIM(F7)="ICD Dhannad",SUMPRODUCT((UPPER(TRIM('Origin Costs'!$A$93:$A$132))=UPPER(TRIM(J7)))*'Origin Costs'!$C$93:$C$132),0))),0)</f>
        <v>0</v>
      </c>
      <c r="P7" s="46">
        <f t="shared" si="0"/>
        <v>0</v>
      </c>
      <c r="Q7" s="13" t="str">
        <f>IF(OR(Dashboard!$C$4="All Customers",$E7=Dashboard!$C$4),IF($E7="","",$P7+ROW()/10000000),"")</f>
        <v/>
      </c>
    </row>
    <row r="8" spans="1:17" ht="14.25" customHeight="1" x14ac:dyDescent="0.3">
      <c r="A8" s="39" t="str">
        <f>IFERROR("FY"&amp;TEXT(MOD(IF(MONTH(Sheet1!A8)&gt;=4,YEAR(Sheet1!A8),YEAR(Sheet1!A8)-1),100),"00")&amp;"-"&amp;TEXT(MOD(IF(MONTH(Sheet1!A8)&gt;=4,YEAR(Sheet1!A8),YEAR(Sheet1!A8)-1)+1,100),"00"),"")</f>
        <v>FY25-26</v>
      </c>
      <c r="B8" s="40" t="str">
        <f>IFERROR("Q"&amp;IF(MONTH(Sheet1!A8)&gt;=4,IF(MONTH(Sheet1!A8)&lt;=6,1,IF(MONTH(Sheet1!A8)&lt;=9,2,3)),4),"")</f>
        <v>Q1</v>
      </c>
      <c r="C8" s="39" t="str">
        <f>IFERROR(Sheet1!C8,0)</f>
        <v>S.A.</v>
      </c>
      <c r="D8" s="39" t="str">
        <f>IFERROR(Sheet1!F8,0)</f>
        <v>Columbia</v>
      </c>
      <c r="E8" s="39" t="str">
        <f>IFERROR(Sheet1!E8,0)</f>
        <v>MULTILLANTAS ZONA LIBRE S.A., Panama</v>
      </c>
      <c r="F8" s="39" t="str">
        <f>IFERROR(IF(UPPER(TRIM(Sheet1!J8))="NH","Nhava Sheva",IF(UPPER(TRIM(Sheet1!J8))="ICD","ICD Dhannad",IF(UPPER(TRIM(Sheet1!J8))="TIHI","ICD Tihi",Sheet1!J8))),0)</f>
        <v>Nhava Sheva</v>
      </c>
      <c r="G8" s="39" t="str">
        <f>IFERROR(Sheet1!M8,0)</f>
        <v>Buenaventura</v>
      </c>
      <c r="H8" s="39" t="str">
        <f>IFERROR(Sheet1!H8,0)</f>
        <v>Pisces shipping</v>
      </c>
      <c r="I8" s="39" t="str">
        <f>IFERROR(Sheet1!G8,0)</f>
        <v>FOB</v>
      </c>
      <c r="J8" s="39" t="str">
        <f>IFERROR(Sheet1!K8,0)</f>
        <v>CMA</v>
      </c>
      <c r="K8" s="41">
        <f>IFERROR(Sheet1!A8,0)</f>
        <v>45762</v>
      </c>
      <c r="L8" s="41">
        <f>IFERROR(Sheet1!I8,0)</f>
        <v>45761</v>
      </c>
      <c r="M8" s="41">
        <f>IFERROR(Sheet1!P8,0)</f>
        <v>45763</v>
      </c>
      <c r="N8" s="42">
        <f>IFERROR(IF(ISNUMBER(Sheet1!N8),Sheet1!N8,0),0)</f>
        <v>0</v>
      </c>
      <c r="O8" s="42">
        <f>IFERROR(IF(TRIM(F8)="Nhava Sheva",SUMPRODUCT((UPPER(TRIM('Origin Costs'!$A$5:$A$44))=UPPER(TRIM(J8)))*'Origin Costs'!$C$5:$C$44),IF(TRIM(F8)="ICD Tihi",SUMPRODUCT((UPPER(TRIM('Origin Costs'!$A$49:$A$88))=UPPER(TRIM(J8)))*'Origin Costs'!$C$49:$C$88),IF(TRIM(F8)="ICD Dhannad",SUMPRODUCT((UPPER(TRIM('Origin Costs'!$A$93:$A$132))=UPPER(TRIM(J8)))*'Origin Costs'!$C$93:$C$132),0))),0)</f>
        <v>0</v>
      </c>
      <c r="P8" s="42">
        <f t="shared" si="0"/>
        <v>0</v>
      </c>
      <c r="Q8" s="13" t="str">
        <f>IF(OR(Dashboard!$C$4="All Customers",$E8=Dashboard!$C$4),IF($E8="","",$P8+ROW()/10000000),"")</f>
        <v/>
      </c>
    </row>
    <row r="9" spans="1:17" ht="14.25" customHeight="1" x14ac:dyDescent="0.3">
      <c r="A9" s="43" t="str">
        <f>IFERROR("FY"&amp;TEXT(MOD(IF(MONTH(Sheet1!A9)&gt;=4,YEAR(Sheet1!A9),YEAR(Sheet1!A9)-1),100),"00")&amp;"-"&amp;TEXT(MOD(IF(MONTH(Sheet1!A9)&gt;=4,YEAR(Sheet1!A9),YEAR(Sheet1!A9)-1)+1,100),"00"),"")</f>
        <v>FY25-26</v>
      </c>
      <c r="B9" s="44" t="str">
        <f>IFERROR("Q"&amp;IF(MONTH(Sheet1!A9)&gt;=4,IF(MONTH(Sheet1!A9)&lt;=6,1,IF(MONTH(Sheet1!A9)&lt;=9,2,3)),4),"")</f>
        <v>Q1</v>
      </c>
      <c r="C9" s="43" t="str">
        <f>IFERROR(Sheet1!C9,0)</f>
        <v>S.A.</v>
      </c>
      <c r="D9" s="43" t="str">
        <f>IFERROR(Sheet1!F9,0)</f>
        <v>Columbia</v>
      </c>
      <c r="E9" s="43" t="str">
        <f>IFERROR(Sheet1!E9,0)</f>
        <v>MULTILLANTAS ZONA LIBRE S.A., Panama</v>
      </c>
      <c r="F9" s="43" t="str">
        <f>IFERROR(IF(UPPER(TRIM(Sheet1!J9))="NH","Nhava Sheva",IF(UPPER(TRIM(Sheet1!J9))="ICD","ICD Dhannad",IF(UPPER(TRIM(Sheet1!J9))="TIHI","ICD Tihi",Sheet1!J9))),0)</f>
        <v>Nhava Sheva</v>
      </c>
      <c r="G9" s="43" t="str">
        <f>IFERROR(Sheet1!M9,0)</f>
        <v>Buenaventura</v>
      </c>
      <c r="H9" s="43" t="str">
        <f>IFERROR(Sheet1!H9,0)</f>
        <v>Pisces shipping</v>
      </c>
      <c r="I9" s="43" t="str">
        <f>IFERROR(Sheet1!G9,0)</f>
        <v>FOB</v>
      </c>
      <c r="J9" s="43" t="str">
        <f>IFERROR(Sheet1!K9,0)</f>
        <v>CMA</v>
      </c>
      <c r="K9" s="45">
        <f>IFERROR(Sheet1!A9,0)</f>
        <v>45762</v>
      </c>
      <c r="L9" s="45">
        <f>IFERROR(Sheet1!I9,0)</f>
        <v>45761</v>
      </c>
      <c r="M9" s="45">
        <f>IFERROR(Sheet1!P9,0)</f>
        <v>45766</v>
      </c>
      <c r="N9" s="46">
        <f>IFERROR(IF(ISNUMBER(Sheet1!N9),Sheet1!N9,0),0)</f>
        <v>0</v>
      </c>
      <c r="O9" s="46">
        <f>IFERROR(IF(TRIM(F9)="Nhava Sheva",SUMPRODUCT((UPPER(TRIM('Origin Costs'!$A$5:$A$44))=UPPER(TRIM(J9)))*'Origin Costs'!$C$5:$C$44),IF(TRIM(F9)="ICD Tihi",SUMPRODUCT((UPPER(TRIM('Origin Costs'!$A$49:$A$88))=UPPER(TRIM(J9)))*'Origin Costs'!$C$49:$C$88),IF(TRIM(F9)="ICD Dhannad",SUMPRODUCT((UPPER(TRIM('Origin Costs'!$A$93:$A$132))=UPPER(TRIM(J9)))*'Origin Costs'!$C$93:$C$132),0))),0)</f>
        <v>0</v>
      </c>
      <c r="P9" s="46">
        <f t="shared" si="0"/>
        <v>0</v>
      </c>
      <c r="Q9" s="13" t="str">
        <f>IF(OR(Dashboard!$C$4="All Customers",$E9=Dashboard!$C$4),IF($E9="","",$P9+ROW()/10000000),"")</f>
        <v/>
      </c>
    </row>
    <row r="10" spans="1:17" ht="14.25" customHeight="1" x14ac:dyDescent="0.3">
      <c r="A10" s="39" t="str">
        <f>IFERROR("FY"&amp;TEXT(MOD(IF(MONTH(Sheet1!A10)&gt;=4,YEAR(Sheet1!A10),YEAR(Sheet1!A10)-1),100),"00")&amp;"-"&amp;TEXT(MOD(IF(MONTH(Sheet1!A10)&gt;=4,YEAR(Sheet1!A10),YEAR(Sheet1!A10)-1)+1,100),"00"),"")</f>
        <v>FY25-26</v>
      </c>
      <c r="B10" s="40" t="str">
        <f>IFERROR("Q"&amp;IF(MONTH(Sheet1!A10)&gt;=4,IF(MONTH(Sheet1!A10)&lt;=6,1,IF(MONTH(Sheet1!A10)&lt;=9,2,3)),4),"")</f>
        <v>Q1</v>
      </c>
      <c r="C10" s="39" t="str">
        <f>IFERROR(Sheet1!C10,0)</f>
        <v>Europe</v>
      </c>
      <c r="D10" s="39" t="str">
        <f>IFERROR(Sheet1!F10,0)</f>
        <v>United Kingdom</v>
      </c>
      <c r="E10" s="39" t="str">
        <f>IFERROR(Sheet1!E10,0)</f>
        <v>BA Bush Tyres</v>
      </c>
      <c r="F10" s="39" t="str">
        <f>IFERROR(IF(UPPER(TRIM(Sheet1!J10))="NH","Nhava Sheva",IF(UPPER(TRIM(Sheet1!J10))="ICD","ICD Dhannad",IF(UPPER(TRIM(Sheet1!J10))="TIHI","ICD Tihi",Sheet1!J10))),0)</f>
        <v>ICD Dhannad</v>
      </c>
      <c r="G10" s="39" t="str">
        <f>IFERROR(Sheet1!M10,0)</f>
        <v>London Gateway</v>
      </c>
      <c r="H10" s="39" t="str">
        <f>IFERROR(Sheet1!H10,0)</f>
        <v>Transbox</v>
      </c>
      <c r="I10" s="39" t="str">
        <f>IFERROR(Sheet1!G10,0)</f>
        <v>FOB</v>
      </c>
      <c r="J10" s="39" t="str">
        <f>IFERROR(Sheet1!K10,0)</f>
        <v>Hapag</v>
      </c>
      <c r="K10" s="41">
        <f>IFERROR(Sheet1!A10,0)</f>
        <v>45769</v>
      </c>
      <c r="L10" s="41">
        <f>IFERROR(Sheet1!I10,0)</f>
        <v>45769</v>
      </c>
      <c r="M10" s="41">
        <f>IFERROR(Sheet1!P10,0)</f>
        <v>45768</v>
      </c>
      <c r="N10" s="42">
        <f>IFERROR(IF(ISNUMBER(Sheet1!N10),Sheet1!N10,0),0)</f>
        <v>1325</v>
      </c>
      <c r="O10" s="42">
        <f>IFERROR(IF(TRIM(F10)="Nhava Sheva",SUMPRODUCT((UPPER(TRIM('Origin Costs'!$A$5:$A$44))=UPPER(TRIM(J10)))*'Origin Costs'!$C$5:$C$44),IF(TRIM(F10)="ICD Tihi",SUMPRODUCT((UPPER(TRIM('Origin Costs'!$A$49:$A$88))=UPPER(TRIM(J10)))*'Origin Costs'!$C$49:$C$88),IF(TRIM(F10)="ICD Dhannad",SUMPRODUCT((UPPER(TRIM('Origin Costs'!$A$93:$A$132))=UPPER(TRIM(J10)))*'Origin Costs'!$C$93:$C$132),0))),0)</f>
        <v>1209.3888888888889</v>
      </c>
      <c r="P10" s="42">
        <f t="shared" si="0"/>
        <v>2534.3888888888887</v>
      </c>
      <c r="Q10" s="13" t="str">
        <f>IF(OR(Dashboard!$C$4="All Customers",$E10=Dashboard!$C$4),IF($E10="","",$P10+ROW()/10000000),"")</f>
        <v/>
      </c>
    </row>
    <row r="11" spans="1:17" ht="14.25" customHeight="1" x14ac:dyDescent="0.3">
      <c r="A11" s="43" t="str">
        <f>IFERROR("FY"&amp;TEXT(MOD(IF(MONTH(Sheet1!A11)&gt;=4,YEAR(Sheet1!A11),YEAR(Sheet1!A11)-1),100),"00")&amp;"-"&amp;TEXT(MOD(IF(MONTH(Sheet1!A11)&gt;=4,YEAR(Sheet1!A11),YEAR(Sheet1!A11)-1)+1,100),"00"),"")</f>
        <v>FY25-26</v>
      </c>
      <c r="B11" s="44" t="str">
        <f>IFERROR("Q"&amp;IF(MONTH(Sheet1!A11)&gt;=4,IF(MONTH(Sheet1!A11)&lt;=6,1,IF(MONTH(Sheet1!A11)&lt;=9,2,3)),4),"")</f>
        <v>Q1</v>
      </c>
      <c r="C11" s="43" t="str">
        <f>IFERROR(Sheet1!C11,0)</f>
        <v>S.A.</v>
      </c>
      <c r="D11" s="43" t="str">
        <f>IFERROR(Sheet1!F11,0)</f>
        <v>Panama</v>
      </c>
      <c r="E11" s="43" t="str">
        <f>IFERROR(Sheet1!E11,0)</f>
        <v>MULTILLANTAS ZONA LIBRE S.A., Panama</v>
      </c>
      <c r="F11" s="43" t="str">
        <f>IFERROR(IF(UPPER(TRIM(Sheet1!J11))="NH","Nhava Sheva",IF(UPPER(TRIM(Sheet1!J11))="ICD","ICD Dhannad",IF(UPPER(TRIM(Sheet1!J11))="TIHI","ICD Tihi",Sheet1!J11))),0)</f>
        <v>Nhava Sheva</v>
      </c>
      <c r="G11" s="43" t="str">
        <f>IFERROR(Sheet1!M11,0)</f>
        <v>Manzanilo</v>
      </c>
      <c r="H11" s="43" t="str">
        <f>IFERROR(Sheet1!H11,0)</f>
        <v>Kotak Global</v>
      </c>
      <c r="I11" s="43" t="str">
        <f>IFERROR(Sheet1!G11,0)</f>
        <v>CIF</v>
      </c>
      <c r="J11" s="43" t="str">
        <f>IFERROR(Sheet1!K11,0)</f>
        <v>Evergreen</v>
      </c>
      <c r="K11" s="45">
        <f>IFERROR(Sheet1!A11,0)</f>
        <v>45768</v>
      </c>
      <c r="L11" s="45">
        <f>IFERROR(Sheet1!I11,0)</f>
        <v>45766</v>
      </c>
      <c r="M11" s="45">
        <f>IFERROR(Sheet1!P11,0)</f>
        <v>45768</v>
      </c>
      <c r="N11" s="46">
        <f>IFERROR(IF(ISNUMBER(Sheet1!N11),Sheet1!N11,0),0)</f>
        <v>3350</v>
      </c>
      <c r="O11" s="46">
        <f>IFERROR(IF(TRIM(F11)="Nhava Sheva",SUMPRODUCT((UPPER(TRIM('Origin Costs'!$A$5:$A$44))=UPPER(TRIM(J11)))*'Origin Costs'!$C$5:$C$44),IF(TRIM(F11)="ICD Tihi",SUMPRODUCT((UPPER(TRIM('Origin Costs'!$A$49:$A$88))=UPPER(TRIM(J11)))*'Origin Costs'!$C$49:$C$88),IF(TRIM(F11)="ICD Dhannad",SUMPRODUCT((UPPER(TRIM('Origin Costs'!$A$93:$A$132))=UPPER(TRIM(J11)))*'Origin Costs'!$C$93:$C$132),0))),0)</f>
        <v>0</v>
      </c>
      <c r="P11" s="46">
        <f t="shared" si="0"/>
        <v>3350</v>
      </c>
      <c r="Q11" s="13" t="str">
        <f>IF(OR(Dashboard!$C$4="All Customers",$E11=Dashboard!$C$4),IF($E11="","",$P11+ROW()/10000000),"")</f>
        <v/>
      </c>
    </row>
    <row r="12" spans="1:17" ht="14.25" customHeight="1" x14ac:dyDescent="0.3">
      <c r="A12" s="39" t="str">
        <f>IFERROR("FY"&amp;TEXT(MOD(IF(MONTH(Sheet1!A12)&gt;=4,YEAR(Sheet1!A12),YEAR(Sheet1!A12)-1),100),"00")&amp;"-"&amp;TEXT(MOD(IF(MONTH(Sheet1!A12)&gt;=4,YEAR(Sheet1!A12),YEAR(Sheet1!A12)-1)+1,100),"00"),"")</f>
        <v>FY25-26</v>
      </c>
      <c r="B12" s="40" t="str">
        <f>IFERROR("Q"&amp;IF(MONTH(Sheet1!A12)&gt;=4,IF(MONTH(Sheet1!A12)&lt;=6,1,IF(MONTH(Sheet1!A12)&lt;=9,2,3)),4),"")</f>
        <v>Q1</v>
      </c>
      <c r="C12" s="39" t="str">
        <f>IFERROR(Sheet1!C12,0)</f>
        <v>Europe</v>
      </c>
      <c r="D12" s="39" t="str">
        <f>IFERROR(Sheet1!F12,0)</f>
        <v>Spain</v>
      </c>
      <c r="E12" s="39" t="str">
        <f>IFERROR(Sheet1!E12,0)</f>
        <v>TRADELUC FZE LLC, Spain</v>
      </c>
      <c r="F12" s="39" t="str">
        <f>IFERROR(IF(UPPER(TRIM(Sheet1!J12))="NH","Nhava Sheva",IF(UPPER(TRIM(Sheet1!J12))="ICD","ICD Dhannad",IF(UPPER(TRIM(Sheet1!J12))="TIHI","ICD Tihi",Sheet1!J12))),0)</f>
        <v>Nhava Sheva</v>
      </c>
      <c r="G12" s="39" t="str">
        <f>IFERROR(Sheet1!M12,0)</f>
        <v>Valencia</v>
      </c>
      <c r="H12" s="39" t="str">
        <f>IFERROR(Sheet1!H12,0)</f>
        <v>Active Shipping</v>
      </c>
      <c r="I12" s="39" t="str">
        <f>IFERROR(Sheet1!G12,0)</f>
        <v>FOB</v>
      </c>
      <c r="J12" s="39" t="str">
        <f>IFERROR(Sheet1!K12,0)</f>
        <v>Hyundai</v>
      </c>
      <c r="K12" s="41">
        <f>IFERROR(Sheet1!A12,0)</f>
        <v>45767</v>
      </c>
      <c r="L12" s="41">
        <f>IFERROR(Sheet1!I12,0)</f>
        <v>45765</v>
      </c>
      <c r="M12" s="41">
        <f>IFERROR(Sheet1!P12,0)</f>
        <v>45768</v>
      </c>
      <c r="N12" s="42">
        <f>IFERROR(IF(ISNUMBER(Sheet1!N12),Sheet1!N12,0),0)</f>
        <v>0</v>
      </c>
      <c r="O12" s="42">
        <f>IFERROR(IF(TRIM(F12)="Nhava Sheva",SUMPRODUCT((UPPER(TRIM('Origin Costs'!$A$5:$A$44))=UPPER(TRIM(J12)))*'Origin Costs'!$C$5:$C$44),IF(TRIM(F12)="ICD Tihi",SUMPRODUCT((UPPER(TRIM('Origin Costs'!$A$49:$A$88))=UPPER(TRIM(J12)))*'Origin Costs'!$C$49:$C$88),IF(TRIM(F12)="ICD Dhannad",SUMPRODUCT((UPPER(TRIM('Origin Costs'!$A$93:$A$132))=UPPER(TRIM(J12)))*'Origin Costs'!$C$93:$C$132),0))),0)</f>
        <v>0</v>
      </c>
      <c r="P12" s="42">
        <f t="shared" si="0"/>
        <v>0</v>
      </c>
      <c r="Q12" s="13" t="str">
        <f>IF(OR(Dashboard!$C$4="All Customers",$E12=Dashboard!$C$4),IF($E12="","",$P12+ROW()/10000000),"")</f>
        <v/>
      </c>
    </row>
    <row r="13" spans="1:17" ht="14.25" customHeight="1" x14ac:dyDescent="0.3">
      <c r="A13" s="43" t="str">
        <f>IFERROR("FY"&amp;TEXT(MOD(IF(MONTH(Sheet1!A13)&gt;=4,YEAR(Sheet1!A13),YEAR(Sheet1!A13)-1),100),"00")&amp;"-"&amp;TEXT(MOD(IF(MONTH(Sheet1!A13)&gt;=4,YEAR(Sheet1!A13),YEAR(Sheet1!A13)-1)+1,100),"00"),"")</f>
        <v>FY25-26</v>
      </c>
      <c r="B13" s="44" t="str">
        <f>IFERROR("Q"&amp;IF(MONTH(Sheet1!A13)&gt;=4,IF(MONTH(Sheet1!A13)&lt;=6,1,IF(MONTH(Sheet1!A13)&lt;=9,2,3)),4),"")</f>
        <v>Q1</v>
      </c>
      <c r="C13" s="43" t="str">
        <f>IFERROR(Sheet1!C13,0)</f>
        <v>MEA</v>
      </c>
      <c r="D13" s="43" t="str">
        <f>IFERROR(Sheet1!F13,0)</f>
        <v>Sudan</v>
      </c>
      <c r="E13" s="43" t="str">
        <f>IFERROR(Sheet1!E13,0)</f>
        <v>Al Rabee - Sudan</v>
      </c>
      <c r="F13" s="43" t="str">
        <f>IFERROR(IF(UPPER(TRIM(Sheet1!J13))="NH","Nhava Sheva",IF(UPPER(TRIM(Sheet1!J13))="ICD","ICD Dhannad",IF(UPPER(TRIM(Sheet1!J13))="TIHI","ICD Tihi",Sheet1!J13))),0)</f>
        <v>Nhava Sheva</v>
      </c>
      <c r="G13" s="43" t="str">
        <f>IFERROR(Sheet1!M13,0)</f>
        <v>Sudan Port</v>
      </c>
      <c r="H13" s="43" t="str">
        <f>IFERROR(Sheet1!H13,0)</f>
        <v>Hind Freight</v>
      </c>
      <c r="I13" s="43" t="str">
        <f>IFERROR(Sheet1!G13,0)</f>
        <v>CIF</v>
      </c>
      <c r="J13" s="43" t="str">
        <f>IFERROR(Sheet1!K13,0)</f>
        <v>Transmar</v>
      </c>
      <c r="K13" s="45">
        <f>IFERROR(Sheet1!A13,0)</f>
        <v>45768</v>
      </c>
      <c r="L13" s="45">
        <f>IFERROR(Sheet1!I13,0)</f>
        <v>45766</v>
      </c>
      <c r="M13" s="45">
        <f>IFERROR(Sheet1!P13,0)</f>
        <v>45769</v>
      </c>
      <c r="N13" s="46">
        <f>IFERROR(IF(ISNUMBER(Sheet1!N13),Sheet1!N13,0),0)</f>
        <v>2050</v>
      </c>
      <c r="O13" s="46">
        <f>IFERROR(IF(TRIM(F13)="Nhava Sheva",SUMPRODUCT((UPPER(TRIM('Origin Costs'!$A$5:$A$44))=UPPER(TRIM(J13)))*'Origin Costs'!$C$5:$C$44),IF(TRIM(F13)="ICD Tihi",SUMPRODUCT((UPPER(TRIM('Origin Costs'!$A$49:$A$88))=UPPER(TRIM(J13)))*'Origin Costs'!$C$49:$C$88),IF(TRIM(F13)="ICD Dhannad",SUMPRODUCT((UPPER(TRIM('Origin Costs'!$A$93:$A$132))=UPPER(TRIM(J13)))*'Origin Costs'!$C$93:$C$132),0))),0)</f>
        <v>0</v>
      </c>
      <c r="P13" s="46">
        <f t="shared" si="0"/>
        <v>2050</v>
      </c>
      <c r="Q13" s="13" t="str">
        <f>IF(OR(Dashboard!$C$4="All Customers",$E13=Dashboard!$C$4),IF($E13="","",$P13+ROW()/10000000),"")</f>
        <v/>
      </c>
    </row>
    <row r="14" spans="1:17" ht="14.25" customHeight="1" x14ac:dyDescent="0.3">
      <c r="A14" s="39" t="str">
        <f>IFERROR("FY"&amp;TEXT(MOD(IF(MONTH(Sheet1!A14)&gt;=4,YEAR(Sheet1!A14),YEAR(Sheet1!A14)-1),100),"00")&amp;"-"&amp;TEXT(MOD(IF(MONTH(Sheet1!A14)&gt;=4,YEAR(Sheet1!A14),YEAR(Sheet1!A14)-1)+1,100),"00"),"")</f>
        <v>FY25-26</v>
      </c>
      <c r="B14" s="40" t="str">
        <f>IFERROR("Q"&amp;IF(MONTH(Sheet1!A14)&gt;=4,IF(MONTH(Sheet1!A14)&lt;=6,1,IF(MONTH(Sheet1!A14)&lt;=9,2,3)),4),"")</f>
        <v>Q1</v>
      </c>
      <c r="C14" s="39" t="str">
        <f>IFERROR(Sheet1!C14,0)</f>
        <v>MEA</v>
      </c>
      <c r="D14" s="39" t="str">
        <f>IFERROR(Sheet1!F14,0)</f>
        <v>Sudan</v>
      </c>
      <c r="E14" s="39" t="str">
        <f>IFERROR(Sheet1!E14,0)</f>
        <v>Al Rabee - Sudan</v>
      </c>
      <c r="F14" s="39" t="str">
        <f>IFERROR(IF(UPPER(TRIM(Sheet1!J14))="NH","Nhava Sheva",IF(UPPER(TRIM(Sheet1!J14))="ICD","ICD Dhannad",IF(UPPER(TRIM(Sheet1!J14))="TIHI","ICD Tihi",Sheet1!J14))),0)</f>
        <v>Nhava Sheva</v>
      </c>
      <c r="G14" s="39" t="str">
        <f>IFERROR(Sheet1!M14,0)</f>
        <v>Sudan Port</v>
      </c>
      <c r="H14" s="39" t="str">
        <f>IFERROR(Sheet1!H14,0)</f>
        <v>Hind Freight</v>
      </c>
      <c r="I14" s="39" t="str">
        <f>IFERROR(Sheet1!G14,0)</f>
        <v>CIF</v>
      </c>
      <c r="J14" s="39" t="str">
        <f>IFERROR(Sheet1!K14,0)</f>
        <v>Transmar</v>
      </c>
      <c r="K14" s="41">
        <f>IFERROR(Sheet1!A14,0)</f>
        <v>45768</v>
      </c>
      <c r="L14" s="41">
        <f>IFERROR(Sheet1!I14,0)</f>
        <v>45766</v>
      </c>
      <c r="M14" s="41">
        <f>IFERROR(Sheet1!P14,0)</f>
        <v>45769</v>
      </c>
      <c r="N14" s="42">
        <f>IFERROR(IF(ISNUMBER(Sheet1!N14),Sheet1!N14,0),0)</f>
        <v>2050</v>
      </c>
      <c r="O14" s="42">
        <f>IFERROR(IF(TRIM(F14)="Nhava Sheva",SUMPRODUCT((UPPER(TRIM('Origin Costs'!$A$5:$A$44))=UPPER(TRIM(J14)))*'Origin Costs'!$C$5:$C$44),IF(TRIM(F14)="ICD Tihi",SUMPRODUCT((UPPER(TRIM('Origin Costs'!$A$49:$A$88))=UPPER(TRIM(J14)))*'Origin Costs'!$C$49:$C$88),IF(TRIM(F14)="ICD Dhannad",SUMPRODUCT((UPPER(TRIM('Origin Costs'!$A$93:$A$132))=UPPER(TRIM(J14)))*'Origin Costs'!$C$93:$C$132),0))),0)</f>
        <v>0</v>
      </c>
      <c r="P14" s="42">
        <f t="shared" si="0"/>
        <v>2050</v>
      </c>
      <c r="Q14" s="13" t="str">
        <f>IF(OR(Dashboard!$C$4="All Customers",$E14=Dashboard!$C$4),IF($E14="","",$P14+ROW()/10000000),"")</f>
        <v/>
      </c>
    </row>
    <row r="15" spans="1:17" ht="14.25" customHeight="1" x14ac:dyDescent="0.3">
      <c r="A15" s="43" t="str">
        <f>IFERROR("FY"&amp;TEXT(MOD(IF(MONTH(Sheet1!A15)&gt;=4,YEAR(Sheet1!A15),YEAR(Sheet1!A15)-1),100),"00")&amp;"-"&amp;TEXT(MOD(IF(MONTH(Sheet1!A15)&gt;=4,YEAR(Sheet1!A15),YEAR(Sheet1!A15)-1)+1,100),"00"),"")</f>
        <v>FY25-26</v>
      </c>
      <c r="B15" s="44" t="str">
        <f>IFERROR("Q"&amp;IF(MONTH(Sheet1!A15)&gt;=4,IF(MONTH(Sheet1!A15)&lt;=6,1,IF(MONTH(Sheet1!A15)&lt;=9,2,3)),4),"")</f>
        <v>Q1</v>
      </c>
      <c r="C15" s="43" t="str">
        <f>IFERROR(Sheet1!C15,0)</f>
        <v>MEA</v>
      </c>
      <c r="D15" s="43" t="str">
        <f>IFERROR(Sheet1!F15,0)</f>
        <v>Sudan</v>
      </c>
      <c r="E15" s="43" t="str">
        <f>IFERROR(Sheet1!E15,0)</f>
        <v>Al Rabee - Sudan</v>
      </c>
      <c r="F15" s="43" t="str">
        <f>IFERROR(IF(UPPER(TRIM(Sheet1!J15))="NH","Nhava Sheva",IF(UPPER(TRIM(Sheet1!J15))="ICD","ICD Dhannad",IF(UPPER(TRIM(Sheet1!J15))="TIHI","ICD Tihi",Sheet1!J15))),0)</f>
        <v>Nhava Sheva</v>
      </c>
      <c r="G15" s="43" t="str">
        <f>IFERROR(Sheet1!M15,0)</f>
        <v>Sudan Port</v>
      </c>
      <c r="H15" s="43" t="str">
        <f>IFERROR(Sheet1!H15,0)</f>
        <v>Hind Freight</v>
      </c>
      <c r="I15" s="43" t="str">
        <f>IFERROR(Sheet1!G15,0)</f>
        <v>CIF</v>
      </c>
      <c r="J15" s="43" t="str">
        <f>IFERROR(Sheet1!K15,0)</f>
        <v>Transmar</v>
      </c>
      <c r="K15" s="45">
        <f>IFERROR(Sheet1!A15,0)</f>
        <v>45768</v>
      </c>
      <c r="L15" s="45">
        <f>IFERROR(Sheet1!I15,0)</f>
        <v>45766</v>
      </c>
      <c r="M15" s="45">
        <f>IFERROR(Sheet1!P15,0)</f>
        <v>45769</v>
      </c>
      <c r="N15" s="46">
        <f>IFERROR(IF(ISNUMBER(Sheet1!N15),Sheet1!N15,0),0)</f>
        <v>2050</v>
      </c>
      <c r="O15" s="46">
        <f>IFERROR(IF(TRIM(F15)="Nhava Sheva",SUMPRODUCT((UPPER(TRIM('Origin Costs'!$A$5:$A$44))=UPPER(TRIM(J15)))*'Origin Costs'!$C$5:$C$44),IF(TRIM(F15)="ICD Tihi",SUMPRODUCT((UPPER(TRIM('Origin Costs'!$A$49:$A$88))=UPPER(TRIM(J15)))*'Origin Costs'!$C$49:$C$88),IF(TRIM(F15)="ICD Dhannad",SUMPRODUCT((UPPER(TRIM('Origin Costs'!$A$93:$A$132))=UPPER(TRIM(J15)))*'Origin Costs'!$C$93:$C$132),0))),0)</f>
        <v>0</v>
      </c>
      <c r="P15" s="46">
        <f t="shared" si="0"/>
        <v>2050</v>
      </c>
      <c r="Q15" s="13" t="str">
        <f>IF(OR(Dashboard!$C$4="All Customers",$E15=Dashboard!$C$4),IF($E15="","",$P15+ROW()/10000000),"")</f>
        <v/>
      </c>
    </row>
    <row r="16" spans="1:17" ht="14.25" customHeight="1" x14ac:dyDescent="0.3">
      <c r="A16" s="39" t="str">
        <f>IFERROR("FY"&amp;TEXT(MOD(IF(MONTH(Sheet1!A16)&gt;=4,YEAR(Sheet1!A16),YEAR(Sheet1!A16)-1),100),"00")&amp;"-"&amp;TEXT(MOD(IF(MONTH(Sheet1!A16)&gt;=4,YEAR(Sheet1!A16),YEAR(Sheet1!A16)-1)+1,100),"00"),"")</f>
        <v>FY25-26</v>
      </c>
      <c r="B16" s="40" t="str">
        <f>IFERROR("Q"&amp;IF(MONTH(Sheet1!A16)&gt;=4,IF(MONTH(Sheet1!A16)&lt;=6,1,IF(MONTH(Sheet1!A16)&lt;=9,2,3)),4),"")</f>
        <v>Q1</v>
      </c>
      <c r="C16" s="39" t="str">
        <f>IFERROR(Sheet1!C16,0)</f>
        <v>MEA</v>
      </c>
      <c r="D16" s="39" t="str">
        <f>IFERROR(Sheet1!F16,0)</f>
        <v>Sudan</v>
      </c>
      <c r="E16" s="39" t="str">
        <f>IFERROR(Sheet1!E16,0)</f>
        <v>Al Rabee - Sudan</v>
      </c>
      <c r="F16" s="39" t="str">
        <f>IFERROR(IF(UPPER(TRIM(Sheet1!J16))="NH","Nhava Sheva",IF(UPPER(TRIM(Sheet1!J16))="ICD","ICD Dhannad",IF(UPPER(TRIM(Sheet1!J16))="TIHI","ICD Tihi",Sheet1!J16))),0)</f>
        <v>Nhava Sheva</v>
      </c>
      <c r="G16" s="39" t="str">
        <f>IFERROR(Sheet1!M16,0)</f>
        <v>Sudan Port</v>
      </c>
      <c r="H16" s="39" t="str">
        <f>IFERROR(Sheet1!H16,0)</f>
        <v>Hind Freight</v>
      </c>
      <c r="I16" s="39" t="str">
        <f>IFERROR(Sheet1!G16,0)</f>
        <v>CIF</v>
      </c>
      <c r="J16" s="39" t="str">
        <f>IFERROR(Sheet1!K16,0)</f>
        <v>Transmar</v>
      </c>
      <c r="K16" s="41">
        <f>IFERROR(Sheet1!A16,0)</f>
        <v>45768</v>
      </c>
      <c r="L16" s="41">
        <f>IFERROR(Sheet1!I16,0)</f>
        <v>45766</v>
      </c>
      <c r="M16" s="41">
        <f>IFERROR(Sheet1!P16,0)</f>
        <v>45769</v>
      </c>
      <c r="N16" s="42">
        <f>IFERROR(IF(ISNUMBER(Sheet1!N16),Sheet1!N16,0),0)</f>
        <v>2050</v>
      </c>
      <c r="O16" s="42">
        <f>IFERROR(IF(TRIM(F16)="Nhava Sheva",SUMPRODUCT((UPPER(TRIM('Origin Costs'!$A$5:$A$44))=UPPER(TRIM(J16)))*'Origin Costs'!$C$5:$C$44),IF(TRIM(F16)="ICD Tihi",SUMPRODUCT((UPPER(TRIM('Origin Costs'!$A$49:$A$88))=UPPER(TRIM(J16)))*'Origin Costs'!$C$49:$C$88),IF(TRIM(F16)="ICD Dhannad",SUMPRODUCT((UPPER(TRIM('Origin Costs'!$A$93:$A$132))=UPPER(TRIM(J16)))*'Origin Costs'!$C$93:$C$132),0))),0)</f>
        <v>0</v>
      </c>
      <c r="P16" s="42">
        <f t="shared" si="0"/>
        <v>2050</v>
      </c>
      <c r="Q16" s="13" t="str">
        <f>IF(OR(Dashboard!$C$4="All Customers",$E16=Dashboard!$C$4),IF($E16="","",$P16+ROW()/10000000),"")</f>
        <v/>
      </c>
    </row>
    <row r="17" spans="1:17" ht="14.25" customHeight="1" x14ac:dyDescent="0.3">
      <c r="A17" s="43" t="str">
        <f>IFERROR("FY"&amp;TEXT(MOD(IF(MONTH(Sheet1!A17)&gt;=4,YEAR(Sheet1!A17),YEAR(Sheet1!A17)-1),100),"00")&amp;"-"&amp;TEXT(MOD(IF(MONTH(Sheet1!A17)&gt;=4,YEAR(Sheet1!A17),YEAR(Sheet1!A17)-1)+1,100),"00"),"")</f>
        <v>FY25-26</v>
      </c>
      <c r="B17" s="44" t="str">
        <f>IFERROR("Q"&amp;IF(MONTH(Sheet1!A17)&gt;=4,IF(MONTH(Sheet1!A17)&lt;=6,1,IF(MONTH(Sheet1!A17)&lt;=9,2,3)),4),"")</f>
        <v>Q1</v>
      </c>
      <c r="C17" s="43" t="str">
        <f>IFERROR(Sheet1!C17,0)</f>
        <v>Europe</v>
      </c>
      <c r="D17" s="43" t="str">
        <f>IFERROR(Sheet1!F17,0)</f>
        <v>United Kingdom</v>
      </c>
      <c r="E17" s="43" t="str">
        <f>IFERROR(Sheet1!E17,0)</f>
        <v>BA Bush Tyres</v>
      </c>
      <c r="F17" s="43" t="str">
        <f>IFERROR(IF(UPPER(TRIM(Sheet1!J17))="NH","Nhava Sheva",IF(UPPER(TRIM(Sheet1!J17))="ICD","ICD Dhannad",IF(UPPER(TRIM(Sheet1!J17))="TIHI","ICD Tihi",Sheet1!J17))),0)</f>
        <v>ICD Dhannad</v>
      </c>
      <c r="G17" s="43" t="str">
        <f>IFERROR(Sheet1!M17,0)</f>
        <v>London Gateway</v>
      </c>
      <c r="H17" s="43" t="str">
        <f>IFERROR(Sheet1!H17,0)</f>
        <v>Transbox</v>
      </c>
      <c r="I17" s="43" t="str">
        <f>IFERROR(Sheet1!G17,0)</f>
        <v>FOB</v>
      </c>
      <c r="J17" s="43" t="str">
        <f>IFERROR(Sheet1!K17,0)</f>
        <v>Hapag</v>
      </c>
      <c r="K17" s="45">
        <f>IFERROR(Sheet1!A17,0)</f>
        <v>45769</v>
      </c>
      <c r="L17" s="45">
        <f>IFERROR(Sheet1!I17,0)</f>
        <v>45769</v>
      </c>
      <c r="M17" s="45">
        <f>IFERROR(Sheet1!P17,0)</f>
        <v>45769</v>
      </c>
      <c r="N17" s="46">
        <f>IFERROR(IF(ISNUMBER(Sheet1!N17),Sheet1!N17,0),0)</f>
        <v>1325</v>
      </c>
      <c r="O17" s="46">
        <f>IFERROR(IF(TRIM(F17)="Nhava Sheva",SUMPRODUCT((UPPER(TRIM('Origin Costs'!$A$5:$A$44))=UPPER(TRIM(J17)))*'Origin Costs'!$C$5:$C$44),IF(TRIM(F17)="ICD Tihi",SUMPRODUCT((UPPER(TRIM('Origin Costs'!$A$49:$A$88))=UPPER(TRIM(J17)))*'Origin Costs'!$C$49:$C$88),IF(TRIM(F17)="ICD Dhannad",SUMPRODUCT((UPPER(TRIM('Origin Costs'!$A$93:$A$132))=UPPER(TRIM(J17)))*'Origin Costs'!$C$93:$C$132),0))),0)</f>
        <v>1209.3888888888889</v>
      </c>
      <c r="P17" s="46">
        <f t="shared" si="0"/>
        <v>2534.3888888888887</v>
      </c>
      <c r="Q17" s="13" t="str">
        <f>IF(OR(Dashboard!$C$4="All Customers",$E17=Dashboard!$C$4),IF($E17="","",$P17+ROW()/10000000),"")</f>
        <v/>
      </c>
    </row>
    <row r="18" spans="1:17" ht="14.25" customHeight="1" x14ac:dyDescent="0.3">
      <c r="A18" s="39" t="str">
        <f>IFERROR("FY"&amp;TEXT(MOD(IF(MONTH(Sheet1!A18)&gt;=4,YEAR(Sheet1!A18),YEAR(Sheet1!A18)-1),100),"00")&amp;"-"&amp;TEXT(MOD(IF(MONTH(Sheet1!A18)&gt;=4,YEAR(Sheet1!A18),YEAR(Sheet1!A18)-1)+1,100),"00"),"")</f>
        <v>FY25-26</v>
      </c>
      <c r="B18" s="40" t="str">
        <f>IFERROR("Q"&amp;IF(MONTH(Sheet1!A18)&gt;=4,IF(MONTH(Sheet1!A18)&lt;=6,1,IF(MONTH(Sheet1!A18)&lt;=9,2,3)),4),"")</f>
        <v>Q1</v>
      </c>
      <c r="C18" s="39" t="str">
        <f>IFERROR(Sheet1!C18,0)</f>
        <v>Europe</v>
      </c>
      <c r="D18" s="39" t="str">
        <f>IFERROR(Sheet1!F18,0)</f>
        <v>United Kingdom</v>
      </c>
      <c r="E18" s="39" t="str">
        <f>IFERROR(Sheet1!E18,0)</f>
        <v>BA Bush Tyres</v>
      </c>
      <c r="F18" s="39" t="str">
        <f>IFERROR(IF(UPPER(TRIM(Sheet1!J18))="NH","Nhava Sheva",IF(UPPER(TRIM(Sheet1!J18))="ICD","ICD Dhannad",IF(UPPER(TRIM(Sheet1!J18))="TIHI","ICD Tihi",Sheet1!J18))),0)</f>
        <v>ICD Dhannad</v>
      </c>
      <c r="G18" s="39" t="str">
        <f>IFERROR(Sheet1!M18,0)</f>
        <v>London Gateway</v>
      </c>
      <c r="H18" s="39" t="str">
        <f>IFERROR(Sheet1!H18,0)</f>
        <v>Transbox</v>
      </c>
      <c r="I18" s="39" t="str">
        <f>IFERROR(Sheet1!G18,0)</f>
        <v>FOB</v>
      </c>
      <c r="J18" s="39" t="str">
        <f>IFERROR(Sheet1!K18,0)</f>
        <v>Hapag</v>
      </c>
      <c r="K18" s="41">
        <f>IFERROR(Sheet1!A18,0)</f>
        <v>45769</v>
      </c>
      <c r="L18" s="41">
        <f>IFERROR(Sheet1!I18,0)</f>
        <v>45769</v>
      </c>
      <c r="M18" s="41">
        <f>IFERROR(Sheet1!P18,0)</f>
        <v>45769</v>
      </c>
      <c r="N18" s="42">
        <f>IFERROR(IF(ISNUMBER(Sheet1!N18),Sheet1!N18,0),0)</f>
        <v>1325</v>
      </c>
      <c r="O18" s="42">
        <f>IFERROR(IF(TRIM(F18)="Nhava Sheva",SUMPRODUCT((UPPER(TRIM('Origin Costs'!$A$5:$A$44))=UPPER(TRIM(J18)))*'Origin Costs'!$C$5:$C$44),IF(TRIM(F18)="ICD Tihi",SUMPRODUCT((UPPER(TRIM('Origin Costs'!$A$49:$A$88))=UPPER(TRIM(J18)))*'Origin Costs'!$C$49:$C$88),IF(TRIM(F18)="ICD Dhannad",SUMPRODUCT((UPPER(TRIM('Origin Costs'!$A$93:$A$132))=UPPER(TRIM(J18)))*'Origin Costs'!$C$93:$C$132),0))),0)</f>
        <v>1209.3888888888889</v>
      </c>
      <c r="P18" s="42">
        <f t="shared" si="0"/>
        <v>2534.3888888888887</v>
      </c>
      <c r="Q18" s="13" t="str">
        <f>IF(OR(Dashboard!$C$4="All Customers",$E18=Dashboard!$C$4),IF($E18="","",$P18+ROW()/10000000),"")</f>
        <v/>
      </c>
    </row>
    <row r="19" spans="1:17" ht="14.25" customHeight="1" x14ac:dyDescent="0.3">
      <c r="A19" s="43" t="str">
        <f>IFERROR("FY"&amp;TEXT(MOD(IF(MONTH(Sheet1!A19)&gt;=4,YEAR(Sheet1!A19),YEAR(Sheet1!A19)-1),100),"00")&amp;"-"&amp;TEXT(MOD(IF(MONTH(Sheet1!A19)&gt;=4,YEAR(Sheet1!A19),YEAR(Sheet1!A19)-1)+1,100),"00"),"")</f>
        <v>FY25-26</v>
      </c>
      <c r="B19" s="44" t="str">
        <f>IFERROR("Q"&amp;IF(MONTH(Sheet1!A19)&gt;=4,IF(MONTH(Sheet1!A19)&lt;=6,1,IF(MONTH(Sheet1!A19)&lt;=9,2,3)),4),"")</f>
        <v>Q1</v>
      </c>
      <c r="C19" s="43" t="str">
        <f>IFERROR(Sheet1!C19,0)</f>
        <v>Europe</v>
      </c>
      <c r="D19" s="43" t="str">
        <f>IFERROR(Sheet1!F19,0)</f>
        <v>United Kingdom</v>
      </c>
      <c r="E19" s="43" t="str">
        <f>IFERROR(Sheet1!E19,0)</f>
        <v>BA Bush Tyres</v>
      </c>
      <c r="F19" s="43" t="str">
        <f>IFERROR(IF(UPPER(TRIM(Sheet1!J19))="NH","Nhava Sheva",IF(UPPER(TRIM(Sheet1!J19))="ICD","ICD Dhannad",IF(UPPER(TRIM(Sheet1!J19))="TIHI","ICD Tihi",Sheet1!J19))),0)</f>
        <v>ICD Dhannad</v>
      </c>
      <c r="G19" s="43" t="str">
        <f>IFERROR(Sheet1!M19,0)</f>
        <v>London Gateway</v>
      </c>
      <c r="H19" s="43" t="str">
        <f>IFERROR(Sheet1!H19,0)</f>
        <v>Transbox</v>
      </c>
      <c r="I19" s="43" t="str">
        <f>IFERROR(Sheet1!G19,0)</f>
        <v>FOB</v>
      </c>
      <c r="J19" s="43" t="str">
        <f>IFERROR(Sheet1!K19,0)</f>
        <v>Hapag</v>
      </c>
      <c r="K19" s="45">
        <f>IFERROR(Sheet1!A19,0)</f>
        <v>45769</v>
      </c>
      <c r="L19" s="45">
        <f>IFERROR(Sheet1!I19,0)</f>
        <v>45772</v>
      </c>
      <c r="M19" s="45">
        <f>IFERROR(Sheet1!P19,0)</f>
        <v>45770</v>
      </c>
      <c r="N19" s="46">
        <f>IFERROR(IF(ISNUMBER(Sheet1!N19),Sheet1!N19,0),0)</f>
        <v>1325</v>
      </c>
      <c r="O19" s="46">
        <f>IFERROR(IF(TRIM(F19)="Nhava Sheva",SUMPRODUCT((UPPER(TRIM('Origin Costs'!$A$5:$A$44))=UPPER(TRIM(J19)))*'Origin Costs'!$C$5:$C$44),IF(TRIM(F19)="ICD Tihi",SUMPRODUCT((UPPER(TRIM('Origin Costs'!$A$49:$A$88))=UPPER(TRIM(J19)))*'Origin Costs'!$C$49:$C$88),IF(TRIM(F19)="ICD Dhannad",SUMPRODUCT((UPPER(TRIM('Origin Costs'!$A$93:$A$132))=UPPER(TRIM(J19)))*'Origin Costs'!$C$93:$C$132),0))),0)</f>
        <v>1209.3888888888889</v>
      </c>
      <c r="P19" s="46">
        <f t="shared" si="0"/>
        <v>2534.3888888888887</v>
      </c>
      <c r="Q19" s="13" t="str">
        <f>IF(OR(Dashboard!$C$4="All Customers",$E19=Dashboard!$C$4),IF($E19="","",$P19+ROW()/10000000),"")</f>
        <v/>
      </c>
    </row>
    <row r="20" spans="1:17" ht="14.25" customHeight="1" x14ac:dyDescent="0.3">
      <c r="A20" s="39" t="str">
        <f>IFERROR("FY"&amp;TEXT(MOD(IF(MONTH(Sheet1!A20)&gt;=4,YEAR(Sheet1!A20),YEAR(Sheet1!A20)-1),100),"00")&amp;"-"&amp;TEXT(MOD(IF(MONTH(Sheet1!A20)&gt;=4,YEAR(Sheet1!A20),YEAR(Sheet1!A20)-1)+1,100),"00"),"")</f>
        <v>FY25-26</v>
      </c>
      <c r="B20" s="40" t="str">
        <f>IFERROR("Q"&amp;IF(MONTH(Sheet1!A20)&gt;=4,IF(MONTH(Sheet1!A20)&lt;=6,1,IF(MONTH(Sheet1!A20)&lt;=9,2,3)),4),"")</f>
        <v>Q1</v>
      </c>
      <c r="C20" s="39" t="str">
        <f>IFERROR(Sheet1!C20,0)</f>
        <v>S.A.</v>
      </c>
      <c r="D20" s="39" t="str">
        <f>IFERROR(Sheet1!F20,0)</f>
        <v>Brazil</v>
      </c>
      <c r="E20" s="39" t="str">
        <f>IFERROR(Sheet1!E20,0)</f>
        <v>CPX DISTRIBUIDORA S/A-Suape</v>
      </c>
      <c r="F20" s="39" t="str">
        <f>IFERROR(IF(UPPER(TRIM(Sheet1!J20))="NH","Nhava Sheva",IF(UPPER(TRIM(Sheet1!J20))="ICD","ICD Dhannad",IF(UPPER(TRIM(Sheet1!J20))="TIHI","ICD Tihi",Sheet1!J20))),0)</f>
        <v>ICD Tihi</v>
      </c>
      <c r="G20" s="39" t="str">
        <f>IFERROR(Sheet1!M20,0)</f>
        <v>Suape</v>
      </c>
      <c r="H20" s="39" t="str">
        <f>IFERROR(Sheet1!H20,0)</f>
        <v>Sanjay Forwarder</v>
      </c>
      <c r="I20" s="39" t="str">
        <f>IFERROR(Sheet1!G20,0)</f>
        <v>FOB</v>
      </c>
      <c r="J20" s="39" t="str">
        <f>IFERROR(Sheet1!K20,0)</f>
        <v>MSC</v>
      </c>
      <c r="K20" s="41">
        <f>IFERROR(Sheet1!A20,0)</f>
        <v>45771</v>
      </c>
      <c r="L20" s="41">
        <f>IFERROR(Sheet1!I20,0)</f>
        <v>45770</v>
      </c>
      <c r="M20" s="41">
        <f>IFERROR(Sheet1!P20,0)</f>
        <v>45771</v>
      </c>
      <c r="N20" s="42">
        <f>IFERROR(IF(ISNUMBER(Sheet1!N20),Sheet1!N20,0),0)</f>
        <v>0</v>
      </c>
      <c r="O20" s="42">
        <f>IFERROR(IF(TRIM(F20)="Nhava Sheva",SUMPRODUCT((UPPER(TRIM('Origin Costs'!$A$5:$A$44))=UPPER(TRIM(J20)))*'Origin Costs'!$C$5:$C$44),IF(TRIM(F20)="ICD Tihi",SUMPRODUCT((UPPER(TRIM('Origin Costs'!$A$49:$A$88))=UPPER(TRIM(J20)))*'Origin Costs'!$C$49:$C$88),IF(TRIM(F20)="ICD Dhannad",SUMPRODUCT((UPPER(TRIM('Origin Costs'!$A$93:$A$132))=UPPER(TRIM(J20)))*'Origin Costs'!$C$93:$C$132),0))),0)</f>
        <v>1081.3333333333333</v>
      </c>
      <c r="P20" s="42">
        <f t="shared" si="0"/>
        <v>1081.3333333333333</v>
      </c>
      <c r="Q20" s="13" t="str">
        <f>IF(OR(Dashboard!$C$4="All Customers",$E20=Dashboard!$C$4),IF($E20="","",$P20+ROW()/10000000),"")</f>
        <v/>
      </c>
    </row>
    <row r="21" spans="1:17" ht="14.25" customHeight="1" x14ac:dyDescent="0.3">
      <c r="A21" s="43" t="str">
        <f>IFERROR("FY"&amp;TEXT(MOD(IF(MONTH(Sheet1!A21)&gt;=4,YEAR(Sheet1!A21),YEAR(Sheet1!A21)-1),100),"00")&amp;"-"&amp;TEXT(MOD(IF(MONTH(Sheet1!A21)&gt;=4,YEAR(Sheet1!A21),YEAR(Sheet1!A21)-1)+1,100),"00"),"")</f>
        <v>FY25-26</v>
      </c>
      <c r="B21" s="44" t="str">
        <f>IFERROR("Q"&amp;IF(MONTH(Sheet1!A21)&gt;=4,IF(MONTH(Sheet1!A21)&lt;=6,1,IF(MONTH(Sheet1!A21)&lt;=9,2,3)),4),"")</f>
        <v>Q1</v>
      </c>
      <c r="C21" s="43" t="str">
        <f>IFERROR(Sheet1!C21,0)</f>
        <v>S.A.</v>
      </c>
      <c r="D21" s="43" t="str">
        <f>IFERROR(Sheet1!F21,0)</f>
        <v>Brazil</v>
      </c>
      <c r="E21" s="43" t="str">
        <f>IFERROR(Sheet1!E21,0)</f>
        <v>CPX DISTRIBUIDORA S/A-Itajai</v>
      </c>
      <c r="F21" s="43" t="str">
        <f>IFERROR(IF(UPPER(TRIM(Sheet1!J21))="NH","Nhava Sheva",IF(UPPER(TRIM(Sheet1!J21))="ICD","ICD Dhannad",IF(UPPER(TRIM(Sheet1!J21))="TIHI","ICD Tihi",Sheet1!J21))),0)</f>
        <v>Nhava Sheva</v>
      </c>
      <c r="G21" s="43" t="str">
        <f>IFERROR(Sheet1!M21,0)</f>
        <v>Itajai</v>
      </c>
      <c r="H21" s="43" t="str">
        <f>IFERROR(Sheet1!H21,0)</f>
        <v>Sanjay Forwarder</v>
      </c>
      <c r="I21" s="43" t="str">
        <f>IFERROR(Sheet1!G21,0)</f>
        <v>FOB</v>
      </c>
      <c r="J21" s="43" t="str">
        <f>IFERROR(Sheet1!K21,0)</f>
        <v>MSC</v>
      </c>
      <c r="K21" s="45">
        <f>IFERROR(Sheet1!A21,0)</f>
        <v>45772</v>
      </c>
      <c r="L21" s="45">
        <f>IFERROR(Sheet1!I21,0)</f>
        <v>45771</v>
      </c>
      <c r="M21" s="45">
        <f>IFERROR(Sheet1!P21,0)</f>
        <v>45773</v>
      </c>
      <c r="N21" s="46">
        <f>IFERROR(IF(ISNUMBER(Sheet1!N21),Sheet1!N21,0),0)</f>
        <v>0</v>
      </c>
      <c r="O21" s="46">
        <f>IFERROR(IF(TRIM(F21)="Nhava Sheva",SUMPRODUCT((UPPER(TRIM('Origin Costs'!$A$5:$A$44))=UPPER(TRIM(J21)))*'Origin Costs'!$C$5:$C$44),IF(TRIM(F21)="ICD Tihi",SUMPRODUCT((UPPER(TRIM('Origin Costs'!$A$49:$A$88))=UPPER(TRIM(J21)))*'Origin Costs'!$C$49:$C$88),IF(TRIM(F21)="ICD Dhannad",SUMPRODUCT((UPPER(TRIM('Origin Costs'!$A$93:$A$132))=UPPER(TRIM(J21)))*'Origin Costs'!$C$93:$C$132),0))),0)</f>
        <v>1168.8222222222223</v>
      </c>
      <c r="P21" s="46">
        <f t="shared" si="0"/>
        <v>1168.8222222222223</v>
      </c>
      <c r="Q21" s="13" t="str">
        <f>IF(OR(Dashboard!$C$4="All Customers",$E21=Dashboard!$C$4),IF($E21="","",$P21+ROW()/10000000),"")</f>
        <v/>
      </c>
    </row>
    <row r="22" spans="1:17" ht="14.25" customHeight="1" x14ac:dyDescent="0.3">
      <c r="A22" s="39" t="str">
        <f>IFERROR("FY"&amp;TEXT(MOD(IF(MONTH(Sheet1!A22)&gt;=4,YEAR(Sheet1!A22),YEAR(Sheet1!A22)-1),100),"00")&amp;"-"&amp;TEXT(MOD(IF(MONTH(Sheet1!A22)&gt;=4,YEAR(Sheet1!A22),YEAR(Sheet1!A22)-1)+1,100),"00"),"")</f>
        <v>FY25-26</v>
      </c>
      <c r="B22" s="40" t="str">
        <f>IFERROR("Q"&amp;IF(MONTH(Sheet1!A22)&gt;=4,IF(MONTH(Sheet1!A22)&lt;=6,1,IF(MONTH(Sheet1!A22)&lt;=9,2,3)),4),"")</f>
        <v>Q1</v>
      </c>
      <c r="C22" s="39" t="str">
        <f>IFERROR(Sheet1!C22,0)</f>
        <v>S.A.</v>
      </c>
      <c r="D22" s="39" t="str">
        <f>IFERROR(Sheet1!F22,0)</f>
        <v>Brazil</v>
      </c>
      <c r="E22" s="39" t="str">
        <f>IFERROR(Sheet1!E22,0)</f>
        <v>CPX DISTRIBUIDORA S/A-Itajai</v>
      </c>
      <c r="F22" s="39" t="str">
        <f>IFERROR(IF(UPPER(TRIM(Sheet1!J22))="NH","Nhava Sheva",IF(UPPER(TRIM(Sheet1!J22))="ICD","ICD Dhannad",IF(UPPER(TRIM(Sheet1!J22))="TIHI","ICD Tihi",Sheet1!J22))),0)</f>
        <v>Nhava Sheva</v>
      </c>
      <c r="G22" s="39" t="str">
        <f>IFERROR(Sheet1!M22,0)</f>
        <v>Itajai</v>
      </c>
      <c r="H22" s="39" t="str">
        <f>IFERROR(Sheet1!H22,0)</f>
        <v>Sanjay Forwarder</v>
      </c>
      <c r="I22" s="39" t="str">
        <f>IFERROR(Sheet1!G22,0)</f>
        <v>FOB</v>
      </c>
      <c r="J22" s="39" t="str">
        <f>IFERROR(Sheet1!K22,0)</f>
        <v>MSC</v>
      </c>
      <c r="K22" s="41">
        <f>IFERROR(Sheet1!A22,0)</f>
        <v>45772</v>
      </c>
      <c r="L22" s="41">
        <f>IFERROR(Sheet1!I22,0)</f>
        <v>45771</v>
      </c>
      <c r="M22" s="41">
        <f>IFERROR(Sheet1!P22,0)</f>
        <v>45773</v>
      </c>
      <c r="N22" s="42">
        <f>IFERROR(IF(ISNUMBER(Sheet1!N22),Sheet1!N22,0),0)</f>
        <v>0</v>
      </c>
      <c r="O22" s="42">
        <f>IFERROR(IF(TRIM(F22)="Nhava Sheva",SUMPRODUCT((UPPER(TRIM('Origin Costs'!$A$5:$A$44))=UPPER(TRIM(J22)))*'Origin Costs'!$C$5:$C$44),IF(TRIM(F22)="ICD Tihi",SUMPRODUCT((UPPER(TRIM('Origin Costs'!$A$49:$A$88))=UPPER(TRIM(J22)))*'Origin Costs'!$C$49:$C$88),IF(TRIM(F22)="ICD Dhannad",SUMPRODUCT((UPPER(TRIM('Origin Costs'!$A$93:$A$132))=UPPER(TRIM(J22)))*'Origin Costs'!$C$93:$C$132),0))),0)</f>
        <v>1168.8222222222223</v>
      </c>
      <c r="P22" s="42">
        <f t="shared" si="0"/>
        <v>1168.8222222222223</v>
      </c>
      <c r="Q22" s="13" t="str">
        <f>IF(OR(Dashboard!$C$4="All Customers",$E22=Dashboard!$C$4),IF($E22="","",$P22+ROW()/10000000),"")</f>
        <v/>
      </c>
    </row>
    <row r="23" spans="1:17" ht="14.25" customHeight="1" x14ac:dyDescent="0.3">
      <c r="A23" s="43" t="str">
        <f>IFERROR("FY"&amp;TEXT(MOD(IF(MONTH(Sheet1!A23)&gt;=4,YEAR(Sheet1!A23),YEAR(Sheet1!A23)-1),100),"00")&amp;"-"&amp;TEXT(MOD(IF(MONTH(Sheet1!A23)&gt;=4,YEAR(Sheet1!A23),YEAR(Sheet1!A23)-1)+1,100),"00"),"")</f>
        <v>FY25-26</v>
      </c>
      <c r="B23" s="44" t="str">
        <f>IFERROR("Q"&amp;IF(MONTH(Sheet1!A23)&gt;=4,IF(MONTH(Sheet1!A23)&lt;=6,1,IF(MONTH(Sheet1!A23)&lt;=9,2,3)),4),"")</f>
        <v>Q1</v>
      </c>
      <c r="C23" s="43" t="str">
        <f>IFERROR(Sheet1!C23,0)</f>
        <v>S.A.</v>
      </c>
      <c r="D23" s="43" t="str">
        <f>IFERROR(Sheet1!F23,0)</f>
        <v>Brazil</v>
      </c>
      <c r="E23" s="43" t="str">
        <f>IFERROR(Sheet1!E23,0)</f>
        <v>CPX DISTRIBUIDORA S/A-Itajai</v>
      </c>
      <c r="F23" s="43" t="str">
        <f>IFERROR(IF(UPPER(TRIM(Sheet1!J23))="NH","Nhava Sheva",IF(UPPER(TRIM(Sheet1!J23))="ICD","ICD Dhannad",IF(UPPER(TRIM(Sheet1!J23))="TIHI","ICD Tihi",Sheet1!J23))),0)</f>
        <v>Nhava Sheva</v>
      </c>
      <c r="G23" s="43" t="str">
        <f>IFERROR(Sheet1!M23,0)</f>
        <v>Itajai</v>
      </c>
      <c r="H23" s="43" t="str">
        <f>IFERROR(Sheet1!H23,0)</f>
        <v>Sanjay Forwarder</v>
      </c>
      <c r="I23" s="43" t="str">
        <f>IFERROR(Sheet1!G23,0)</f>
        <v>FOB</v>
      </c>
      <c r="J23" s="43" t="str">
        <f>IFERROR(Sheet1!K23,0)</f>
        <v>MSC</v>
      </c>
      <c r="K23" s="45">
        <f>IFERROR(Sheet1!A23,0)</f>
        <v>45772</v>
      </c>
      <c r="L23" s="45">
        <f>IFERROR(Sheet1!I23,0)</f>
        <v>45771</v>
      </c>
      <c r="M23" s="45">
        <f>IFERROR(Sheet1!P23,0)</f>
        <v>45773</v>
      </c>
      <c r="N23" s="46">
        <f>IFERROR(IF(ISNUMBER(Sheet1!N23),Sheet1!N23,0),0)</f>
        <v>0</v>
      </c>
      <c r="O23" s="46">
        <f>IFERROR(IF(TRIM(F23)="Nhava Sheva",SUMPRODUCT((UPPER(TRIM('Origin Costs'!$A$5:$A$44))=UPPER(TRIM(J23)))*'Origin Costs'!$C$5:$C$44),IF(TRIM(F23)="ICD Tihi",SUMPRODUCT((UPPER(TRIM('Origin Costs'!$A$49:$A$88))=UPPER(TRIM(J23)))*'Origin Costs'!$C$49:$C$88),IF(TRIM(F23)="ICD Dhannad",SUMPRODUCT((UPPER(TRIM('Origin Costs'!$A$93:$A$132))=UPPER(TRIM(J23)))*'Origin Costs'!$C$93:$C$132),0))),0)</f>
        <v>1168.8222222222223</v>
      </c>
      <c r="P23" s="46">
        <f t="shared" si="0"/>
        <v>1168.8222222222223</v>
      </c>
      <c r="Q23" s="13" t="str">
        <f>IF(OR(Dashboard!$C$4="All Customers",$E23=Dashboard!$C$4),IF($E23="","",$P23+ROW()/10000000),"")</f>
        <v/>
      </c>
    </row>
    <row r="24" spans="1:17" ht="14.25" customHeight="1" x14ac:dyDescent="0.3">
      <c r="A24" s="39" t="str">
        <f>IFERROR("FY"&amp;TEXT(MOD(IF(MONTH(Sheet1!A24)&gt;=4,YEAR(Sheet1!A24),YEAR(Sheet1!A24)-1),100),"00")&amp;"-"&amp;TEXT(MOD(IF(MONTH(Sheet1!A24)&gt;=4,YEAR(Sheet1!A24),YEAR(Sheet1!A24)-1)+1,100),"00"),"")</f>
        <v>FY25-26</v>
      </c>
      <c r="B24" s="40" t="str">
        <f>IFERROR("Q"&amp;IF(MONTH(Sheet1!A24)&gt;=4,IF(MONTH(Sheet1!A24)&lt;=6,1,IF(MONTH(Sheet1!A24)&lt;=9,2,3)),4),"")</f>
        <v>Q1</v>
      </c>
      <c r="C24" s="39" t="str">
        <f>IFERROR(Sheet1!C24,0)</f>
        <v>Europe</v>
      </c>
      <c r="D24" s="39" t="str">
        <f>IFERROR(Sheet1!F24,0)</f>
        <v>Germany</v>
      </c>
      <c r="E24" s="39" t="str">
        <f>IFERROR(Sheet1!E24,0)</f>
        <v>Marco Lankes GmbH, Germany</v>
      </c>
      <c r="F24" s="39" t="str">
        <f>IFERROR(IF(UPPER(TRIM(Sheet1!J24))="NH","Nhava Sheva",IF(UPPER(TRIM(Sheet1!J24))="ICD","ICD Dhannad",IF(UPPER(TRIM(Sheet1!J24))="TIHI","ICD Tihi",Sheet1!J24))),0)</f>
        <v>ICD Dhannad</v>
      </c>
      <c r="G24" s="39" t="str">
        <f>IFERROR(Sheet1!M24,0)</f>
        <v>ROTTERDAM</v>
      </c>
      <c r="H24" s="39" t="str">
        <f>IFERROR(Sheet1!H24,0)</f>
        <v>Hellmann</v>
      </c>
      <c r="I24" s="39" t="str">
        <f>IFERROR(Sheet1!G24,0)</f>
        <v>FOB</v>
      </c>
      <c r="J24" s="39" t="str">
        <f>IFERROR(Sheet1!K24,0)</f>
        <v>Hapag</v>
      </c>
      <c r="K24" s="41">
        <f>IFERROR(Sheet1!A24,0)</f>
        <v>45773</v>
      </c>
      <c r="L24" s="41">
        <f>IFERROR(Sheet1!I24,0)</f>
        <v>45773</v>
      </c>
      <c r="M24" s="41">
        <f>IFERROR(Sheet1!P24,0)</f>
        <v>45774</v>
      </c>
      <c r="N24" s="42">
        <f>IFERROR(IF(ISNUMBER(Sheet1!N24),Sheet1!N24,0),0)</f>
        <v>1200</v>
      </c>
      <c r="O24" s="42">
        <f>IFERROR(IF(TRIM(F24)="Nhava Sheva",SUMPRODUCT((UPPER(TRIM('Origin Costs'!$A$5:$A$44))=UPPER(TRIM(J24)))*'Origin Costs'!$C$5:$C$44),IF(TRIM(F24)="ICD Tihi",SUMPRODUCT((UPPER(TRIM('Origin Costs'!$A$49:$A$88))=UPPER(TRIM(J24)))*'Origin Costs'!$C$49:$C$88),IF(TRIM(F24)="ICD Dhannad",SUMPRODUCT((UPPER(TRIM('Origin Costs'!$A$93:$A$132))=UPPER(TRIM(J24)))*'Origin Costs'!$C$93:$C$132),0))),0)</f>
        <v>1209.3888888888889</v>
      </c>
      <c r="P24" s="42">
        <f t="shared" si="0"/>
        <v>2409.3888888888887</v>
      </c>
      <c r="Q24" s="13" t="str">
        <f>IF(OR(Dashboard!$C$4="All Customers",$E24=Dashboard!$C$4),IF($E24="","",$P24+ROW()/10000000),"")</f>
        <v/>
      </c>
    </row>
    <row r="25" spans="1:17" ht="14.25" customHeight="1" x14ac:dyDescent="0.3">
      <c r="A25" s="43" t="str">
        <f>IFERROR("FY"&amp;TEXT(MOD(IF(MONTH(Sheet1!A25)&gt;=4,YEAR(Sheet1!A25),YEAR(Sheet1!A25)-1),100),"00")&amp;"-"&amp;TEXT(MOD(IF(MONTH(Sheet1!A25)&gt;=4,YEAR(Sheet1!A25),YEAR(Sheet1!A25)-1)+1,100),"00"),"")</f>
        <v>FY25-26</v>
      </c>
      <c r="B25" s="44" t="str">
        <f>IFERROR("Q"&amp;IF(MONTH(Sheet1!A25)&gt;=4,IF(MONTH(Sheet1!A25)&lt;=6,1,IF(MONTH(Sheet1!A25)&lt;=9,2,3)),4),"")</f>
        <v>Q1</v>
      </c>
      <c r="C25" s="43" t="str">
        <f>IFERROR(Sheet1!C25,0)</f>
        <v>Europe</v>
      </c>
      <c r="D25" s="43" t="str">
        <f>IFERROR(Sheet1!F25,0)</f>
        <v>Germany</v>
      </c>
      <c r="E25" s="43" t="str">
        <f>IFERROR(Sheet1!E25,0)</f>
        <v>Marco Lankes GmbH, Germany</v>
      </c>
      <c r="F25" s="43" t="str">
        <f>IFERROR(IF(UPPER(TRIM(Sheet1!J25))="NH","Nhava Sheva",IF(UPPER(TRIM(Sheet1!J25))="ICD","ICD Dhannad",IF(UPPER(TRIM(Sheet1!J25))="TIHI","ICD Tihi",Sheet1!J25))),0)</f>
        <v>ICD Dhannad</v>
      </c>
      <c r="G25" s="43" t="str">
        <f>IFERROR(Sheet1!M25,0)</f>
        <v>ROTTERDAM</v>
      </c>
      <c r="H25" s="43" t="str">
        <f>IFERROR(Sheet1!H25,0)</f>
        <v>Hellmann</v>
      </c>
      <c r="I25" s="43" t="str">
        <f>IFERROR(Sheet1!G25,0)</f>
        <v>FOB</v>
      </c>
      <c r="J25" s="43" t="str">
        <f>IFERROR(Sheet1!K25,0)</f>
        <v>Hapag</v>
      </c>
      <c r="K25" s="45">
        <f>IFERROR(Sheet1!A25,0)</f>
        <v>45773</v>
      </c>
      <c r="L25" s="45">
        <f>IFERROR(Sheet1!I25,0)</f>
        <v>45773</v>
      </c>
      <c r="M25" s="45">
        <f>IFERROR(Sheet1!P25,0)</f>
        <v>45774</v>
      </c>
      <c r="N25" s="46">
        <f>IFERROR(IF(ISNUMBER(Sheet1!N25),Sheet1!N25,0),0)</f>
        <v>1200</v>
      </c>
      <c r="O25" s="46">
        <f>IFERROR(IF(TRIM(F25)="Nhava Sheva",SUMPRODUCT((UPPER(TRIM('Origin Costs'!$A$5:$A$44))=UPPER(TRIM(J25)))*'Origin Costs'!$C$5:$C$44),IF(TRIM(F25)="ICD Tihi",SUMPRODUCT((UPPER(TRIM('Origin Costs'!$A$49:$A$88))=UPPER(TRIM(J25)))*'Origin Costs'!$C$49:$C$88),IF(TRIM(F25)="ICD Dhannad",SUMPRODUCT((UPPER(TRIM('Origin Costs'!$A$93:$A$132))=UPPER(TRIM(J25)))*'Origin Costs'!$C$93:$C$132),0))),0)</f>
        <v>1209.3888888888889</v>
      </c>
      <c r="P25" s="46">
        <f t="shared" si="0"/>
        <v>2409.3888888888887</v>
      </c>
      <c r="Q25" s="13" t="str">
        <f>IF(OR(Dashboard!$C$4="All Customers",$E25=Dashboard!$C$4),IF($E25="","",$P25+ROW()/10000000),"")</f>
        <v/>
      </c>
    </row>
    <row r="26" spans="1:17" ht="14.25" customHeight="1" x14ac:dyDescent="0.3">
      <c r="A26" s="39" t="str">
        <f>IFERROR("FY"&amp;TEXT(MOD(IF(MONTH(Sheet1!A26)&gt;=4,YEAR(Sheet1!A26),YEAR(Sheet1!A26)-1),100),"00")&amp;"-"&amp;TEXT(MOD(IF(MONTH(Sheet1!A26)&gt;=4,YEAR(Sheet1!A26),YEAR(Sheet1!A26)-1)+1,100),"00"),"")</f>
        <v>FY25-26</v>
      </c>
      <c r="B26" s="40" t="str">
        <f>IFERROR("Q"&amp;IF(MONTH(Sheet1!A26)&gt;=4,IF(MONTH(Sheet1!A26)&lt;=6,1,IF(MONTH(Sheet1!A26)&lt;=9,2,3)),4),"")</f>
        <v>Q1</v>
      </c>
      <c r="C26" s="39" t="str">
        <f>IFERROR(Sheet1!C26,0)</f>
        <v>Europe</v>
      </c>
      <c r="D26" s="39" t="str">
        <f>IFERROR(Sheet1!F26,0)</f>
        <v>Germany</v>
      </c>
      <c r="E26" s="39" t="str">
        <f>IFERROR(Sheet1!E26,0)</f>
        <v>Marco Lankes GmbH, Germany</v>
      </c>
      <c r="F26" s="39" t="str">
        <f>IFERROR(IF(UPPER(TRIM(Sheet1!J26))="NH","Nhava Sheva",IF(UPPER(TRIM(Sheet1!J26))="ICD","ICD Dhannad",IF(UPPER(TRIM(Sheet1!J26))="TIHI","ICD Tihi",Sheet1!J26))),0)</f>
        <v>ICD Dhannad</v>
      </c>
      <c r="G26" s="39" t="str">
        <f>IFERROR(Sheet1!M26,0)</f>
        <v>ROTTERDAM</v>
      </c>
      <c r="H26" s="39" t="str">
        <f>IFERROR(Sheet1!H26,0)</f>
        <v>Hellmann</v>
      </c>
      <c r="I26" s="39" t="str">
        <f>IFERROR(Sheet1!G26,0)</f>
        <v>FOB</v>
      </c>
      <c r="J26" s="39" t="str">
        <f>IFERROR(Sheet1!K26,0)</f>
        <v>Hapag</v>
      </c>
      <c r="K26" s="41">
        <f>IFERROR(Sheet1!A26,0)</f>
        <v>45773</v>
      </c>
      <c r="L26" s="41">
        <f>IFERROR(Sheet1!I26,0)</f>
        <v>45773</v>
      </c>
      <c r="M26" s="41">
        <f>IFERROR(Sheet1!P26,0)</f>
        <v>45774</v>
      </c>
      <c r="N26" s="42">
        <f>IFERROR(IF(ISNUMBER(Sheet1!N26),Sheet1!N26,0),0)</f>
        <v>1200</v>
      </c>
      <c r="O26" s="42">
        <f>IFERROR(IF(TRIM(F26)="Nhava Sheva",SUMPRODUCT((UPPER(TRIM('Origin Costs'!$A$5:$A$44))=UPPER(TRIM(J26)))*'Origin Costs'!$C$5:$C$44),IF(TRIM(F26)="ICD Tihi",SUMPRODUCT((UPPER(TRIM('Origin Costs'!$A$49:$A$88))=UPPER(TRIM(J26)))*'Origin Costs'!$C$49:$C$88),IF(TRIM(F26)="ICD Dhannad",SUMPRODUCT((UPPER(TRIM('Origin Costs'!$A$93:$A$132))=UPPER(TRIM(J26)))*'Origin Costs'!$C$93:$C$132),0))),0)</f>
        <v>1209.3888888888889</v>
      </c>
      <c r="P26" s="42">
        <f t="shared" si="0"/>
        <v>2409.3888888888887</v>
      </c>
      <c r="Q26" s="13" t="str">
        <f>IF(OR(Dashboard!$C$4="All Customers",$E26=Dashboard!$C$4),IF($E26="","",$P26+ROW()/10000000),"")</f>
        <v/>
      </c>
    </row>
    <row r="27" spans="1:17" ht="14.25" customHeight="1" x14ac:dyDescent="0.3">
      <c r="A27" s="43" t="str">
        <f>IFERROR("FY"&amp;TEXT(MOD(IF(MONTH(Sheet1!A27)&gt;=4,YEAR(Sheet1!A27),YEAR(Sheet1!A27)-1),100),"00")&amp;"-"&amp;TEXT(MOD(IF(MONTH(Sheet1!A27)&gt;=4,YEAR(Sheet1!A27),YEAR(Sheet1!A27)-1)+1,100),"00"),"")</f>
        <v>FY25-26</v>
      </c>
      <c r="B27" s="44" t="str">
        <f>IFERROR("Q"&amp;IF(MONTH(Sheet1!A27)&gt;=4,IF(MONTH(Sheet1!A27)&lt;=6,1,IF(MONTH(Sheet1!A27)&lt;=9,2,3)),4),"")</f>
        <v>Q1</v>
      </c>
      <c r="C27" s="43" t="str">
        <f>IFERROR(Sheet1!C27,0)</f>
        <v>Europe</v>
      </c>
      <c r="D27" s="43" t="str">
        <f>IFERROR(Sheet1!F27,0)</f>
        <v>United Kingdom</v>
      </c>
      <c r="E27" s="43" t="str">
        <f>IFERROR(Sheet1!E27,0)</f>
        <v>BA Bush Tyres</v>
      </c>
      <c r="F27" s="43" t="str">
        <f>IFERROR(IF(UPPER(TRIM(Sheet1!J27))="NH","Nhava Sheva",IF(UPPER(TRIM(Sheet1!J27))="ICD","ICD Dhannad",IF(UPPER(TRIM(Sheet1!J27))="TIHI","ICD Tihi",Sheet1!J27))),0)</f>
        <v>ICD Dhannad</v>
      </c>
      <c r="G27" s="43" t="str">
        <f>IFERROR(Sheet1!M27,0)</f>
        <v>London Gateway</v>
      </c>
      <c r="H27" s="43" t="str">
        <f>IFERROR(Sheet1!H27,0)</f>
        <v>Transbox</v>
      </c>
      <c r="I27" s="43" t="str">
        <f>IFERROR(Sheet1!G27,0)</f>
        <v>FOB</v>
      </c>
      <c r="J27" s="43" t="str">
        <f>IFERROR(Sheet1!K27,0)</f>
        <v>Hapag</v>
      </c>
      <c r="K27" s="45">
        <f>IFERROR(Sheet1!A27,0)</f>
        <v>45774</v>
      </c>
      <c r="L27" s="45">
        <f>IFERROR(Sheet1!I27,0)</f>
        <v>45774</v>
      </c>
      <c r="M27" s="45">
        <f>IFERROR(Sheet1!P27,0)</f>
        <v>45775</v>
      </c>
      <c r="N27" s="46">
        <f>IFERROR(IF(ISNUMBER(Sheet1!N27),Sheet1!N27,0),0)</f>
        <v>1325</v>
      </c>
      <c r="O27" s="46">
        <f>IFERROR(IF(TRIM(F27)="Nhava Sheva",SUMPRODUCT((UPPER(TRIM('Origin Costs'!$A$5:$A$44))=UPPER(TRIM(J27)))*'Origin Costs'!$C$5:$C$44),IF(TRIM(F27)="ICD Tihi",SUMPRODUCT((UPPER(TRIM('Origin Costs'!$A$49:$A$88))=UPPER(TRIM(J27)))*'Origin Costs'!$C$49:$C$88),IF(TRIM(F27)="ICD Dhannad",SUMPRODUCT((UPPER(TRIM('Origin Costs'!$A$93:$A$132))=UPPER(TRIM(J27)))*'Origin Costs'!$C$93:$C$132),0))),0)</f>
        <v>1209.3888888888889</v>
      </c>
      <c r="P27" s="46">
        <f t="shared" si="0"/>
        <v>2534.3888888888887</v>
      </c>
      <c r="Q27" s="13" t="str">
        <f>IF(OR(Dashboard!$C$4="All Customers",$E27=Dashboard!$C$4),IF($E27="","",$P27+ROW()/10000000),"")</f>
        <v/>
      </c>
    </row>
    <row r="28" spans="1:17" ht="14.25" customHeight="1" x14ac:dyDescent="0.3">
      <c r="A28" s="39" t="str">
        <f>IFERROR("FY"&amp;TEXT(MOD(IF(MONTH(Sheet1!A28)&gt;=4,YEAR(Sheet1!A28),YEAR(Sheet1!A28)-1),100),"00")&amp;"-"&amp;TEXT(MOD(IF(MONTH(Sheet1!A28)&gt;=4,YEAR(Sheet1!A28),YEAR(Sheet1!A28)-1)+1,100),"00"),"")</f>
        <v>FY25-26</v>
      </c>
      <c r="B28" s="40" t="str">
        <f>IFERROR("Q"&amp;IF(MONTH(Sheet1!A28)&gt;=4,IF(MONTH(Sheet1!A28)&lt;=6,1,IF(MONTH(Sheet1!A28)&lt;=9,2,3)),4),"")</f>
        <v>Q1</v>
      </c>
      <c r="C28" s="39" t="str">
        <f>IFERROR(Sheet1!C28,0)</f>
        <v>Europe</v>
      </c>
      <c r="D28" s="39" t="str">
        <f>IFERROR(Sheet1!F28,0)</f>
        <v>United Kingdom</v>
      </c>
      <c r="E28" s="39" t="str">
        <f>IFERROR(Sheet1!E28,0)</f>
        <v>BA Bush Tyres</v>
      </c>
      <c r="F28" s="39" t="str">
        <f>IFERROR(IF(UPPER(TRIM(Sheet1!J28))="NH","Nhava Sheva",IF(UPPER(TRIM(Sheet1!J28))="ICD","ICD Dhannad",IF(UPPER(TRIM(Sheet1!J28))="TIHI","ICD Tihi",Sheet1!J28))),0)</f>
        <v>ICD Dhannad</v>
      </c>
      <c r="G28" s="39" t="str">
        <f>IFERROR(Sheet1!M28,0)</f>
        <v>London Gateway</v>
      </c>
      <c r="H28" s="39" t="str">
        <f>IFERROR(Sheet1!H28,0)</f>
        <v>Transbox</v>
      </c>
      <c r="I28" s="39" t="str">
        <f>IFERROR(Sheet1!G28,0)</f>
        <v>FOB</v>
      </c>
      <c r="J28" s="39" t="str">
        <f>IFERROR(Sheet1!K28,0)</f>
        <v>Hapag</v>
      </c>
      <c r="K28" s="41">
        <f>IFERROR(Sheet1!A28,0)</f>
        <v>45774</v>
      </c>
      <c r="L28" s="41">
        <f>IFERROR(Sheet1!I28,0)</f>
        <v>45774</v>
      </c>
      <c r="M28" s="41">
        <f>IFERROR(Sheet1!P28,0)</f>
        <v>45775</v>
      </c>
      <c r="N28" s="42">
        <f>IFERROR(IF(ISNUMBER(Sheet1!N28),Sheet1!N28,0),0)</f>
        <v>1325</v>
      </c>
      <c r="O28" s="42">
        <f>IFERROR(IF(TRIM(F28)="Nhava Sheva",SUMPRODUCT((UPPER(TRIM('Origin Costs'!$A$5:$A$44))=UPPER(TRIM(J28)))*'Origin Costs'!$C$5:$C$44),IF(TRIM(F28)="ICD Tihi",SUMPRODUCT((UPPER(TRIM('Origin Costs'!$A$49:$A$88))=UPPER(TRIM(J28)))*'Origin Costs'!$C$49:$C$88),IF(TRIM(F28)="ICD Dhannad",SUMPRODUCT((UPPER(TRIM('Origin Costs'!$A$93:$A$132))=UPPER(TRIM(J28)))*'Origin Costs'!$C$93:$C$132),0))),0)</f>
        <v>1209.3888888888889</v>
      </c>
      <c r="P28" s="42">
        <f t="shared" si="0"/>
        <v>2534.3888888888887</v>
      </c>
      <c r="Q28" s="13" t="str">
        <f>IF(OR(Dashboard!$C$4="All Customers",$E28=Dashboard!$C$4),IF($E28="","",$P28+ROW()/10000000),"")</f>
        <v/>
      </c>
    </row>
    <row r="29" spans="1:17" ht="14.25" customHeight="1" x14ac:dyDescent="0.3">
      <c r="A29" s="43" t="str">
        <f>IFERROR("FY"&amp;TEXT(MOD(IF(MONTH(Sheet1!A29)&gt;=4,YEAR(Sheet1!A29),YEAR(Sheet1!A29)-1),100),"00")&amp;"-"&amp;TEXT(MOD(IF(MONTH(Sheet1!A29)&gt;=4,YEAR(Sheet1!A29),YEAR(Sheet1!A29)-1)+1,100),"00"),"")</f>
        <v>FY25-26</v>
      </c>
      <c r="B29" s="44" t="str">
        <f>IFERROR("Q"&amp;IF(MONTH(Sheet1!A29)&gt;=4,IF(MONTH(Sheet1!A29)&lt;=6,1,IF(MONTH(Sheet1!A29)&lt;=9,2,3)),4),"")</f>
        <v>Q1</v>
      </c>
      <c r="C29" s="43" t="str">
        <f>IFERROR(Sheet1!C29,0)</f>
        <v>MEA</v>
      </c>
      <c r="D29" s="43" t="str">
        <f>IFERROR(Sheet1!F29,0)</f>
        <v>Iraq</v>
      </c>
      <c r="E29" s="43" t="str">
        <f>IFERROR(Sheet1!E29,0)</f>
        <v>AL-DYAR AL-KHADRAA TIRE AND BATTERY, Iraq</v>
      </c>
      <c r="F29" s="43" t="str">
        <f>IFERROR(IF(UPPER(TRIM(Sheet1!J29))="NH","Nhava Sheva",IF(UPPER(TRIM(Sheet1!J29))="ICD","ICD Dhannad",IF(UPPER(TRIM(Sheet1!J29))="TIHI","ICD Tihi",Sheet1!J29))),0)</f>
        <v>ICD Dhannad</v>
      </c>
      <c r="G29" s="43" t="str">
        <f>IFERROR(Sheet1!M29,0)</f>
        <v>Umm Qasr</v>
      </c>
      <c r="H29" s="43" t="str">
        <f>IFERROR(Sheet1!H29,0)</f>
        <v>DP World</v>
      </c>
      <c r="I29" s="43" t="str">
        <f>IFERROR(Sheet1!G29,0)</f>
        <v>CIF</v>
      </c>
      <c r="J29" s="43" t="str">
        <f>IFERROR(Sheet1!K29,0)</f>
        <v>Hapag</v>
      </c>
      <c r="K29" s="45">
        <f>IFERROR(Sheet1!A29,0)</f>
        <v>45775</v>
      </c>
      <c r="L29" s="45">
        <f>IFERROR(Sheet1!I29,0)</f>
        <v>45775</v>
      </c>
      <c r="M29" s="45">
        <f>IFERROR(Sheet1!P29,0)</f>
        <v>45776</v>
      </c>
      <c r="N29" s="46">
        <f>IFERROR(IF(ISNUMBER(Sheet1!N29),Sheet1!N29,0),0)</f>
        <v>950</v>
      </c>
      <c r="O29" s="46">
        <f>IFERROR(IF(TRIM(F29)="Nhava Sheva",SUMPRODUCT((UPPER(TRIM('Origin Costs'!$A$5:$A$44))=UPPER(TRIM(J29)))*'Origin Costs'!$C$5:$C$44),IF(TRIM(F29)="ICD Tihi",SUMPRODUCT((UPPER(TRIM('Origin Costs'!$A$49:$A$88))=UPPER(TRIM(J29)))*'Origin Costs'!$C$49:$C$88),IF(TRIM(F29)="ICD Dhannad",SUMPRODUCT((UPPER(TRIM('Origin Costs'!$A$93:$A$132))=UPPER(TRIM(J29)))*'Origin Costs'!$C$93:$C$132),0))),0)</f>
        <v>1209.3888888888889</v>
      </c>
      <c r="P29" s="46">
        <f t="shared" si="0"/>
        <v>2159.3888888888887</v>
      </c>
      <c r="Q29" s="13" t="str">
        <f>IF(OR(Dashboard!$C$4="All Customers",$E29=Dashboard!$C$4),IF($E29="","",$P29+ROW()/10000000),"")</f>
        <v/>
      </c>
    </row>
    <row r="30" spans="1:17" ht="14.25" customHeight="1" x14ac:dyDescent="0.3">
      <c r="A30" s="39" t="str">
        <f>IFERROR("FY"&amp;TEXT(MOD(IF(MONTH(Sheet1!A30)&gt;=4,YEAR(Sheet1!A30),YEAR(Sheet1!A30)-1),100),"00")&amp;"-"&amp;TEXT(MOD(IF(MONTH(Sheet1!A30)&gt;=4,YEAR(Sheet1!A30),YEAR(Sheet1!A30)-1)+1,100),"00"),"")</f>
        <v>FY25-26</v>
      </c>
      <c r="B30" s="40" t="str">
        <f>IFERROR("Q"&amp;IF(MONTH(Sheet1!A30)&gt;=4,IF(MONTH(Sheet1!A30)&lt;=6,1,IF(MONTH(Sheet1!A30)&lt;=9,2,3)),4),"")</f>
        <v>Q1</v>
      </c>
      <c r="C30" s="39" t="str">
        <f>IFERROR(Sheet1!C30,0)</f>
        <v>MEA</v>
      </c>
      <c r="D30" s="39" t="str">
        <f>IFERROR(Sheet1!F30,0)</f>
        <v>Iraq</v>
      </c>
      <c r="E30" s="39" t="str">
        <f>IFERROR(Sheet1!E30,0)</f>
        <v>AL-DYAR AL-KHADRAA TIRE AND BATTERY, Iraq</v>
      </c>
      <c r="F30" s="39" t="str">
        <f>IFERROR(IF(UPPER(TRIM(Sheet1!J30))="NH","Nhava Sheva",IF(UPPER(TRIM(Sheet1!J30))="ICD","ICD Dhannad",IF(UPPER(TRIM(Sheet1!J30))="TIHI","ICD Tihi",Sheet1!J30))),0)</f>
        <v>ICD Dhannad</v>
      </c>
      <c r="G30" s="39" t="str">
        <f>IFERROR(Sheet1!M30,0)</f>
        <v>Umm Qasr</v>
      </c>
      <c r="H30" s="39" t="str">
        <f>IFERROR(Sheet1!H30,0)</f>
        <v>DP World</v>
      </c>
      <c r="I30" s="39" t="str">
        <f>IFERROR(Sheet1!G30,0)</f>
        <v>CIF</v>
      </c>
      <c r="J30" s="39" t="str">
        <f>IFERROR(Sheet1!K30,0)</f>
        <v>Hapag</v>
      </c>
      <c r="K30" s="41">
        <f>IFERROR(Sheet1!A30,0)</f>
        <v>45775</v>
      </c>
      <c r="L30" s="41">
        <f>IFERROR(Sheet1!I30,0)</f>
        <v>45775</v>
      </c>
      <c r="M30" s="41">
        <f>IFERROR(Sheet1!P30,0)</f>
        <v>45776</v>
      </c>
      <c r="N30" s="42">
        <f>IFERROR(IF(ISNUMBER(Sheet1!N30),Sheet1!N30,0),0)</f>
        <v>950</v>
      </c>
      <c r="O30" s="42">
        <f>IFERROR(IF(TRIM(F30)="Nhava Sheva",SUMPRODUCT((UPPER(TRIM('Origin Costs'!$A$5:$A$44))=UPPER(TRIM(J30)))*'Origin Costs'!$C$5:$C$44),IF(TRIM(F30)="ICD Tihi",SUMPRODUCT((UPPER(TRIM('Origin Costs'!$A$49:$A$88))=UPPER(TRIM(J30)))*'Origin Costs'!$C$49:$C$88),IF(TRIM(F30)="ICD Dhannad",SUMPRODUCT((UPPER(TRIM('Origin Costs'!$A$93:$A$132))=UPPER(TRIM(J30)))*'Origin Costs'!$C$93:$C$132),0))),0)</f>
        <v>1209.3888888888889</v>
      </c>
      <c r="P30" s="42">
        <f t="shared" si="0"/>
        <v>2159.3888888888887</v>
      </c>
      <c r="Q30" s="13" t="str">
        <f>IF(OR(Dashboard!$C$4="All Customers",$E30=Dashboard!$C$4),IF($E30="","",$P30+ROW()/10000000),"")</f>
        <v/>
      </c>
    </row>
    <row r="31" spans="1:17" ht="14.25" customHeight="1" x14ac:dyDescent="0.3">
      <c r="A31" s="43" t="str">
        <f>IFERROR("FY"&amp;TEXT(MOD(IF(MONTH(Sheet1!A31)&gt;=4,YEAR(Sheet1!A31),YEAR(Sheet1!A31)-1),100),"00")&amp;"-"&amp;TEXT(MOD(IF(MONTH(Sheet1!A31)&gt;=4,YEAR(Sheet1!A31),YEAR(Sheet1!A31)-1)+1,100),"00"),"")</f>
        <v>FY25-26</v>
      </c>
      <c r="B31" s="44" t="str">
        <f>IFERROR("Q"&amp;IF(MONTH(Sheet1!A31)&gt;=4,IF(MONTH(Sheet1!A31)&lt;=6,1,IF(MONTH(Sheet1!A31)&lt;=9,2,3)),4),"")</f>
        <v>Q1</v>
      </c>
      <c r="C31" s="43" t="str">
        <f>IFERROR(Sheet1!C31,0)</f>
        <v>Europe</v>
      </c>
      <c r="D31" s="43" t="str">
        <f>IFERROR(Sheet1!F31,0)</f>
        <v>Germany</v>
      </c>
      <c r="E31" s="43" t="str">
        <f>IFERROR(Sheet1!E31,0)</f>
        <v>Agrigear LTD, Ireland</v>
      </c>
      <c r="F31" s="43" t="str">
        <f>IFERROR(IF(UPPER(TRIM(Sheet1!J31))="NH","Nhava Sheva",IF(UPPER(TRIM(Sheet1!J31))="ICD","ICD Dhannad",IF(UPPER(TRIM(Sheet1!J31))="TIHI","ICD Tihi",Sheet1!J31))),0)</f>
        <v>ICD Dhannad</v>
      </c>
      <c r="G31" s="43" t="str">
        <f>IFERROR(Sheet1!M31,0)</f>
        <v>Dublin</v>
      </c>
      <c r="H31" s="43" t="str">
        <f>IFERROR(Sheet1!H31,0)</f>
        <v>Hellmann</v>
      </c>
      <c r="I31" s="43" t="str">
        <f>IFERROR(Sheet1!G31,0)</f>
        <v>CIF</v>
      </c>
      <c r="J31" s="43" t="str">
        <f>IFERROR(Sheet1!K31,0)</f>
        <v>Hapag</v>
      </c>
      <c r="K31" s="45">
        <f>IFERROR(Sheet1!A31,0)</f>
        <v>45774</v>
      </c>
      <c r="L31" s="45">
        <f>IFERROR(Sheet1!I31,0)</f>
        <v>45775</v>
      </c>
      <c r="M31" s="45">
        <f>IFERROR(Sheet1!P31,0)</f>
        <v>45778</v>
      </c>
      <c r="N31" s="46">
        <f>IFERROR(IF(ISNUMBER(Sheet1!N31),Sheet1!N31,0),0)</f>
        <v>1650</v>
      </c>
      <c r="O31" s="46">
        <f>IFERROR(IF(TRIM(F31)="Nhava Sheva",SUMPRODUCT((UPPER(TRIM('Origin Costs'!$A$5:$A$44))=UPPER(TRIM(J31)))*'Origin Costs'!$C$5:$C$44),IF(TRIM(F31)="ICD Tihi",SUMPRODUCT((UPPER(TRIM('Origin Costs'!$A$49:$A$88))=UPPER(TRIM(J31)))*'Origin Costs'!$C$49:$C$88),IF(TRIM(F31)="ICD Dhannad",SUMPRODUCT((UPPER(TRIM('Origin Costs'!$A$93:$A$132))=UPPER(TRIM(J31)))*'Origin Costs'!$C$93:$C$132),0))),0)</f>
        <v>1209.3888888888889</v>
      </c>
      <c r="P31" s="46">
        <f t="shared" si="0"/>
        <v>2859.3888888888887</v>
      </c>
      <c r="Q31" s="13" t="str">
        <f>IF(OR(Dashboard!$C$4="All Customers",$E31=Dashboard!$C$4),IF($E31="","",$P31+ROW()/10000000),"")</f>
        <v/>
      </c>
    </row>
    <row r="32" spans="1:17" ht="14.25" customHeight="1" x14ac:dyDescent="0.3">
      <c r="A32" s="39" t="str">
        <f>IFERROR("FY"&amp;TEXT(MOD(IF(MONTH(Sheet1!A32)&gt;=4,YEAR(Sheet1!A32),YEAR(Sheet1!A32)-1),100),"00")&amp;"-"&amp;TEXT(MOD(IF(MONTH(Sheet1!A32)&gt;=4,YEAR(Sheet1!A32),YEAR(Sheet1!A32)-1)+1,100),"00"),"")</f>
        <v>FY25-26</v>
      </c>
      <c r="B32" s="40" t="str">
        <f>IFERROR("Q"&amp;IF(MONTH(Sheet1!A32)&gt;=4,IF(MONTH(Sheet1!A32)&lt;=6,1,IF(MONTH(Sheet1!A32)&lt;=9,2,3)),4),"")</f>
        <v>Q1</v>
      </c>
      <c r="C32" s="39" t="str">
        <f>IFERROR(Sheet1!C32,0)</f>
        <v>Europe</v>
      </c>
      <c r="D32" s="39" t="str">
        <f>IFERROR(Sheet1!F32,0)</f>
        <v>Poland</v>
      </c>
      <c r="E32" s="39" t="str">
        <f>IFERROR(Sheet1!E32,0)</f>
        <v>Inter Cars S.A., Poland</v>
      </c>
      <c r="F32" s="39" t="str">
        <f>IFERROR(IF(UPPER(TRIM(Sheet1!J32))="NH","Nhava Sheva",IF(UPPER(TRIM(Sheet1!J32))="ICD","ICD Dhannad",IF(UPPER(TRIM(Sheet1!J32))="TIHI","ICD Tihi",Sheet1!J32))),0)</f>
        <v>Nhava Sheva</v>
      </c>
      <c r="G32" s="39" t="str">
        <f>IFERROR(Sheet1!M32,0)</f>
        <v>Gdansk</v>
      </c>
      <c r="H32" s="39" t="str">
        <f>IFERROR(Sheet1!H32,0)</f>
        <v>Clearship</v>
      </c>
      <c r="I32" s="39" t="str">
        <f>IFERROR(Sheet1!G32,0)</f>
        <v>FOB</v>
      </c>
      <c r="J32" s="39" t="str">
        <f>IFERROR(Sheet1!K32,0)</f>
        <v>Maersk</v>
      </c>
      <c r="K32" s="41">
        <f>IFERROR(Sheet1!A32,0)</f>
        <v>45779</v>
      </c>
      <c r="L32" s="41">
        <f>IFERROR(Sheet1!I32,0)</f>
        <v>45777</v>
      </c>
      <c r="M32" s="41">
        <f>IFERROR(Sheet1!P32,0)</f>
        <v>45781</v>
      </c>
      <c r="N32" s="42">
        <f>IFERROR(IF(ISNUMBER(Sheet1!N32),Sheet1!N32,0),0)</f>
        <v>0</v>
      </c>
      <c r="O32" s="42">
        <f>IFERROR(IF(TRIM(F32)="Nhava Sheva",SUMPRODUCT((UPPER(TRIM('Origin Costs'!$A$5:$A$44))=UPPER(TRIM(J32)))*'Origin Costs'!$C$5:$C$44),IF(TRIM(F32)="ICD Tihi",SUMPRODUCT((UPPER(TRIM('Origin Costs'!$A$49:$A$88))=UPPER(TRIM(J32)))*'Origin Costs'!$C$49:$C$88),IF(TRIM(F32)="ICD Dhannad",SUMPRODUCT((UPPER(TRIM('Origin Costs'!$A$93:$A$132))=UPPER(TRIM(J32)))*'Origin Costs'!$C$93:$C$132),0))),0)</f>
        <v>1148.588888888889</v>
      </c>
      <c r="P32" s="42">
        <f t="shared" si="0"/>
        <v>1148.588888888889</v>
      </c>
      <c r="Q32" s="13" t="str">
        <f>IF(OR(Dashboard!$C$4="All Customers",$E32=Dashboard!$C$4),IF($E32="","",$P32+ROW()/10000000),"")</f>
        <v/>
      </c>
    </row>
    <row r="33" spans="1:17" ht="14.25" customHeight="1" x14ac:dyDescent="0.3">
      <c r="A33" s="43" t="str">
        <f>IFERROR("FY"&amp;TEXT(MOD(IF(MONTH(Sheet1!A33)&gt;=4,YEAR(Sheet1!A33),YEAR(Sheet1!A33)-1),100),"00")&amp;"-"&amp;TEXT(MOD(IF(MONTH(Sheet1!A33)&gt;=4,YEAR(Sheet1!A33),YEAR(Sheet1!A33)-1)+1,100),"00"),"")</f>
        <v>FY25-26</v>
      </c>
      <c r="B33" s="44" t="str">
        <f>IFERROR("Q"&amp;IF(MONTH(Sheet1!A33)&gt;=4,IF(MONTH(Sheet1!A33)&lt;=6,1,IF(MONTH(Sheet1!A33)&lt;=9,2,3)),4),"")</f>
        <v>Q1</v>
      </c>
      <c r="C33" s="43" t="str">
        <f>IFERROR(Sheet1!C33,0)</f>
        <v>Europe</v>
      </c>
      <c r="D33" s="43" t="str">
        <f>IFERROR(Sheet1!F33,0)</f>
        <v>Poland</v>
      </c>
      <c r="E33" s="43" t="str">
        <f>IFERROR(Sheet1!E33,0)</f>
        <v>Inter Cars S.A., Poland</v>
      </c>
      <c r="F33" s="43" t="str">
        <f>IFERROR(IF(UPPER(TRIM(Sheet1!J33))="NH","Nhava Sheva",IF(UPPER(TRIM(Sheet1!J33))="ICD","ICD Dhannad",IF(UPPER(TRIM(Sheet1!J33))="TIHI","ICD Tihi",Sheet1!J33))),0)</f>
        <v>Nhava Sheva</v>
      </c>
      <c r="G33" s="43" t="str">
        <f>IFERROR(Sheet1!M33,0)</f>
        <v>Gdansk</v>
      </c>
      <c r="H33" s="43" t="str">
        <f>IFERROR(Sheet1!H33,0)</f>
        <v>Clearship</v>
      </c>
      <c r="I33" s="43" t="str">
        <f>IFERROR(Sheet1!G33,0)</f>
        <v>FOB</v>
      </c>
      <c r="J33" s="43" t="str">
        <f>IFERROR(Sheet1!K33,0)</f>
        <v>Maersk</v>
      </c>
      <c r="K33" s="45">
        <f>IFERROR(Sheet1!A33,0)</f>
        <v>45779</v>
      </c>
      <c r="L33" s="45">
        <f>IFERROR(Sheet1!I33,0)</f>
        <v>45777</v>
      </c>
      <c r="M33" s="45">
        <f>IFERROR(Sheet1!P33,0)</f>
        <v>45781</v>
      </c>
      <c r="N33" s="46">
        <f>IFERROR(IF(ISNUMBER(Sheet1!N33),Sheet1!N33,0),0)</f>
        <v>0</v>
      </c>
      <c r="O33" s="46">
        <f>IFERROR(IF(TRIM(F33)="Nhava Sheva",SUMPRODUCT((UPPER(TRIM('Origin Costs'!$A$5:$A$44))=UPPER(TRIM(J33)))*'Origin Costs'!$C$5:$C$44),IF(TRIM(F33)="ICD Tihi",SUMPRODUCT((UPPER(TRIM('Origin Costs'!$A$49:$A$88))=UPPER(TRIM(J33)))*'Origin Costs'!$C$49:$C$88),IF(TRIM(F33)="ICD Dhannad",SUMPRODUCT((UPPER(TRIM('Origin Costs'!$A$93:$A$132))=UPPER(TRIM(J33)))*'Origin Costs'!$C$93:$C$132),0))),0)</f>
        <v>1148.588888888889</v>
      </c>
      <c r="P33" s="46">
        <f t="shared" si="0"/>
        <v>1148.588888888889</v>
      </c>
      <c r="Q33" s="13" t="str">
        <f>IF(OR(Dashboard!$C$4="All Customers",$E33=Dashboard!$C$4),IF($E33="","",$P33+ROW()/10000000),"")</f>
        <v/>
      </c>
    </row>
    <row r="34" spans="1:17" ht="14.25" customHeight="1" x14ac:dyDescent="0.3">
      <c r="A34" s="39" t="str">
        <f>IFERROR("FY"&amp;TEXT(MOD(IF(MONTH(Sheet1!A34)&gt;=4,YEAR(Sheet1!A34),YEAR(Sheet1!A34)-1),100),"00")&amp;"-"&amp;TEXT(MOD(IF(MONTH(Sheet1!A34)&gt;=4,YEAR(Sheet1!A34),YEAR(Sheet1!A34)-1)+1,100),"00"),"")</f>
        <v>FY25-26</v>
      </c>
      <c r="B34" s="40" t="str">
        <f>IFERROR("Q"&amp;IF(MONTH(Sheet1!A34)&gt;=4,IF(MONTH(Sheet1!A34)&lt;=6,1,IF(MONTH(Sheet1!A34)&lt;=9,2,3)),4),"")</f>
        <v>Q1</v>
      </c>
      <c r="C34" s="39" t="str">
        <f>IFERROR(Sheet1!C34,0)</f>
        <v>ISC</v>
      </c>
      <c r="D34" s="39" t="str">
        <f>IFERROR(Sheet1!F34,0)</f>
        <v>Srilanka</v>
      </c>
      <c r="E34" s="39" t="str">
        <f>IFERROR(Sheet1!E34,0)</f>
        <v>Supergrip International (Pvt) Ltd</v>
      </c>
      <c r="F34" s="39" t="str">
        <f>IFERROR(IF(UPPER(TRIM(Sheet1!J34))="NH","Nhava Sheva",IF(UPPER(TRIM(Sheet1!J34))="ICD","ICD Dhannad",IF(UPPER(TRIM(Sheet1!J34))="TIHI","ICD Tihi",Sheet1!J34))),0)</f>
        <v>Nhava Sheva</v>
      </c>
      <c r="G34" s="39" t="str">
        <f>IFERROR(Sheet1!M34,0)</f>
        <v>Colombo</v>
      </c>
      <c r="H34" s="39" t="str">
        <f>IFERROR(Sheet1!H34,0)</f>
        <v>Gonsai Logistcs</v>
      </c>
      <c r="I34" s="39" t="str">
        <f>IFERROR(Sheet1!G34,0)</f>
        <v>FOB</v>
      </c>
      <c r="J34" s="39" t="str">
        <f>IFERROR(Sheet1!K34,0)</f>
        <v>COSCO</v>
      </c>
      <c r="K34" s="41">
        <f>IFERROR(Sheet1!A34,0)</f>
        <v>45785</v>
      </c>
      <c r="L34" s="41">
        <f>IFERROR(Sheet1!I34,0)</f>
        <v>45784</v>
      </c>
      <c r="M34" s="41">
        <f>IFERROR(Sheet1!P34,0)</f>
        <v>45788</v>
      </c>
      <c r="N34" s="42">
        <f>IFERROR(IF(ISNUMBER(Sheet1!N34),Sheet1!N34,0),0)</f>
        <v>0</v>
      </c>
      <c r="O34" s="42">
        <f>IFERROR(IF(TRIM(F34)="Nhava Sheva",SUMPRODUCT((UPPER(TRIM('Origin Costs'!$A$5:$A$44))=UPPER(TRIM(J34)))*'Origin Costs'!$C$5:$C$44),IF(TRIM(F34)="ICD Tihi",SUMPRODUCT((UPPER(TRIM('Origin Costs'!$A$49:$A$88))=UPPER(TRIM(J34)))*'Origin Costs'!$C$49:$C$88),IF(TRIM(F34)="ICD Dhannad",SUMPRODUCT((UPPER(TRIM('Origin Costs'!$A$93:$A$132))=UPPER(TRIM(J34)))*'Origin Costs'!$C$93:$C$132),0))),0)</f>
        <v>0</v>
      </c>
      <c r="P34" s="42">
        <f t="shared" si="0"/>
        <v>0</v>
      </c>
      <c r="Q34" s="13" t="str">
        <f>IF(OR(Dashboard!$C$4="All Customers",$E34=Dashboard!$C$4),IF($E34="","",$P34+ROW()/10000000),"")</f>
        <v/>
      </c>
    </row>
    <row r="35" spans="1:17" ht="14.25" customHeight="1" x14ac:dyDescent="0.3">
      <c r="A35" s="43" t="str">
        <f>IFERROR("FY"&amp;TEXT(MOD(IF(MONTH(Sheet1!A35)&gt;=4,YEAR(Sheet1!A35),YEAR(Sheet1!A35)-1),100),"00")&amp;"-"&amp;TEXT(MOD(IF(MONTH(Sheet1!A35)&gt;=4,YEAR(Sheet1!A35),YEAR(Sheet1!A35)-1)+1,100),"00"),"")</f>
        <v>FY25-26</v>
      </c>
      <c r="B35" s="44" t="str">
        <f>IFERROR("Q"&amp;IF(MONTH(Sheet1!A35)&gt;=4,IF(MONTH(Sheet1!A35)&lt;=6,1,IF(MONTH(Sheet1!A35)&lt;=9,2,3)),4),"")</f>
        <v>Q1</v>
      </c>
      <c r="C35" s="43" t="str">
        <f>IFERROR(Sheet1!C35,0)</f>
        <v>Europe</v>
      </c>
      <c r="D35" s="43" t="str">
        <f>IFERROR(Sheet1!F35,0)</f>
        <v>Lithuania</v>
      </c>
      <c r="E35" s="43" t="str">
        <f>IFERROR(Sheet1!E35,0)</f>
        <v>UAB Inter Cars Lietuva, Lithuania</v>
      </c>
      <c r="F35" s="43" t="str">
        <f>IFERROR(IF(UPPER(TRIM(Sheet1!J35))="NH","Nhava Sheva",IF(UPPER(TRIM(Sheet1!J35))="ICD","ICD Dhannad",IF(UPPER(TRIM(Sheet1!J35))="TIHI","ICD Tihi",Sheet1!J35))),0)</f>
        <v>ICD Dhannad</v>
      </c>
      <c r="G35" s="43" t="str">
        <f>IFERROR(Sheet1!M35,0)</f>
        <v>Klaipeda</v>
      </c>
      <c r="H35" s="43" t="str">
        <f>IFERROR(Sheet1!H35,0)</f>
        <v>Hellmann</v>
      </c>
      <c r="I35" s="43" t="str">
        <f>IFERROR(Sheet1!G35,0)</f>
        <v>FOB</v>
      </c>
      <c r="J35" s="43" t="str">
        <f>IFERROR(Sheet1!K35,0)</f>
        <v>MSC</v>
      </c>
      <c r="K35" s="45">
        <f>IFERROR(Sheet1!A35,0)</f>
        <v>45785</v>
      </c>
      <c r="L35" s="45">
        <f>IFERROR(Sheet1!I35,0)</f>
        <v>45784</v>
      </c>
      <c r="M35" s="45">
        <f>IFERROR(Sheet1!P35,0)</f>
        <v>45788</v>
      </c>
      <c r="N35" s="46">
        <f>IFERROR(IF(ISNUMBER(Sheet1!N35),Sheet1!N35,0),0)</f>
        <v>0</v>
      </c>
      <c r="O35" s="46">
        <f>IFERROR(IF(TRIM(F35)="Nhava Sheva",SUMPRODUCT((UPPER(TRIM('Origin Costs'!$A$5:$A$44))=UPPER(TRIM(J35)))*'Origin Costs'!$C$5:$C$44),IF(TRIM(F35)="ICD Tihi",SUMPRODUCT((UPPER(TRIM('Origin Costs'!$A$49:$A$88))=UPPER(TRIM(J35)))*'Origin Costs'!$C$49:$C$88),IF(TRIM(F35)="ICD Dhannad",SUMPRODUCT((UPPER(TRIM('Origin Costs'!$A$93:$A$132))=UPPER(TRIM(J35)))*'Origin Costs'!$C$93:$C$132),0))),0)</f>
        <v>0</v>
      </c>
      <c r="P35" s="46">
        <f t="shared" si="0"/>
        <v>0</v>
      </c>
      <c r="Q35" s="13" t="str">
        <f>IF(OR(Dashboard!$C$4="All Customers",$E35=Dashboard!$C$4),IF($E35="","",$P35+ROW()/10000000),"")</f>
        <v/>
      </c>
    </row>
    <row r="36" spans="1:17" ht="14.25" customHeight="1" x14ac:dyDescent="0.3">
      <c r="A36" s="39" t="str">
        <f>IFERROR("FY"&amp;TEXT(MOD(IF(MONTH(Sheet1!A36)&gt;=4,YEAR(Sheet1!A36),YEAR(Sheet1!A36)-1),100),"00")&amp;"-"&amp;TEXT(MOD(IF(MONTH(Sheet1!A36)&gt;=4,YEAR(Sheet1!A36),YEAR(Sheet1!A36)-1)+1,100),"00"),"")</f>
        <v>FY25-26</v>
      </c>
      <c r="B36" s="40" t="str">
        <f>IFERROR("Q"&amp;IF(MONTH(Sheet1!A36)&gt;=4,IF(MONTH(Sheet1!A36)&lt;=6,1,IF(MONTH(Sheet1!A36)&lt;=9,2,3)),4),"")</f>
        <v>Q1</v>
      </c>
      <c r="C36" s="39" t="str">
        <f>IFERROR(Sheet1!C36,0)</f>
        <v>MEA</v>
      </c>
      <c r="D36" s="39" t="str">
        <f>IFERROR(Sheet1!F36,0)</f>
        <v>South Africa</v>
      </c>
      <c r="E36" s="39" t="str">
        <f>IFERROR(Sheet1!E36,0)</f>
        <v>Vaal Tyre Centre Holdings (Pty) Ltd-S.A</v>
      </c>
      <c r="F36" s="39" t="str">
        <f>IFERROR(IF(UPPER(TRIM(Sheet1!J36))="NH","Nhava Sheva",IF(UPPER(TRIM(Sheet1!J36))="ICD","ICD Dhannad",IF(UPPER(TRIM(Sheet1!J36))="TIHI","ICD Tihi",Sheet1!J36))),0)</f>
        <v>Nhava Sheva</v>
      </c>
      <c r="G36" s="39" t="str">
        <f>IFERROR(Sheet1!M36,0)</f>
        <v>Durban</v>
      </c>
      <c r="H36" s="39" t="str">
        <f>IFERROR(Sheet1!H36,0)</f>
        <v>Hellmann</v>
      </c>
      <c r="I36" s="39" t="str">
        <f>IFERROR(Sheet1!G36,0)</f>
        <v>FOB</v>
      </c>
      <c r="J36" s="39" t="str">
        <f>IFERROR(Sheet1!K36,0)</f>
        <v>CMA</v>
      </c>
      <c r="K36" s="41">
        <f>IFERROR(Sheet1!A36,0)</f>
        <v>45788</v>
      </c>
      <c r="L36" s="41">
        <f>IFERROR(Sheet1!I36,0)</f>
        <v>45786</v>
      </c>
      <c r="M36" s="41">
        <f>IFERROR(Sheet1!P36,0)</f>
        <v>45788</v>
      </c>
      <c r="N36" s="42">
        <f>IFERROR(IF(ISNUMBER(Sheet1!N36),Sheet1!N36,0),0)</f>
        <v>989</v>
      </c>
      <c r="O36" s="42">
        <f>IFERROR(IF(TRIM(F36)="Nhava Sheva",SUMPRODUCT((UPPER(TRIM('Origin Costs'!$A$5:$A$44))=UPPER(TRIM(J36)))*'Origin Costs'!$C$5:$C$44),IF(TRIM(F36)="ICD Tihi",SUMPRODUCT((UPPER(TRIM('Origin Costs'!$A$49:$A$88))=UPPER(TRIM(J36)))*'Origin Costs'!$C$49:$C$88),IF(TRIM(F36)="ICD Dhannad",SUMPRODUCT((UPPER(TRIM('Origin Costs'!$A$93:$A$132))=UPPER(TRIM(J36)))*'Origin Costs'!$C$93:$C$132),0))),0)</f>
        <v>0</v>
      </c>
      <c r="P36" s="42">
        <f t="shared" si="0"/>
        <v>989</v>
      </c>
      <c r="Q36" s="13" t="str">
        <f>IF(OR(Dashboard!$C$4="All Customers",$E36=Dashboard!$C$4),IF($E36="","",$P36+ROW()/10000000),"")</f>
        <v/>
      </c>
    </row>
    <row r="37" spans="1:17" ht="14.25" customHeight="1" x14ac:dyDescent="0.3">
      <c r="A37" s="43" t="str">
        <f>IFERROR("FY"&amp;TEXT(MOD(IF(MONTH(Sheet1!A37)&gt;=4,YEAR(Sheet1!A37),YEAR(Sheet1!A37)-1),100),"00")&amp;"-"&amp;TEXT(MOD(IF(MONTH(Sheet1!A37)&gt;=4,YEAR(Sheet1!A37),YEAR(Sheet1!A37)-1)+1,100),"00"),"")</f>
        <v>FY25-26</v>
      </c>
      <c r="B37" s="44" t="str">
        <f>IFERROR("Q"&amp;IF(MONTH(Sheet1!A37)&gt;=4,IF(MONTH(Sheet1!A37)&lt;=6,1,IF(MONTH(Sheet1!A37)&lt;=9,2,3)),4),"")</f>
        <v>Q1</v>
      </c>
      <c r="C37" s="43" t="str">
        <f>IFERROR(Sheet1!C37,0)</f>
        <v>Europe</v>
      </c>
      <c r="D37" s="43" t="str">
        <f>IFERROR(Sheet1!F37,0)</f>
        <v>Germany</v>
      </c>
      <c r="E37" s="43" t="str">
        <f>IFERROR(Sheet1!E37,0)</f>
        <v>Intercars, Germany</v>
      </c>
      <c r="F37" s="43" t="str">
        <f>IFERROR(IF(UPPER(TRIM(Sheet1!J37))="NH","Nhava Sheva",IF(UPPER(TRIM(Sheet1!J37))="ICD","ICD Dhannad",IF(UPPER(TRIM(Sheet1!J37))="TIHI","ICD Tihi",Sheet1!J37))),0)</f>
        <v>Nhava Sheva</v>
      </c>
      <c r="G37" s="43" t="str">
        <f>IFERROR(Sheet1!M37,0)</f>
        <v>Rotterdam</v>
      </c>
      <c r="H37" s="43" t="str">
        <f>IFERROR(Sheet1!H37,0)</f>
        <v>Hellmann</v>
      </c>
      <c r="I37" s="43" t="str">
        <f>IFERROR(Sheet1!G37,0)</f>
        <v>DDP</v>
      </c>
      <c r="J37" s="43" t="str">
        <f>IFERROR(Sheet1!K37,0)</f>
        <v>Hapag</v>
      </c>
      <c r="K37" s="45">
        <f>IFERROR(Sheet1!A37,0)</f>
        <v>45794</v>
      </c>
      <c r="L37" s="45">
        <f>IFERROR(Sheet1!I37,0)</f>
        <v>45792</v>
      </c>
      <c r="M37" s="45">
        <f>IFERROR(Sheet1!P37,0)</f>
        <v>45794</v>
      </c>
      <c r="N37" s="46">
        <f>IFERROR(IF(ISNUMBER(Sheet1!N37),Sheet1!N37,0),0)</f>
        <v>1100</v>
      </c>
      <c r="O37" s="46">
        <f>IFERROR(IF(TRIM(F37)="Nhava Sheva",SUMPRODUCT((UPPER(TRIM('Origin Costs'!$A$5:$A$44))=UPPER(TRIM(J37)))*'Origin Costs'!$C$5:$C$44),IF(TRIM(F37)="ICD Tihi",SUMPRODUCT((UPPER(TRIM('Origin Costs'!$A$49:$A$88))=UPPER(TRIM(J37)))*'Origin Costs'!$C$49:$C$88),IF(TRIM(F37)="ICD Dhannad",SUMPRODUCT((UPPER(TRIM('Origin Costs'!$A$93:$A$132))=UPPER(TRIM(J37)))*'Origin Costs'!$C$93:$C$132),0))),0)</f>
        <v>1192.9777777777779</v>
      </c>
      <c r="P37" s="46">
        <f t="shared" si="0"/>
        <v>2292.9777777777781</v>
      </c>
      <c r="Q37" s="13" t="str">
        <f>IF(OR(Dashboard!$C$4="All Customers",$E37=Dashboard!$C$4),IF($E37="","",$P37+ROW()/10000000),"")</f>
        <v/>
      </c>
    </row>
    <row r="38" spans="1:17" ht="14.25" customHeight="1" x14ac:dyDescent="0.3">
      <c r="A38" s="39" t="str">
        <f>IFERROR("FY"&amp;TEXT(MOD(IF(MONTH(Sheet1!A38)&gt;=4,YEAR(Sheet1!A38),YEAR(Sheet1!A38)-1),100),"00")&amp;"-"&amp;TEXT(MOD(IF(MONTH(Sheet1!A38)&gt;=4,YEAR(Sheet1!A38),YEAR(Sheet1!A38)-1)+1,100),"00"),"")</f>
        <v>FY25-26</v>
      </c>
      <c r="B38" s="40" t="str">
        <f>IFERROR("Q"&amp;IF(MONTH(Sheet1!A38)&gt;=4,IF(MONTH(Sheet1!A38)&lt;=6,1,IF(MONTH(Sheet1!A38)&lt;=9,2,3)),4),"")</f>
        <v>Q1</v>
      </c>
      <c r="C38" s="39" t="str">
        <f>IFERROR(Sheet1!C38,0)</f>
        <v>MEA</v>
      </c>
      <c r="D38" s="39" t="str">
        <f>IFERROR(Sheet1!F38,0)</f>
        <v>Sudan</v>
      </c>
      <c r="E38" s="39" t="str">
        <f>IFERROR(Sheet1!E38,0)</f>
        <v>Al Rabee - Sudan</v>
      </c>
      <c r="F38" s="39" t="str">
        <f>IFERROR(IF(UPPER(TRIM(Sheet1!J38))="NH","Nhava Sheva",IF(UPPER(TRIM(Sheet1!J38))="ICD","ICD Dhannad",IF(UPPER(TRIM(Sheet1!J38))="TIHI","ICD Tihi",Sheet1!J38))),0)</f>
        <v>Nhava Sheva</v>
      </c>
      <c r="G38" s="39" t="str">
        <f>IFERROR(Sheet1!M38,0)</f>
        <v>Port Sudan</v>
      </c>
      <c r="H38" s="39" t="str">
        <f>IFERROR(Sheet1!H38,0)</f>
        <v>Arikas Logistics</v>
      </c>
      <c r="I38" s="39" t="str">
        <f>IFERROR(Sheet1!G38,0)</f>
        <v>FOB</v>
      </c>
      <c r="J38" s="39" t="str">
        <f>IFERROR(Sheet1!K38,0)</f>
        <v>PIL</v>
      </c>
      <c r="K38" s="41">
        <f>IFERROR(Sheet1!A38,0)</f>
        <v>45795</v>
      </c>
      <c r="L38" s="41">
        <f>IFERROR(Sheet1!I38,0)</f>
        <v>45793</v>
      </c>
      <c r="M38" s="41">
        <f>IFERROR(Sheet1!P38,0)</f>
        <v>45795</v>
      </c>
      <c r="N38" s="42">
        <f>IFERROR(IF(ISNUMBER(Sheet1!N38),Sheet1!N38,0),0)</f>
        <v>0</v>
      </c>
      <c r="O38" s="42">
        <f>IFERROR(IF(TRIM(F38)="Nhava Sheva",SUMPRODUCT((UPPER(TRIM('Origin Costs'!$A$5:$A$44))=UPPER(TRIM(J38)))*'Origin Costs'!$C$5:$C$44),IF(TRIM(F38)="ICD Tihi",SUMPRODUCT((UPPER(TRIM('Origin Costs'!$A$49:$A$88))=UPPER(TRIM(J38)))*'Origin Costs'!$C$49:$C$88),IF(TRIM(F38)="ICD Dhannad",SUMPRODUCT((UPPER(TRIM('Origin Costs'!$A$93:$A$132))=UPPER(TRIM(J38)))*'Origin Costs'!$C$93:$C$132),0))),0)</f>
        <v>0</v>
      </c>
      <c r="P38" s="42">
        <f t="shared" si="0"/>
        <v>0</v>
      </c>
      <c r="Q38" s="13" t="str">
        <f>IF(OR(Dashboard!$C$4="All Customers",$E38=Dashboard!$C$4),IF($E38="","",$P38+ROW()/10000000),"")</f>
        <v/>
      </c>
    </row>
    <row r="39" spans="1:17" ht="14.25" customHeight="1" x14ac:dyDescent="0.3">
      <c r="A39" s="43" t="str">
        <f>IFERROR("FY"&amp;TEXT(MOD(IF(MONTH(Sheet1!A39)&gt;=4,YEAR(Sheet1!A39),YEAR(Sheet1!A39)-1),100),"00")&amp;"-"&amp;TEXT(MOD(IF(MONTH(Sheet1!A39)&gt;=4,YEAR(Sheet1!A39),YEAR(Sheet1!A39)-1)+1,100),"00"),"")</f>
        <v>FY25-26</v>
      </c>
      <c r="B39" s="44" t="str">
        <f>IFERROR("Q"&amp;IF(MONTH(Sheet1!A39)&gt;=4,IF(MONTH(Sheet1!A39)&lt;=6,1,IF(MONTH(Sheet1!A39)&lt;=9,2,3)),4),"")</f>
        <v>Q1</v>
      </c>
      <c r="C39" s="43" t="str">
        <f>IFERROR(Sheet1!C39,0)</f>
        <v>MEA</v>
      </c>
      <c r="D39" s="43" t="str">
        <f>IFERROR(Sheet1!F39,0)</f>
        <v>Sudan</v>
      </c>
      <c r="E39" s="43" t="str">
        <f>IFERROR(Sheet1!E39,0)</f>
        <v>Al Rabee - Sudan</v>
      </c>
      <c r="F39" s="43" t="str">
        <f>IFERROR(IF(UPPER(TRIM(Sheet1!J39))="NH","Nhava Sheva",IF(UPPER(TRIM(Sheet1!J39))="ICD","ICD Dhannad",IF(UPPER(TRIM(Sheet1!J39))="TIHI","ICD Tihi",Sheet1!J39))),0)</f>
        <v>Nhava Sheva</v>
      </c>
      <c r="G39" s="43" t="str">
        <f>IFERROR(Sheet1!M39,0)</f>
        <v>Port Sudan</v>
      </c>
      <c r="H39" s="43" t="str">
        <f>IFERROR(Sheet1!H39,0)</f>
        <v>Arikas Logistics</v>
      </c>
      <c r="I39" s="43" t="str">
        <f>IFERROR(Sheet1!G39,0)</f>
        <v>FOB</v>
      </c>
      <c r="J39" s="43" t="str">
        <f>IFERROR(Sheet1!K39,0)</f>
        <v>PIL</v>
      </c>
      <c r="K39" s="45">
        <f>IFERROR(Sheet1!A39,0)</f>
        <v>45795</v>
      </c>
      <c r="L39" s="45">
        <f>IFERROR(Sheet1!I39,0)</f>
        <v>45793</v>
      </c>
      <c r="M39" s="45">
        <f>IFERROR(Sheet1!P39,0)</f>
        <v>45795</v>
      </c>
      <c r="N39" s="46">
        <f>IFERROR(IF(ISNUMBER(Sheet1!N39),Sheet1!N39,0),0)</f>
        <v>0</v>
      </c>
      <c r="O39" s="46">
        <f>IFERROR(IF(TRIM(F39)="Nhava Sheva",SUMPRODUCT((UPPER(TRIM('Origin Costs'!$A$5:$A$44))=UPPER(TRIM(J39)))*'Origin Costs'!$C$5:$C$44),IF(TRIM(F39)="ICD Tihi",SUMPRODUCT((UPPER(TRIM('Origin Costs'!$A$49:$A$88))=UPPER(TRIM(J39)))*'Origin Costs'!$C$49:$C$88),IF(TRIM(F39)="ICD Dhannad",SUMPRODUCT((UPPER(TRIM('Origin Costs'!$A$93:$A$132))=UPPER(TRIM(J39)))*'Origin Costs'!$C$93:$C$132),0))),0)</f>
        <v>0</v>
      </c>
      <c r="P39" s="46">
        <f t="shared" si="0"/>
        <v>0</v>
      </c>
      <c r="Q39" s="13" t="str">
        <f>IF(OR(Dashboard!$C$4="All Customers",$E39=Dashboard!$C$4),IF($E39="","",$P39+ROW()/10000000),"")</f>
        <v/>
      </c>
    </row>
    <row r="40" spans="1:17" ht="14.25" customHeight="1" x14ac:dyDescent="0.3">
      <c r="A40" s="39" t="str">
        <f>IFERROR("FY"&amp;TEXT(MOD(IF(MONTH(Sheet1!A40)&gt;=4,YEAR(Sheet1!A40),YEAR(Sheet1!A40)-1),100),"00")&amp;"-"&amp;TEXT(MOD(IF(MONTH(Sheet1!A40)&gt;=4,YEAR(Sheet1!A40),YEAR(Sheet1!A40)-1)+1,100),"00"),"")</f>
        <v>FY25-26</v>
      </c>
      <c r="B40" s="40" t="str">
        <f>IFERROR("Q"&amp;IF(MONTH(Sheet1!A40)&gt;=4,IF(MONTH(Sheet1!A40)&lt;=6,1,IF(MONTH(Sheet1!A40)&lt;=9,2,3)),4),"")</f>
        <v>Q1</v>
      </c>
      <c r="C40" s="39" t="str">
        <f>IFERROR(Sheet1!C40,0)</f>
        <v>MEA</v>
      </c>
      <c r="D40" s="39" t="str">
        <f>IFERROR(Sheet1!F40,0)</f>
        <v>Sudan</v>
      </c>
      <c r="E40" s="39" t="str">
        <f>IFERROR(Sheet1!E40,0)</f>
        <v>Al Rabee - Sudan</v>
      </c>
      <c r="F40" s="39" t="str">
        <f>IFERROR(IF(UPPER(TRIM(Sheet1!J40))="NH","Nhava Sheva",IF(UPPER(TRIM(Sheet1!J40))="ICD","ICD Dhannad",IF(UPPER(TRIM(Sheet1!J40))="TIHI","ICD Tihi",Sheet1!J40))),0)</f>
        <v>Nhava Sheva</v>
      </c>
      <c r="G40" s="39" t="str">
        <f>IFERROR(Sheet1!M40,0)</f>
        <v>Port Sudan</v>
      </c>
      <c r="H40" s="39" t="str">
        <f>IFERROR(Sheet1!H40,0)</f>
        <v>Arikas Logistics</v>
      </c>
      <c r="I40" s="39" t="str">
        <f>IFERROR(Sheet1!G40,0)</f>
        <v>FOB</v>
      </c>
      <c r="J40" s="39" t="str">
        <f>IFERROR(Sheet1!K40,0)</f>
        <v>PIL</v>
      </c>
      <c r="K40" s="41">
        <f>IFERROR(Sheet1!A40,0)</f>
        <v>45795</v>
      </c>
      <c r="L40" s="41">
        <f>IFERROR(Sheet1!I40,0)</f>
        <v>45793</v>
      </c>
      <c r="M40" s="41">
        <f>IFERROR(Sheet1!P40,0)</f>
        <v>45795</v>
      </c>
      <c r="N40" s="42">
        <f>IFERROR(IF(ISNUMBER(Sheet1!N40),Sheet1!N40,0),0)</f>
        <v>0</v>
      </c>
      <c r="O40" s="42">
        <f>IFERROR(IF(TRIM(F40)="Nhava Sheva",SUMPRODUCT((UPPER(TRIM('Origin Costs'!$A$5:$A$44))=UPPER(TRIM(J40)))*'Origin Costs'!$C$5:$C$44),IF(TRIM(F40)="ICD Tihi",SUMPRODUCT((UPPER(TRIM('Origin Costs'!$A$49:$A$88))=UPPER(TRIM(J40)))*'Origin Costs'!$C$49:$C$88),IF(TRIM(F40)="ICD Dhannad",SUMPRODUCT((UPPER(TRIM('Origin Costs'!$A$93:$A$132))=UPPER(TRIM(J40)))*'Origin Costs'!$C$93:$C$132),0))),0)</f>
        <v>0</v>
      </c>
      <c r="P40" s="42">
        <f t="shared" si="0"/>
        <v>0</v>
      </c>
      <c r="Q40" s="13" t="str">
        <f>IF(OR(Dashboard!$C$4="All Customers",$E40=Dashboard!$C$4),IF($E40="","",$P40+ROW()/10000000),"")</f>
        <v/>
      </c>
    </row>
    <row r="41" spans="1:17" ht="14.25" customHeight="1" x14ac:dyDescent="0.3">
      <c r="A41" s="43" t="str">
        <f>IFERROR("FY"&amp;TEXT(MOD(IF(MONTH(Sheet1!A41)&gt;=4,YEAR(Sheet1!A41),YEAR(Sheet1!A41)-1),100),"00")&amp;"-"&amp;TEXT(MOD(IF(MONTH(Sheet1!A41)&gt;=4,YEAR(Sheet1!A41),YEAR(Sheet1!A41)-1)+1,100),"00"),"")</f>
        <v>FY25-26</v>
      </c>
      <c r="B41" s="44" t="str">
        <f>IFERROR("Q"&amp;IF(MONTH(Sheet1!A41)&gt;=4,IF(MONTH(Sheet1!A41)&lt;=6,1,IF(MONTH(Sheet1!A41)&lt;=9,2,3)),4),"")</f>
        <v>Q1</v>
      </c>
      <c r="C41" s="43" t="str">
        <f>IFERROR(Sheet1!C41,0)</f>
        <v>MEA</v>
      </c>
      <c r="D41" s="43" t="str">
        <f>IFERROR(Sheet1!F41,0)</f>
        <v>Sudan</v>
      </c>
      <c r="E41" s="43" t="str">
        <f>IFERROR(Sheet1!E41,0)</f>
        <v>Al Rabee - Sudan</v>
      </c>
      <c r="F41" s="43" t="str">
        <f>IFERROR(IF(UPPER(TRIM(Sheet1!J41))="NH","Nhava Sheva",IF(UPPER(TRIM(Sheet1!J41))="ICD","ICD Dhannad",IF(UPPER(TRIM(Sheet1!J41))="TIHI","ICD Tihi",Sheet1!J41))),0)</f>
        <v>Nhava Sheva</v>
      </c>
      <c r="G41" s="43" t="str">
        <f>IFERROR(Sheet1!M41,0)</f>
        <v>Port Sudan</v>
      </c>
      <c r="H41" s="43" t="str">
        <f>IFERROR(Sheet1!H41,0)</f>
        <v>Arikas Logistics</v>
      </c>
      <c r="I41" s="43" t="str">
        <f>IFERROR(Sheet1!G41,0)</f>
        <v>FOB</v>
      </c>
      <c r="J41" s="43" t="str">
        <f>IFERROR(Sheet1!K41,0)</f>
        <v>PIL</v>
      </c>
      <c r="K41" s="45">
        <f>IFERROR(Sheet1!A41,0)</f>
        <v>45795</v>
      </c>
      <c r="L41" s="45">
        <f>IFERROR(Sheet1!I41,0)</f>
        <v>45793</v>
      </c>
      <c r="M41" s="45">
        <f>IFERROR(Sheet1!P41,0)</f>
        <v>45795</v>
      </c>
      <c r="N41" s="46">
        <f>IFERROR(IF(ISNUMBER(Sheet1!N41),Sheet1!N41,0),0)</f>
        <v>0</v>
      </c>
      <c r="O41" s="46">
        <f>IFERROR(IF(TRIM(F41)="Nhava Sheva",SUMPRODUCT((UPPER(TRIM('Origin Costs'!$A$5:$A$44))=UPPER(TRIM(J41)))*'Origin Costs'!$C$5:$C$44),IF(TRIM(F41)="ICD Tihi",SUMPRODUCT((UPPER(TRIM('Origin Costs'!$A$49:$A$88))=UPPER(TRIM(J41)))*'Origin Costs'!$C$49:$C$88),IF(TRIM(F41)="ICD Dhannad",SUMPRODUCT((UPPER(TRIM('Origin Costs'!$A$93:$A$132))=UPPER(TRIM(J41)))*'Origin Costs'!$C$93:$C$132),0))),0)</f>
        <v>0</v>
      </c>
      <c r="P41" s="46">
        <f t="shared" si="0"/>
        <v>0</v>
      </c>
      <c r="Q41" s="13" t="str">
        <f>IF(OR(Dashboard!$C$4="All Customers",$E41=Dashboard!$C$4),IF($E41="","",$P41+ROW()/10000000),"")</f>
        <v/>
      </c>
    </row>
    <row r="42" spans="1:17" ht="14.25" customHeight="1" x14ac:dyDescent="0.3">
      <c r="A42" s="39" t="str">
        <f>IFERROR("FY"&amp;TEXT(MOD(IF(MONTH(Sheet1!A42)&gt;=4,YEAR(Sheet1!A42),YEAR(Sheet1!A42)-1),100),"00")&amp;"-"&amp;TEXT(MOD(IF(MONTH(Sheet1!A42)&gt;=4,YEAR(Sheet1!A42),YEAR(Sheet1!A42)-1)+1,100),"00"),"")</f>
        <v>FY25-26</v>
      </c>
      <c r="B42" s="40" t="str">
        <f>IFERROR("Q"&amp;IF(MONTH(Sheet1!A42)&gt;=4,IF(MONTH(Sheet1!A42)&lt;=6,1,IF(MONTH(Sheet1!A42)&lt;=9,2,3)),4),"")</f>
        <v>Q1</v>
      </c>
      <c r="C42" s="39" t="str">
        <f>IFERROR(Sheet1!C42,0)</f>
        <v>MEA</v>
      </c>
      <c r="D42" s="39" t="str">
        <f>IFERROR(Sheet1!F42,0)</f>
        <v>Sudan</v>
      </c>
      <c r="E42" s="39" t="str">
        <f>IFERROR(Sheet1!E42,0)</f>
        <v>Al Rabee - Sudan</v>
      </c>
      <c r="F42" s="39" t="str">
        <f>IFERROR(IF(UPPER(TRIM(Sheet1!J42))="NH","Nhava Sheva",IF(UPPER(TRIM(Sheet1!J42))="ICD","ICD Dhannad",IF(UPPER(TRIM(Sheet1!J42))="TIHI","ICD Tihi",Sheet1!J42))),0)</f>
        <v>Nhava Sheva</v>
      </c>
      <c r="G42" s="39" t="str">
        <f>IFERROR(Sheet1!M42,0)</f>
        <v>Port Sudan</v>
      </c>
      <c r="H42" s="39" t="str">
        <f>IFERROR(Sheet1!H42,0)</f>
        <v>Arikas Logistics</v>
      </c>
      <c r="I42" s="39" t="str">
        <f>IFERROR(Sheet1!G42,0)</f>
        <v>FOB</v>
      </c>
      <c r="J42" s="39" t="str">
        <f>IFERROR(Sheet1!K42,0)</f>
        <v>PIL</v>
      </c>
      <c r="K42" s="41">
        <f>IFERROR(Sheet1!A42,0)</f>
        <v>45795</v>
      </c>
      <c r="L42" s="41">
        <f>IFERROR(Sheet1!I42,0)</f>
        <v>45793</v>
      </c>
      <c r="M42" s="41">
        <f>IFERROR(Sheet1!P42,0)</f>
        <v>45795</v>
      </c>
      <c r="N42" s="42">
        <f>IFERROR(IF(ISNUMBER(Sheet1!N42),Sheet1!N42,0),0)</f>
        <v>0</v>
      </c>
      <c r="O42" s="42">
        <f>IFERROR(IF(TRIM(F42)="Nhava Sheva",SUMPRODUCT((UPPER(TRIM('Origin Costs'!$A$5:$A$44))=UPPER(TRIM(J42)))*'Origin Costs'!$C$5:$C$44),IF(TRIM(F42)="ICD Tihi",SUMPRODUCT((UPPER(TRIM('Origin Costs'!$A$49:$A$88))=UPPER(TRIM(J42)))*'Origin Costs'!$C$49:$C$88),IF(TRIM(F42)="ICD Dhannad",SUMPRODUCT((UPPER(TRIM('Origin Costs'!$A$93:$A$132))=UPPER(TRIM(J42)))*'Origin Costs'!$C$93:$C$132),0))),0)</f>
        <v>0</v>
      </c>
      <c r="P42" s="42">
        <f t="shared" si="0"/>
        <v>0</v>
      </c>
      <c r="Q42" s="13" t="str">
        <f>IF(OR(Dashboard!$C$4="All Customers",$E42=Dashboard!$C$4),IF($E42="","",$P42+ROW()/10000000),"")</f>
        <v/>
      </c>
    </row>
    <row r="43" spans="1:17" ht="14.25" customHeight="1" x14ac:dyDescent="0.3">
      <c r="A43" s="43" t="str">
        <f>IFERROR("FY"&amp;TEXT(MOD(IF(MONTH(Sheet1!A43)&gt;=4,YEAR(Sheet1!A43),YEAR(Sheet1!A43)-1),100),"00")&amp;"-"&amp;TEXT(MOD(IF(MONTH(Sheet1!A43)&gt;=4,YEAR(Sheet1!A43),YEAR(Sheet1!A43)-1)+1,100),"00"),"")</f>
        <v>FY25-26</v>
      </c>
      <c r="B43" s="44" t="str">
        <f>IFERROR("Q"&amp;IF(MONTH(Sheet1!A43)&gt;=4,IF(MONTH(Sheet1!A43)&lt;=6,1,IF(MONTH(Sheet1!A43)&lt;=9,2,3)),4),"")</f>
        <v>Q1</v>
      </c>
      <c r="C43" s="43" t="str">
        <f>IFERROR(Sheet1!C43,0)</f>
        <v>MEA</v>
      </c>
      <c r="D43" s="43" t="str">
        <f>IFERROR(Sheet1!F43,0)</f>
        <v>Sudan</v>
      </c>
      <c r="E43" s="43" t="str">
        <f>IFERROR(Sheet1!E43,0)</f>
        <v>Al Rabee - Sudan</v>
      </c>
      <c r="F43" s="43" t="str">
        <f>IFERROR(IF(UPPER(TRIM(Sheet1!J43))="NH","Nhava Sheva",IF(UPPER(TRIM(Sheet1!J43))="ICD","ICD Dhannad",IF(UPPER(TRIM(Sheet1!J43))="TIHI","ICD Tihi",Sheet1!J43))),0)</f>
        <v>Nhava Sheva</v>
      </c>
      <c r="G43" s="43" t="str">
        <f>IFERROR(Sheet1!M43,0)</f>
        <v>Port Sudan</v>
      </c>
      <c r="H43" s="43" t="str">
        <f>IFERROR(Sheet1!H43,0)</f>
        <v>Arikas Logistics</v>
      </c>
      <c r="I43" s="43" t="str">
        <f>IFERROR(Sheet1!G43,0)</f>
        <v>FOB</v>
      </c>
      <c r="J43" s="43" t="str">
        <f>IFERROR(Sheet1!K43,0)</f>
        <v>PIL</v>
      </c>
      <c r="K43" s="45">
        <f>IFERROR(Sheet1!A43,0)</f>
        <v>45795</v>
      </c>
      <c r="L43" s="45">
        <f>IFERROR(Sheet1!I43,0)</f>
        <v>45793</v>
      </c>
      <c r="M43" s="45">
        <f>IFERROR(Sheet1!P43,0)</f>
        <v>45795</v>
      </c>
      <c r="N43" s="46">
        <f>IFERROR(IF(ISNUMBER(Sheet1!N43),Sheet1!N43,0),0)</f>
        <v>0</v>
      </c>
      <c r="O43" s="46">
        <f>IFERROR(IF(TRIM(F43)="Nhava Sheva",SUMPRODUCT((UPPER(TRIM('Origin Costs'!$A$5:$A$44))=UPPER(TRIM(J43)))*'Origin Costs'!$C$5:$C$44),IF(TRIM(F43)="ICD Tihi",SUMPRODUCT((UPPER(TRIM('Origin Costs'!$A$49:$A$88))=UPPER(TRIM(J43)))*'Origin Costs'!$C$49:$C$88),IF(TRIM(F43)="ICD Dhannad",SUMPRODUCT((UPPER(TRIM('Origin Costs'!$A$93:$A$132))=UPPER(TRIM(J43)))*'Origin Costs'!$C$93:$C$132),0))),0)</f>
        <v>0</v>
      </c>
      <c r="P43" s="46">
        <f t="shared" si="0"/>
        <v>0</v>
      </c>
      <c r="Q43" s="13" t="str">
        <f>IF(OR(Dashboard!$C$4="All Customers",$E43=Dashboard!$C$4),IF($E43="","",$P43+ROW()/10000000),"")</f>
        <v/>
      </c>
    </row>
    <row r="44" spans="1:17" ht="14.25" customHeight="1" x14ac:dyDescent="0.3">
      <c r="A44" s="39" t="str">
        <f>IFERROR("FY"&amp;TEXT(MOD(IF(MONTH(Sheet1!A44)&gt;=4,YEAR(Sheet1!A44),YEAR(Sheet1!A44)-1),100),"00")&amp;"-"&amp;TEXT(MOD(IF(MONTH(Sheet1!A44)&gt;=4,YEAR(Sheet1!A44),YEAR(Sheet1!A44)-1)+1,100),"00"),"")</f>
        <v>FY25-26</v>
      </c>
      <c r="B44" s="40" t="str">
        <f>IFERROR("Q"&amp;IF(MONTH(Sheet1!A44)&gt;=4,IF(MONTH(Sheet1!A44)&lt;=6,1,IF(MONTH(Sheet1!A44)&lt;=9,2,3)),4),"")</f>
        <v>Q1</v>
      </c>
      <c r="C44" s="39" t="str">
        <f>IFERROR(Sheet1!C44,0)</f>
        <v>Europe</v>
      </c>
      <c r="D44" s="39" t="str">
        <f>IFERROR(Sheet1!F44,0)</f>
        <v>United Kingdom</v>
      </c>
      <c r="E44" s="39" t="str">
        <f>IFERROR(Sheet1!E44,0)</f>
        <v>BA Bush Tyres</v>
      </c>
      <c r="F44" s="39" t="str">
        <f>IFERROR(IF(UPPER(TRIM(Sheet1!J44))="NH","Nhava Sheva",IF(UPPER(TRIM(Sheet1!J44))="ICD","ICD Dhannad",IF(UPPER(TRIM(Sheet1!J44))="TIHI","ICD Tihi",Sheet1!J44))),0)</f>
        <v>ICD Dhannad</v>
      </c>
      <c r="G44" s="39" t="str">
        <f>IFERROR(Sheet1!M44,0)</f>
        <v>London Gateway</v>
      </c>
      <c r="H44" s="39" t="str">
        <f>IFERROR(Sheet1!H44,0)</f>
        <v>Kotak Global</v>
      </c>
      <c r="I44" s="39" t="str">
        <f>IFERROR(Sheet1!G44,0)</f>
        <v>CIF</v>
      </c>
      <c r="J44" s="39" t="str">
        <f>IFERROR(Sheet1!K44,0)</f>
        <v>Hapag</v>
      </c>
      <c r="K44" s="41">
        <f>IFERROR(Sheet1!A44,0)</f>
        <v>45794</v>
      </c>
      <c r="L44" s="41">
        <f>IFERROR(Sheet1!I44,0)</f>
        <v>45794</v>
      </c>
      <c r="M44" s="41">
        <f>IFERROR(Sheet1!P44,0)</f>
        <v>45795</v>
      </c>
      <c r="N44" s="42">
        <f>IFERROR(IF(ISNUMBER(Sheet1!N44),Sheet1!N44,0),0)</f>
        <v>1050</v>
      </c>
      <c r="O44" s="42">
        <f>IFERROR(IF(TRIM(F44)="Nhava Sheva",SUMPRODUCT((UPPER(TRIM('Origin Costs'!$A$5:$A$44))=UPPER(TRIM(J44)))*'Origin Costs'!$C$5:$C$44),IF(TRIM(F44)="ICD Tihi",SUMPRODUCT((UPPER(TRIM('Origin Costs'!$A$49:$A$88))=UPPER(TRIM(J44)))*'Origin Costs'!$C$49:$C$88),IF(TRIM(F44)="ICD Dhannad",SUMPRODUCT((UPPER(TRIM('Origin Costs'!$A$93:$A$132))=UPPER(TRIM(J44)))*'Origin Costs'!$C$93:$C$132),0))),0)</f>
        <v>1209.3888888888889</v>
      </c>
      <c r="P44" s="42">
        <f t="shared" si="0"/>
        <v>2259.3888888888887</v>
      </c>
      <c r="Q44" s="13" t="str">
        <f>IF(OR(Dashboard!$C$4="All Customers",$E44=Dashboard!$C$4),IF($E44="","",$P44+ROW()/10000000),"")</f>
        <v/>
      </c>
    </row>
    <row r="45" spans="1:17" ht="14.25" customHeight="1" x14ac:dyDescent="0.3">
      <c r="A45" s="43" t="str">
        <f>IFERROR("FY"&amp;TEXT(MOD(IF(MONTH(Sheet1!A45)&gt;=4,YEAR(Sheet1!A45),YEAR(Sheet1!A45)-1),100),"00")&amp;"-"&amp;TEXT(MOD(IF(MONTH(Sheet1!A45)&gt;=4,YEAR(Sheet1!A45),YEAR(Sheet1!A45)-1)+1,100),"00"),"")</f>
        <v>FY25-26</v>
      </c>
      <c r="B45" s="44" t="str">
        <f>IFERROR("Q"&amp;IF(MONTH(Sheet1!A45)&gt;=4,IF(MONTH(Sheet1!A45)&lt;=6,1,IF(MONTH(Sheet1!A45)&lt;=9,2,3)),4),"")</f>
        <v>Q1</v>
      </c>
      <c r="C45" s="43" t="str">
        <f>IFERROR(Sheet1!C45,0)</f>
        <v>MEA</v>
      </c>
      <c r="D45" s="43" t="str">
        <f>IFERROR(Sheet1!F45,0)</f>
        <v>Sudan</v>
      </c>
      <c r="E45" s="43" t="str">
        <f>IFERROR(Sheet1!E45,0)</f>
        <v>Al Rabee - Sudan</v>
      </c>
      <c r="F45" s="43" t="str">
        <f>IFERROR(IF(UPPER(TRIM(Sheet1!J45))="NH","Nhava Sheva",IF(UPPER(TRIM(Sheet1!J45))="ICD","ICD Dhannad",IF(UPPER(TRIM(Sheet1!J45))="TIHI","ICD Tihi",Sheet1!J45))),0)</f>
        <v>Nhava Sheva</v>
      </c>
      <c r="G45" s="43" t="str">
        <f>IFERROR(Sheet1!M45,0)</f>
        <v>Port Sudan</v>
      </c>
      <c r="H45" s="43" t="str">
        <f>IFERROR(Sheet1!H45,0)</f>
        <v>Arikas Logistics</v>
      </c>
      <c r="I45" s="43" t="str">
        <f>IFERROR(Sheet1!G45,0)</f>
        <v>FOB</v>
      </c>
      <c r="J45" s="43" t="str">
        <f>IFERROR(Sheet1!K45,0)</f>
        <v>PIL</v>
      </c>
      <c r="K45" s="45">
        <f>IFERROR(Sheet1!A45,0)</f>
        <v>45795</v>
      </c>
      <c r="L45" s="45">
        <f>IFERROR(Sheet1!I45,0)</f>
        <v>45793</v>
      </c>
      <c r="M45" s="45">
        <f>IFERROR(Sheet1!P45,0)</f>
        <v>45797</v>
      </c>
      <c r="N45" s="46">
        <f>IFERROR(IF(ISNUMBER(Sheet1!N45),Sheet1!N45,0),0)</f>
        <v>0</v>
      </c>
      <c r="O45" s="46">
        <f>IFERROR(IF(TRIM(F45)="Nhava Sheva",SUMPRODUCT((UPPER(TRIM('Origin Costs'!$A$5:$A$44))=UPPER(TRIM(J45)))*'Origin Costs'!$C$5:$C$44),IF(TRIM(F45)="ICD Tihi",SUMPRODUCT((UPPER(TRIM('Origin Costs'!$A$49:$A$88))=UPPER(TRIM(J45)))*'Origin Costs'!$C$49:$C$88),IF(TRIM(F45)="ICD Dhannad",SUMPRODUCT((UPPER(TRIM('Origin Costs'!$A$93:$A$132))=UPPER(TRIM(J45)))*'Origin Costs'!$C$93:$C$132),0))),0)</f>
        <v>0</v>
      </c>
      <c r="P45" s="46">
        <f t="shared" si="0"/>
        <v>0</v>
      </c>
      <c r="Q45" s="13" t="str">
        <f>IF(OR(Dashboard!$C$4="All Customers",$E45=Dashboard!$C$4),IF($E45="","",$P45+ROW()/10000000),"")</f>
        <v/>
      </c>
    </row>
    <row r="46" spans="1:17" ht="14.25" customHeight="1" x14ac:dyDescent="0.3">
      <c r="A46" s="39" t="str">
        <f>IFERROR("FY"&amp;TEXT(MOD(IF(MONTH(Sheet1!A46)&gt;=4,YEAR(Sheet1!A46),YEAR(Sheet1!A46)-1),100),"00")&amp;"-"&amp;TEXT(MOD(IF(MONTH(Sheet1!A46)&gt;=4,YEAR(Sheet1!A46),YEAR(Sheet1!A46)-1)+1,100),"00"),"")</f>
        <v>FY25-26</v>
      </c>
      <c r="B46" s="40" t="str">
        <f>IFERROR("Q"&amp;IF(MONTH(Sheet1!A46)&gt;=4,IF(MONTH(Sheet1!A46)&lt;=6,1,IF(MONTH(Sheet1!A46)&lt;=9,2,3)),4),"")</f>
        <v>Q1</v>
      </c>
      <c r="C46" s="39" t="str">
        <f>IFERROR(Sheet1!C46,0)</f>
        <v>Europe</v>
      </c>
      <c r="D46" s="39" t="str">
        <f>IFERROR(Sheet1!F46,0)</f>
        <v>United Kingdom</v>
      </c>
      <c r="E46" s="39" t="str">
        <f>IFERROR(Sheet1!E46,0)</f>
        <v>BA Bush Tyres</v>
      </c>
      <c r="F46" s="39" t="str">
        <f>IFERROR(IF(UPPER(TRIM(Sheet1!J46))="NH","Nhava Sheva",IF(UPPER(TRIM(Sheet1!J46))="ICD","ICD Dhannad",IF(UPPER(TRIM(Sheet1!J46))="TIHI","ICD Tihi",Sheet1!J46))),0)</f>
        <v>ICD Tihi</v>
      </c>
      <c r="G46" s="39" t="str">
        <f>IFERROR(Sheet1!M46,0)</f>
        <v>London Gateway</v>
      </c>
      <c r="H46" s="39" t="str">
        <f>IFERROR(Sheet1!H46,0)</f>
        <v>Kotak Global</v>
      </c>
      <c r="I46" s="39" t="str">
        <f>IFERROR(Sheet1!G46,0)</f>
        <v>CIF</v>
      </c>
      <c r="J46" s="39" t="str">
        <f>IFERROR(Sheet1!K46,0)</f>
        <v>Hapag</v>
      </c>
      <c r="K46" s="41">
        <f>IFERROR(Sheet1!A46,0)</f>
        <v>45803</v>
      </c>
      <c r="L46" s="41">
        <f>IFERROR(Sheet1!I46,0)</f>
        <v>45803</v>
      </c>
      <c r="M46" s="41">
        <f>IFERROR(Sheet1!P46,0)</f>
        <v>45804</v>
      </c>
      <c r="N46" s="42">
        <f>IFERROR(IF(ISNUMBER(Sheet1!N46),Sheet1!N46,0),0)</f>
        <v>1050</v>
      </c>
      <c r="O46" s="42">
        <f>IFERROR(IF(TRIM(F46)="Nhava Sheva",SUMPRODUCT((UPPER(TRIM('Origin Costs'!$A$5:$A$44))=UPPER(TRIM(J46)))*'Origin Costs'!$C$5:$C$44),IF(TRIM(F46)="ICD Tihi",SUMPRODUCT((UPPER(TRIM('Origin Costs'!$A$49:$A$88))=UPPER(TRIM(J46)))*'Origin Costs'!$C$49:$C$88),IF(TRIM(F46)="ICD Dhannad",SUMPRODUCT((UPPER(TRIM('Origin Costs'!$A$93:$A$132))=UPPER(TRIM(J46)))*'Origin Costs'!$C$93:$C$132),0))),0)</f>
        <v>1027.4444444444443</v>
      </c>
      <c r="P46" s="42">
        <f t="shared" si="0"/>
        <v>2077.4444444444443</v>
      </c>
      <c r="Q46" s="13" t="str">
        <f>IF(OR(Dashboard!$C$4="All Customers",$E46=Dashboard!$C$4),IF($E46="","",$P46+ROW()/10000000),"")</f>
        <v/>
      </c>
    </row>
    <row r="47" spans="1:17" ht="14.25" customHeight="1" x14ac:dyDescent="0.3">
      <c r="A47" s="43" t="str">
        <f>IFERROR("FY"&amp;TEXT(MOD(IF(MONTH(Sheet1!A47)&gt;=4,YEAR(Sheet1!A47),YEAR(Sheet1!A47)-1),100),"00")&amp;"-"&amp;TEXT(MOD(IF(MONTH(Sheet1!A47)&gt;=4,YEAR(Sheet1!A47),YEAR(Sheet1!A47)-1)+1,100),"00"),"")</f>
        <v>FY25-26</v>
      </c>
      <c r="B47" s="44" t="str">
        <f>IFERROR("Q"&amp;IF(MONTH(Sheet1!A47)&gt;=4,IF(MONTH(Sheet1!A47)&lt;=6,1,IF(MONTH(Sheet1!A47)&lt;=9,2,3)),4),"")</f>
        <v>Q1</v>
      </c>
      <c r="C47" s="43" t="str">
        <f>IFERROR(Sheet1!C47,0)</f>
        <v>Europe</v>
      </c>
      <c r="D47" s="43" t="str">
        <f>IFERROR(Sheet1!F47,0)</f>
        <v>United Kingdom</v>
      </c>
      <c r="E47" s="43" t="str">
        <f>IFERROR(Sheet1!E47,0)</f>
        <v>BA Bush Tyres</v>
      </c>
      <c r="F47" s="43" t="str">
        <f>IFERROR(IF(UPPER(TRIM(Sheet1!J47))="NH","Nhava Sheva",IF(UPPER(TRIM(Sheet1!J47))="ICD","ICD Dhannad",IF(UPPER(TRIM(Sheet1!J47))="TIHI","ICD Tihi",Sheet1!J47))),0)</f>
        <v>ICD Tihi</v>
      </c>
      <c r="G47" s="43" t="str">
        <f>IFERROR(Sheet1!M47,0)</f>
        <v>London Gateway</v>
      </c>
      <c r="H47" s="43" t="str">
        <f>IFERROR(Sheet1!H47,0)</f>
        <v>Kotak Global</v>
      </c>
      <c r="I47" s="43" t="str">
        <f>IFERROR(Sheet1!G47,0)</f>
        <v>CIF</v>
      </c>
      <c r="J47" s="43" t="str">
        <f>IFERROR(Sheet1!K47,0)</f>
        <v>Hapag</v>
      </c>
      <c r="K47" s="45">
        <f>IFERROR(Sheet1!A47,0)</f>
        <v>45803</v>
      </c>
      <c r="L47" s="45">
        <f>IFERROR(Sheet1!I47,0)</f>
        <v>45805</v>
      </c>
      <c r="M47" s="45">
        <f>IFERROR(Sheet1!P47,0)</f>
        <v>45804</v>
      </c>
      <c r="N47" s="46">
        <f>IFERROR(IF(ISNUMBER(Sheet1!N47),Sheet1!N47,0),0)</f>
        <v>1050</v>
      </c>
      <c r="O47" s="46">
        <f>IFERROR(IF(TRIM(F47)="Nhava Sheva",SUMPRODUCT((UPPER(TRIM('Origin Costs'!$A$5:$A$44))=UPPER(TRIM(J47)))*'Origin Costs'!$C$5:$C$44),IF(TRIM(F47)="ICD Tihi",SUMPRODUCT((UPPER(TRIM('Origin Costs'!$A$49:$A$88))=UPPER(TRIM(J47)))*'Origin Costs'!$C$49:$C$88),IF(TRIM(F47)="ICD Dhannad",SUMPRODUCT((UPPER(TRIM('Origin Costs'!$A$93:$A$132))=UPPER(TRIM(J47)))*'Origin Costs'!$C$93:$C$132),0))),0)</f>
        <v>1027.4444444444443</v>
      </c>
      <c r="P47" s="46">
        <f t="shared" si="0"/>
        <v>2077.4444444444443</v>
      </c>
      <c r="Q47" s="13" t="str">
        <f>IF(OR(Dashboard!$C$4="All Customers",$E47=Dashboard!$C$4),IF($E47="","",$P47+ROW()/10000000),"")</f>
        <v/>
      </c>
    </row>
    <row r="48" spans="1:17" ht="14.25" customHeight="1" x14ac:dyDescent="0.3">
      <c r="A48" s="39" t="str">
        <f>IFERROR("FY"&amp;TEXT(MOD(IF(MONTH(Sheet1!A48)&gt;=4,YEAR(Sheet1!A48),YEAR(Sheet1!A48)-1),100),"00")&amp;"-"&amp;TEXT(MOD(IF(MONTH(Sheet1!A48)&gt;=4,YEAR(Sheet1!A48),YEAR(Sheet1!A48)-1)+1,100),"00"),"")</f>
        <v>FY25-26</v>
      </c>
      <c r="B48" s="40" t="str">
        <f>IFERROR("Q"&amp;IF(MONTH(Sheet1!A48)&gt;=4,IF(MONTH(Sheet1!A48)&lt;=6,1,IF(MONTH(Sheet1!A48)&lt;=9,2,3)),4),"")</f>
        <v>Q1</v>
      </c>
      <c r="C48" s="39" t="str">
        <f>IFERROR(Sheet1!C48,0)</f>
        <v>Europe</v>
      </c>
      <c r="D48" s="39" t="str">
        <f>IFERROR(Sheet1!F48,0)</f>
        <v>United Kingdom</v>
      </c>
      <c r="E48" s="39" t="str">
        <f>IFERROR(Sheet1!E48,0)</f>
        <v>BA Bush Tyres</v>
      </c>
      <c r="F48" s="39" t="str">
        <f>IFERROR(IF(UPPER(TRIM(Sheet1!J48))="NH","Nhava Sheva",IF(UPPER(TRIM(Sheet1!J48))="ICD","ICD Dhannad",IF(UPPER(TRIM(Sheet1!J48))="TIHI","ICD Tihi",Sheet1!J48))),0)</f>
        <v>Nhava Sheva</v>
      </c>
      <c r="G48" s="39" t="str">
        <f>IFERROR(Sheet1!M48,0)</f>
        <v>London Gateway</v>
      </c>
      <c r="H48" s="39" t="str">
        <f>IFERROR(Sheet1!H48,0)</f>
        <v>Kotak Global</v>
      </c>
      <c r="I48" s="39" t="str">
        <f>IFERROR(Sheet1!G48,0)</f>
        <v>CIF</v>
      </c>
      <c r="J48" s="39" t="str">
        <f>IFERROR(Sheet1!K48,0)</f>
        <v>Hapag</v>
      </c>
      <c r="K48" s="41">
        <f>IFERROR(Sheet1!A48,0)</f>
        <v>45805</v>
      </c>
      <c r="L48" s="41">
        <f>IFERROR(Sheet1!I48,0)</f>
        <v>45805</v>
      </c>
      <c r="M48" s="41">
        <f>IFERROR(Sheet1!P48,0)</f>
        <v>45805</v>
      </c>
      <c r="N48" s="42">
        <f>IFERROR(IF(ISNUMBER(Sheet1!N48),Sheet1!N48,0),0)</f>
        <v>1050</v>
      </c>
      <c r="O48" s="42">
        <f>IFERROR(IF(TRIM(F48)="Nhava Sheva",SUMPRODUCT((UPPER(TRIM('Origin Costs'!$A$5:$A$44))=UPPER(TRIM(J48)))*'Origin Costs'!$C$5:$C$44),IF(TRIM(F48)="ICD Tihi",SUMPRODUCT((UPPER(TRIM('Origin Costs'!$A$49:$A$88))=UPPER(TRIM(J48)))*'Origin Costs'!$C$49:$C$88),IF(TRIM(F48)="ICD Dhannad",SUMPRODUCT((UPPER(TRIM('Origin Costs'!$A$93:$A$132))=UPPER(TRIM(J48)))*'Origin Costs'!$C$93:$C$132),0))),0)</f>
        <v>1192.9777777777779</v>
      </c>
      <c r="P48" s="42">
        <f t="shared" si="0"/>
        <v>2242.9777777777781</v>
      </c>
      <c r="Q48" s="13" t="str">
        <f>IF(OR(Dashboard!$C$4="All Customers",$E48=Dashboard!$C$4),IF($E48="","",$P48+ROW()/10000000),"")</f>
        <v/>
      </c>
    </row>
    <row r="49" spans="1:17" ht="14.25" customHeight="1" x14ac:dyDescent="0.3">
      <c r="A49" s="43" t="str">
        <f>IFERROR("FY"&amp;TEXT(MOD(IF(MONTH(Sheet1!A49)&gt;=4,YEAR(Sheet1!A49),YEAR(Sheet1!A49)-1),100),"00")&amp;"-"&amp;TEXT(MOD(IF(MONTH(Sheet1!A49)&gt;=4,YEAR(Sheet1!A49),YEAR(Sheet1!A49)-1)+1,100),"00"),"")</f>
        <v>FY25-26</v>
      </c>
      <c r="B49" s="44" t="str">
        <f>IFERROR("Q"&amp;IF(MONTH(Sheet1!A49)&gt;=4,IF(MONTH(Sheet1!A49)&lt;=6,1,IF(MONTH(Sheet1!A49)&lt;=9,2,3)),4),"")</f>
        <v>Q1</v>
      </c>
      <c r="C49" s="43" t="str">
        <f>IFERROR(Sheet1!C49,0)</f>
        <v>Europe</v>
      </c>
      <c r="D49" s="43" t="str">
        <f>IFERROR(Sheet1!F49,0)</f>
        <v>United Kingdom</v>
      </c>
      <c r="E49" s="43" t="str">
        <f>IFERROR(Sheet1!E49,0)</f>
        <v>BA Bush Tyres</v>
      </c>
      <c r="F49" s="43" t="str">
        <f>IFERROR(IF(UPPER(TRIM(Sheet1!J49))="NH","Nhava Sheva",IF(UPPER(TRIM(Sheet1!J49))="ICD","ICD Dhannad",IF(UPPER(TRIM(Sheet1!J49))="TIHI","ICD Tihi",Sheet1!J49))),0)</f>
        <v>Nhava Sheva</v>
      </c>
      <c r="G49" s="43" t="str">
        <f>IFERROR(Sheet1!M49,0)</f>
        <v>London Gateway</v>
      </c>
      <c r="H49" s="43" t="str">
        <f>IFERROR(Sheet1!H49,0)</f>
        <v>Kotak Global</v>
      </c>
      <c r="I49" s="43" t="str">
        <f>IFERROR(Sheet1!G49,0)</f>
        <v>CIF</v>
      </c>
      <c r="J49" s="43" t="str">
        <f>IFERROR(Sheet1!K49,0)</f>
        <v>Hapag</v>
      </c>
      <c r="K49" s="45">
        <f>IFERROR(Sheet1!A49,0)</f>
        <v>45805</v>
      </c>
      <c r="L49" s="45">
        <f>IFERROR(Sheet1!I49,0)</f>
        <v>45805</v>
      </c>
      <c r="M49" s="45">
        <f>IFERROR(Sheet1!P49,0)</f>
        <v>45805</v>
      </c>
      <c r="N49" s="46">
        <f>IFERROR(IF(ISNUMBER(Sheet1!N49),Sheet1!N49,0),0)</f>
        <v>1050</v>
      </c>
      <c r="O49" s="46">
        <f>IFERROR(IF(TRIM(F49)="Nhava Sheva",SUMPRODUCT((UPPER(TRIM('Origin Costs'!$A$5:$A$44))=UPPER(TRIM(J49)))*'Origin Costs'!$C$5:$C$44),IF(TRIM(F49)="ICD Tihi",SUMPRODUCT((UPPER(TRIM('Origin Costs'!$A$49:$A$88))=UPPER(TRIM(J49)))*'Origin Costs'!$C$49:$C$88),IF(TRIM(F49)="ICD Dhannad",SUMPRODUCT((UPPER(TRIM('Origin Costs'!$A$93:$A$132))=UPPER(TRIM(J49)))*'Origin Costs'!$C$93:$C$132),0))),0)</f>
        <v>1192.9777777777779</v>
      </c>
      <c r="P49" s="46">
        <f t="shared" si="0"/>
        <v>2242.9777777777781</v>
      </c>
      <c r="Q49" s="13" t="str">
        <f>IF(OR(Dashboard!$C$4="All Customers",$E49=Dashboard!$C$4),IF($E49="","",$P49+ROW()/10000000),"")</f>
        <v/>
      </c>
    </row>
    <row r="50" spans="1:17" ht="14.25" customHeight="1" x14ac:dyDescent="0.3">
      <c r="A50" s="39" t="str">
        <f>IFERROR("FY"&amp;TEXT(MOD(IF(MONTH(Sheet1!A50)&gt;=4,YEAR(Sheet1!A50),YEAR(Sheet1!A50)-1),100),"00")&amp;"-"&amp;TEXT(MOD(IF(MONTH(Sheet1!A50)&gt;=4,YEAR(Sheet1!A50),YEAR(Sheet1!A50)-1)+1,100),"00"),"")</f>
        <v>FY25-26</v>
      </c>
      <c r="B50" s="40" t="str">
        <f>IFERROR("Q"&amp;IF(MONTH(Sheet1!A50)&gt;=4,IF(MONTH(Sheet1!A50)&lt;=6,1,IF(MONTH(Sheet1!A50)&lt;=9,2,3)),4),"")</f>
        <v>Q1</v>
      </c>
      <c r="C50" s="39" t="str">
        <f>IFERROR(Sheet1!C50,0)</f>
        <v>Europe</v>
      </c>
      <c r="D50" s="39" t="str">
        <f>IFERROR(Sheet1!F50,0)</f>
        <v>United Kingdom</v>
      </c>
      <c r="E50" s="39" t="str">
        <f>IFERROR(Sheet1!E50,0)</f>
        <v>BA Bush Tyres</v>
      </c>
      <c r="F50" s="39" t="str">
        <f>IFERROR(IF(UPPER(TRIM(Sheet1!J50))="NH","Nhava Sheva",IF(UPPER(TRIM(Sheet1!J50))="ICD","ICD Dhannad",IF(UPPER(TRIM(Sheet1!J50))="TIHI","ICD Tihi",Sheet1!J50))),0)</f>
        <v>Nhava Sheva</v>
      </c>
      <c r="G50" s="39" t="str">
        <f>IFERROR(Sheet1!M50,0)</f>
        <v>London Gateway</v>
      </c>
      <c r="H50" s="39" t="str">
        <f>IFERROR(Sheet1!H50,0)</f>
        <v>Kotak Global</v>
      </c>
      <c r="I50" s="39" t="str">
        <f>IFERROR(Sheet1!G50,0)</f>
        <v>CIF</v>
      </c>
      <c r="J50" s="39" t="str">
        <f>IFERROR(Sheet1!K50,0)</f>
        <v>Hapag</v>
      </c>
      <c r="K50" s="41">
        <f>IFERROR(Sheet1!A50,0)</f>
        <v>45805</v>
      </c>
      <c r="L50" s="41">
        <f>IFERROR(Sheet1!I50,0)</f>
        <v>45803</v>
      </c>
      <c r="M50" s="41">
        <f>IFERROR(Sheet1!P50,0)</f>
        <v>45806</v>
      </c>
      <c r="N50" s="42">
        <f>IFERROR(IF(ISNUMBER(Sheet1!N50),Sheet1!N50,0),0)</f>
        <v>1050</v>
      </c>
      <c r="O50" s="42">
        <f>IFERROR(IF(TRIM(F50)="Nhava Sheva",SUMPRODUCT((UPPER(TRIM('Origin Costs'!$A$5:$A$44))=UPPER(TRIM(J50)))*'Origin Costs'!$C$5:$C$44),IF(TRIM(F50)="ICD Tihi",SUMPRODUCT((UPPER(TRIM('Origin Costs'!$A$49:$A$88))=UPPER(TRIM(J50)))*'Origin Costs'!$C$49:$C$88),IF(TRIM(F50)="ICD Dhannad",SUMPRODUCT((UPPER(TRIM('Origin Costs'!$A$93:$A$132))=UPPER(TRIM(J50)))*'Origin Costs'!$C$93:$C$132),0))),0)</f>
        <v>1192.9777777777779</v>
      </c>
      <c r="P50" s="42">
        <f t="shared" si="0"/>
        <v>2242.9777777777781</v>
      </c>
      <c r="Q50" s="13" t="str">
        <f>IF(OR(Dashboard!$C$4="All Customers",$E50=Dashboard!$C$4),IF($E50="","",$P50+ROW()/10000000),"")</f>
        <v/>
      </c>
    </row>
    <row r="51" spans="1:17" ht="14.25" customHeight="1" x14ac:dyDescent="0.3">
      <c r="A51" s="43" t="str">
        <f>IFERROR("FY"&amp;TEXT(MOD(IF(MONTH(Sheet1!A51)&gt;=4,YEAR(Sheet1!A51),YEAR(Sheet1!A51)-1),100),"00")&amp;"-"&amp;TEXT(MOD(IF(MONTH(Sheet1!A51)&gt;=4,YEAR(Sheet1!A51),YEAR(Sheet1!A51)-1)+1,100),"00"),"")</f>
        <v>FY25-26</v>
      </c>
      <c r="B51" s="44" t="str">
        <f>IFERROR("Q"&amp;IF(MONTH(Sheet1!A51)&gt;=4,IF(MONTH(Sheet1!A51)&lt;=6,1,IF(MONTH(Sheet1!A51)&lt;=9,2,3)),4),"")</f>
        <v>Q1</v>
      </c>
      <c r="C51" s="43" t="str">
        <f>IFERROR(Sheet1!C51,0)</f>
        <v>Europe</v>
      </c>
      <c r="D51" s="43" t="str">
        <f>IFERROR(Sheet1!F51,0)</f>
        <v>Poland</v>
      </c>
      <c r="E51" s="43" t="str">
        <f>IFERROR(Sheet1!E51,0)</f>
        <v>Inter Cars S.A., Poland</v>
      </c>
      <c r="F51" s="43" t="str">
        <f>IFERROR(IF(UPPER(TRIM(Sheet1!J51))="NH","Nhava Sheva",IF(UPPER(TRIM(Sheet1!J51))="ICD","ICD Dhannad",IF(UPPER(TRIM(Sheet1!J51))="TIHI","ICD Tihi",Sheet1!J51))),0)</f>
        <v>Nhava Sheva</v>
      </c>
      <c r="G51" s="43" t="str">
        <f>IFERROR(Sheet1!M51,0)</f>
        <v>Gdynia</v>
      </c>
      <c r="H51" s="43" t="str">
        <f>IFERROR(Sheet1!H51,0)</f>
        <v>Rohlig India</v>
      </c>
      <c r="I51" s="43" t="str">
        <f>IFERROR(Sheet1!G51,0)</f>
        <v>FOB</v>
      </c>
      <c r="J51" s="43" t="str">
        <f>IFERROR(Sheet1!K51,0)</f>
        <v>ONE</v>
      </c>
      <c r="K51" s="45">
        <f>IFERROR(Sheet1!A51,0)</f>
        <v>45807</v>
      </c>
      <c r="L51" s="45">
        <f>IFERROR(Sheet1!I51,0)</f>
        <v>45805</v>
      </c>
      <c r="M51" s="45">
        <f>IFERROR(Sheet1!P51,0)</f>
        <v>45807</v>
      </c>
      <c r="N51" s="46">
        <f>IFERROR(IF(ISNUMBER(Sheet1!N51),Sheet1!N51,0),0)</f>
        <v>0</v>
      </c>
      <c r="O51" s="46">
        <f>IFERROR(IF(TRIM(F51)="Nhava Sheva",SUMPRODUCT((UPPER(TRIM('Origin Costs'!$A$5:$A$44))=UPPER(TRIM(J51)))*'Origin Costs'!$C$5:$C$44),IF(TRIM(F51)="ICD Tihi",SUMPRODUCT((UPPER(TRIM('Origin Costs'!$A$49:$A$88))=UPPER(TRIM(J51)))*'Origin Costs'!$C$49:$C$88),IF(TRIM(F51)="ICD Dhannad",SUMPRODUCT((UPPER(TRIM('Origin Costs'!$A$93:$A$132))=UPPER(TRIM(J51)))*'Origin Costs'!$C$93:$C$132),0))),0)</f>
        <v>1146.5555555555557</v>
      </c>
      <c r="P51" s="46">
        <f t="shared" si="0"/>
        <v>1146.5555555555557</v>
      </c>
      <c r="Q51" s="13" t="str">
        <f>IF(OR(Dashboard!$C$4="All Customers",$E51=Dashboard!$C$4),IF($E51="","",$P51+ROW()/10000000),"")</f>
        <v/>
      </c>
    </row>
    <row r="52" spans="1:17" ht="14.25" customHeight="1" x14ac:dyDescent="0.3">
      <c r="A52" s="39" t="str">
        <f>IFERROR("FY"&amp;TEXT(MOD(IF(MONTH(Sheet1!A52)&gt;=4,YEAR(Sheet1!A52),YEAR(Sheet1!A52)-1),100),"00")&amp;"-"&amp;TEXT(MOD(IF(MONTH(Sheet1!A52)&gt;=4,YEAR(Sheet1!A52),YEAR(Sheet1!A52)-1)+1,100),"00"),"")</f>
        <v>FY25-26</v>
      </c>
      <c r="B52" s="40" t="str">
        <f>IFERROR("Q"&amp;IF(MONTH(Sheet1!A52)&gt;=4,IF(MONTH(Sheet1!A52)&lt;=6,1,IF(MONTH(Sheet1!A52)&lt;=9,2,3)),4),"")</f>
        <v>Q1</v>
      </c>
      <c r="C52" s="39" t="str">
        <f>IFERROR(Sheet1!C52,0)</f>
        <v>Europe</v>
      </c>
      <c r="D52" s="39" t="str">
        <f>IFERROR(Sheet1!F52,0)</f>
        <v>Bulgaria</v>
      </c>
      <c r="E52" s="39" t="str">
        <f>IFERROR(Sheet1!E52,0)</f>
        <v>Inter Cars Bulgaria EOOD</v>
      </c>
      <c r="F52" s="39" t="str">
        <f>IFERROR(IF(UPPER(TRIM(Sheet1!J52))="NH","Nhava Sheva",IF(UPPER(TRIM(Sheet1!J52))="ICD","ICD Dhannad",IF(UPPER(TRIM(Sheet1!J52))="TIHI","ICD Tihi",Sheet1!J52))),0)</f>
        <v>Nhava Sheva</v>
      </c>
      <c r="G52" s="39" t="str">
        <f>IFERROR(Sheet1!M52,0)</f>
        <v>Thessaloniki</v>
      </c>
      <c r="H52" s="39" t="str">
        <f>IFERROR(Sheet1!H52,0)</f>
        <v>Fortune Inc</v>
      </c>
      <c r="I52" s="39" t="str">
        <f>IFERROR(Sheet1!G52,0)</f>
        <v>FOB</v>
      </c>
      <c r="J52" s="39" t="str">
        <f>IFERROR(Sheet1!K52,0)</f>
        <v>CMA</v>
      </c>
      <c r="K52" s="41">
        <f>IFERROR(Sheet1!A52,0)</f>
        <v>45808</v>
      </c>
      <c r="L52" s="41">
        <f>IFERROR(Sheet1!I52,0)</f>
        <v>45806</v>
      </c>
      <c r="M52" s="41">
        <f>IFERROR(Sheet1!P52,0)</f>
        <v>45808</v>
      </c>
      <c r="N52" s="42">
        <f>IFERROR(IF(ISNUMBER(Sheet1!N52),Sheet1!N52,0),0)</f>
        <v>0</v>
      </c>
      <c r="O52" s="42">
        <f>IFERROR(IF(TRIM(F52)="Nhava Sheva",SUMPRODUCT((UPPER(TRIM('Origin Costs'!$A$5:$A$44))=UPPER(TRIM(J52)))*'Origin Costs'!$C$5:$C$44),IF(TRIM(F52)="ICD Tihi",SUMPRODUCT((UPPER(TRIM('Origin Costs'!$A$49:$A$88))=UPPER(TRIM(J52)))*'Origin Costs'!$C$49:$C$88),IF(TRIM(F52)="ICD Dhannad",SUMPRODUCT((UPPER(TRIM('Origin Costs'!$A$93:$A$132))=UPPER(TRIM(J52)))*'Origin Costs'!$C$93:$C$132),0))),0)</f>
        <v>0</v>
      </c>
      <c r="P52" s="42">
        <f t="shared" si="0"/>
        <v>0</v>
      </c>
      <c r="Q52" s="13" t="str">
        <f>IF(OR(Dashboard!$C$4="All Customers",$E52=Dashboard!$C$4),IF($E52="","",$P52+ROW()/10000000),"")</f>
        <v/>
      </c>
    </row>
    <row r="53" spans="1:17" ht="14.25" customHeight="1" x14ac:dyDescent="0.3">
      <c r="A53" s="43" t="str">
        <f>IFERROR("FY"&amp;TEXT(MOD(IF(MONTH(Sheet1!A53)&gt;=4,YEAR(Sheet1!A53),YEAR(Sheet1!A53)-1),100),"00")&amp;"-"&amp;TEXT(MOD(IF(MONTH(Sheet1!A53)&gt;=4,YEAR(Sheet1!A53),YEAR(Sheet1!A53)-1)+1,100),"00"),"")</f>
        <v>FY25-26</v>
      </c>
      <c r="B53" s="44" t="str">
        <f>IFERROR("Q"&amp;IF(MONTH(Sheet1!A53)&gt;=4,IF(MONTH(Sheet1!A53)&lt;=6,1,IF(MONTH(Sheet1!A53)&lt;=9,2,3)),4),"")</f>
        <v>Q1</v>
      </c>
      <c r="C53" s="43" t="str">
        <f>IFERROR(Sheet1!C53,0)</f>
        <v>Europe</v>
      </c>
      <c r="D53" s="43" t="str">
        <f>IFERROR(Sheet1!F53,0)</f>
        <v>Poland</v>
      </c>
      <c r="E53" s="43" t="str">
        <f>IFERROR(Sheet1!E53,0)</f>
        <v>Inter Cars S.A., Poland</v>
      </c>
      <c r="F53" s="43" t="str">
        <f>IFERROR(IF(UPPER(TRIM(Sheet1!J53))="NH","Nhava Sheva",IF(UPPER(TRIM(Sheet1!J53))="ICD","ICD Dhannad",IF(UPPER(TRIM(Sheet1!J53))="TIHI","ICD Tihi",Sheet1!J53))),0)</f>
        <v>Nhava Sheva</v>
      </c>
      <c r="G53" s="43" t="str">
        <f>IFERROR(Sheet1!M53,0)</f>
        <v>Gdynia</v>
      </c>
      <c r="H53" s="43" t="str">
        <f>IFERROR(Sheet1!H53,0)</f>
        <v>Rohlig India</v>
      </c>
      <c r="I53" s="43" t="str">
        <f>IFERROR(Sheet1!G53,0)</f>
        <v>FOB</v>
      </c>
      <c r="J53" s="43" t="str">
        <f>IFERROR(Sheet1!K53,0)</f>
        <v>ONE</v>
      </c>
      <c r="K53" s="45">
        <f>IFERROR(Sheet1!A53,0)</f>
        <v>45807</v>
      </c>
      <c r="L53" s="45">
        <f>IFERROR(Sheet1!I53,0)</f>
        <v>45805</v>
      </c>
      <c r="M53" s="45">
        <f>IFERROR(Sheet1!P53,0)</f>
        <v>45808</v>
      </c>
      <c r="N53" s="46">
        <f>IFERROR(IF(ISNUMBER(Sheet1!N53),Sheet1!N53,0),0)</f>
        <v>0</v>
      </c>
      <c r="O53" s="46">
        <f>IFERROR(IF(TRIM(F53)="Nhava Sheva",SUMPRODUCT((UPPER(TRIM('Origin Costs'!$A$5:$A$44))=UPPER(TRIM(J53)))*'Origin Costs'!$C$5:$C$44),IF(TRIM(F53)="ICD Tihi",SUMPRODUCT((UPPER(TRIM('Origin Costs'!$A$49:$A$88))=UPPER(TRIM(J53)))*'Origin Costs'!$C$49:$C$88),IF(TRIM(F53)="ICD Dhannad",SUMPRODUCT((UPPER(TRIM('Origin Costs'!$A$93:$A$132))=UPPER(TRIM(J53)))*'Origin Costs'!$C$93:$C$132),0))),0)</f>
        <v>1146.5555555555557</v>
      </c>
      <c r="P53" s="46">
        <f t="shared" si="0"/>
        <v>1146.5555555555557</v>
      </c>
      <c r="Q53" s="13" t="str">
        <f>IF(OR(Dashboard!$C$4="All Customers",$E53=Dashboard!$C$4),IF($E53="","",$P53+ROW()/10000000),"")</f>
        <v/>
      </c>
    </row>
    <row r="54" spans="1:17" ht="14.25" customHeight="1" x14ac:dyDescent="0.3">
      <c r="A54" s="39" t="str">
        <f>IFERROR("FY"&amp;TEXT(MOD(IF(MONTH(Sheet1!A54)&gt;=4,YEAR(Sheet1!A54),YEAR(Sheet1!A54)-1),100),"00")&amp;"-"&amp;TEXT(MOD(IF(MONTH(Sheet1!A54)&gt;=4,YEAR(Sheet1!A54),YEAR(Sheet1!A54)-1)+1,100),"00"),"")</f>
        <v>FY25-26</v>
      </c>
      <c r="B54" s="40" t="str">
        <f>IFERROR("Q"&amp;IF(MONTH(Sheet1!A54)&gt;=4,IF(MONTH(Sheet1!A54)&lt;=6,1,IF(MONTH(Sheet1!A54)&lt;=9,2,3)),4),"")</f>
        <v>Q1</v>
      </c>
      <c r="C54" s="39" t="str">
        <f>IFERROR(Sheet1!C54,0)</f>
        <v>MEA</v>
      </c>
      <c r="D54" s="39" t="str">
        <f>IFERROR(Sheet1!F54,0)</f>
        <v>DI</v>
      </c>
      <c r="E54" s="39" t="str">
        <f>IFERROR(Sheet1!E54,0)</f>
        <v>Nahar Al Ajnas Auto Spre Prts Tradi, Dubai (In)</v>
      </c>
      <c r="F54" s="39" t="str">
        <f>IFERROR(IF(UPPER(TRIM(Sheet1!J54))="NH","Nhava Sheva",IF(UPPER(TRIM(Sheet1!J54))="ICD","ICD Dhannad",IF(UPPER(TRIM(Sheet1!J54))="TIHI","ICD Tihi",Sheet1!J54))),0)</f>
        <v>Nhava Sheva</v>
      </c>
      <c r="G54" s="39" t="str">
        <f>IFERROR(Sheet1!M54,0)</f>
        <v>Jebel Ali</v>
      </c>
      <c r="H54" s="39" t="str">
        <f>IFERROR(Sheet1!H54,0)</f>
        <v>GACIS Cargo</v>
      </c>
      <c r="I54" s="39" t="str">
        <f>IFERROR(Sheet1!G54,0)</f>
        <v>FOB</v>
      </c>
      <c r="J54" s="39" t="str">
        <f>IFERROR(Sheet1!K54,0)</f>
        <v>X TRANS</v>
      </c>
      <c r="K54" s="41">
        <f>IFERROR(Sheet1!A54,0)</f>
        <v>45806</v>
      </c>
      <c r="L54" s="41">
        <f>IFERROR(Sheet1!I54,0)</f>
        <v>45804</v>
      </c>
      <c r="M54" s="41">
        <f>IFERROR(Sheet1!P54,0)</f>
        <v>45808</v>
      </c>
      <c r="N54" s="42">
        <f>IFERROR(IF(ISNUMBER(Sheet1!N54),Sheet1!N54,0),0)</f>
        <v>0</v>
      </c>
      <c r="O54" s="42">
        <f>IFERROR(IF(TRIM(F54)="Nhava Sheva",SUMPRODUCT((UPPER(TRIM('Origin Costs'!$A$5:$A$44))=UPPER(TRIM(J54)))*'Origin Costs'!$C$5:$C$44),IF(TRIM(F54)="ICD Tihi",SUMPRODUCT((UPPER(TRIM('Origin Costs'!$A$49:$A$88))=UPPER(TRIM(J54)))*'Origin Costs'!$C$49:$C$88),IF(TRIM(F54)="ICD Dhannad",SUMPRODUCT((UPPER(TRIM('Origin Costs'!$A$93:$A$132))=UPPER(TRIM(J54)))*'Origin Costs'!$C$93:$C$132),0))),0)</f>
        <v>0</v>
      </c>
      <c r="P54" s="42">
        <f t="shared" si="0"/>
        <v>0</v>
      </c>
      <c r="Q54" s="13" t="str">
        <f>IF(OR(Dashboard!$C$4="All Customers",$E54=Dashboard!$C$4),IF($E54="","",$P54+ROW()/10000000),"")</f>
        <v/>
      </c>
    </row>
    <row r="55" spans="1:17" ht="14.25" customHeight="1" x14ac:dyDescent="0.3">
      <c r="A55" s="43" t="str">
        <f>IFERROR("FY"&amp;TEXT(MOD(IF(MONTH(Sheet1!A55)&gt;=4,YEAR(Sheet1!A55),YEAR(Sheet1!A55)-1),100),"00")&amp;"-"&amp;TEXT(MOD(IF(MONTH(Sheet1!A55)&gt;=4,YEAR(Sheet1!A55),YEAR(Sheet1!A55)-1)+1,100),"00"),"")</f>
        <v>FY25-26</v>
      </c>
      <c r="B55" s="44" t="str">
        <f>IFERROR("Q"&amp;IF(MONTH(Sheet1!A55)&gt;=4,IF(MONTH(Sheet1!A55)&lt;=6,1,IF(MONTH(Sheet1!A55)&lt;=9,2,3)),4),"")</f>
        <v>Q1</v>
      </c>
      <c r="C55" s="43" t="str">
        <f>IFERROR(Sheet1!C55,0)</f>
        <v>MEA</v>
      </c>
      <c r="D55" s="43" t="str">
        <f>IFERROR(Sheet1!F55,0)</f>
        <v>DI</v>
      </c>
      <c r="E55" s="43" t="str">
        <f>IFERROR(Sheet1!E55,0)</f>
        <v>Nahar Al Ajnas Auto Spre Prts Tradi, Dubai (In)</v>
      </c>
      <c r="F55" s="43" t="str">
        <f>IFERROR(IF(UPPER(TRIM(Sheet1!J55))="NH","Nhava Sheva",IF(UPPER(TRIM(Sheet1!J55))="ICD","ICD Dhannad",IF(UPPER(TRIM(Sheet1!J55))="TIHI","ICD Tihi",Sheet1!J55))),0)</f>
        <v>Nhava Sheva</v>
      </c>
      <c r="G55" s="43" t="str">
        <f>IFERROR(Sheet1!M55,0)</f>
        <v>Jebel Ali</v>
      </c>
      <c r="H55" s="43" t="str">
        <f>IFERROR(Sheet1!H55,0)</f>
        <v>GACIS Cargo</v>
      </c>
      <c r="I55" s="43" t="str">
        <f>IFERROR(Sheet1!G55,0)</f>
        <v>FOB</v>
      </c>
      <c r="J55" s="43" t="str">
        <f>IFERROR(Sheet1!K55,0)</f>
        <v>X TRANS</v>
      </c>
      <c r="K55" s="45">
        <f>IFERROR(Sheet1!A55,0)</f>
        <v>45806</v>
      </c>
      <c r="L55" s="45">
        <f>IFERROR(Sheet1!I55,0)</f>
        <v>45804</v>
      </c>
      <c r="M55" s="45">
        <f>IFERROR(Sheet1!P55,0)</f>
        <v>45808</v>
      </c>
      <c r="N55" s="46">
        <f>IFERROR(IF(ISNUMBER(Sheet1!N55),Sheet1!N55,0),0)</f>
        <v>0</v>
      </c>
      <c r="O55" s="46">
        <f>IFERROR(IF(TRIM(F55)="Nhava Sheva",SUMPRODUCT((UPPER(TRIM('Origin Costs'!$A$5:$A$44))=UPPER(TRIM(J55)))*'Origin Costs'!$C$5:$C$44),IF(TRIM(F55)="ICD Tihi",SUMPRODUCT((UPPER(TRIM('Origin Costs'!$A$49:$A$88))=UPPER(TRIM(J55)))*'Origin Costs'!$C$49:$C$88),IF(TRIM(F55)="ICD Dhannad",SUMPRODUCT((UPPER(TRIM('Origin Costs'!$A$93:$A$132))=UPPER(TRIM(J55)))*'Origin Costs'!$C$93:$C$132),0))),0)</f>
        <v>0</v>
      </c>
      <c r="P55" s="46">
        <f t="shared" si="0"/>
        <v>0</v>
      </c>
      <c r="Q55" s="13" t="str">
        <f>IF(OR(Dashboard!$C$4="All Customers",$E55=Dashboard!$C$4),IF($E55="","",$P55+ROW()/10000000),"")</f>
        <v/>
      </c>
    </row>
    <row r="56" spans="1:17" ht="14.25" customHeight="1" x14ac:dyDescent="0.3">
      <c r="A56" s="39" t="str">
        <f>IFERROR("FY"&amp;TEXT(MOD(IF(MONTH(Sheet1!A56)&gt;=4,YEAR(Sheet1!A56),YEAR(Sheet1!A56)-1),100),"00")&amp;"-"&amp;TEXT(MOD(IF(MONTH(Sheet1!A56)&gt;=4,YEAR(Sheet1!A56),YEAR(Sheet1!A56)-1)+1,100),"00"),"")</f>
        <v>FY25-26</v>
      </c>
      <c r="B56" s="40" t="str">
        <f>IFERROR("Q"&amp;IF(MONTH(Sheet1!A56)&gt;=4,IF(MONTH(Sheet1!A56)&lt;=6,1,IF(MONTH(Sheet1!A56)&lt;=9,2,3)),4),"")</f>
        <v>Q1</v>
      </c>
      <c r="C56" s="39" t="str">
        <f>IFERROR(Sheet1!C56,0)</f>
        <v>MEA</v>
      </c>
      <c r="D56" s="39" t="str">
        <f>IFERROR(Sheet1!F56,0)</f>
        <v>DI</v>
      </c>
      <c r="E56" s="39" t="str">
        <f>IFERROR(Sheet1!E56,0)</f>
        <v>Nahar Al Ajnas Auto Spre Prts Tradi, Dubai (In)</v>
      </c>
      <c r="F56" s="39" t="str">
        <f>IFERROR(IF(UPPER(TRIM(Sheet1!J56))="NH","Nhava Sheva",IF(UPPER(TRIM(Sheet1!J56))="ICD","ICD Dhannad",IF(UPPER(TRIM(Sheet1!J56))="TIHI","ICD Tihi",Sheet1!J56))),0)</f>
        <v>Nhava Sheva</v>
      </c>
      <c r="G56" s="39" t="str">
        <f>IFERROR(Sheet1!M56,0)</f>
        <v>Jebel Ali</v>
      </c>
      <c r="H56" s="39" t="str">
        <f>IFERROR(Sheet1!H56,0)</f>
        <v>GACIS Cargo</v>
      </c>
      <c r="I56" s="39" t="str">
        <f>IFERROR(Sheet1!G56,0)</f>
        <v>FOB</v>
      </c>
      <c r="J56" s="39" t="str">
        <f>IFERROR(Sheet1!K56,0)</f>
        <v>X TRANS</v>
      </c>
      <c r="K56" s="41">
        <f>IFERROR(Sheet1!A56,0)</f>
        <v>45806</v>
      </c>
      <c r="L56" s="41">
        <f>IFERROR(Sheet1!I56,0)</f>
        <v>45804</v>
      </c>
      <c r="M56" s="41">
        <f>IFERROR(Sheet1!P56,0)</f>
        <v>45808</v>
      </c>
      <c r="N56" s="42">
        <f>IFERROR(IF(ISNUMBER(Sheet1!N56),Sheet1!N56,0),0)</f>
        <v>0</v>
      </c>
      <c r="O56" s="42">
        <f>IFERROR(IF(TRIM(F56)="Nhava Sheva",SUMPRODUCT((UPPER(TRIM('Origin Costs'!$A$5:$A$44))=UPPER(TRIM(J56)))*'Origin Costs'!$C$5:$C$44),IF(TRIM(F56)="ICD Tihi",SUMPRODUCT((UPPER(TRIM('Origin Costs'!$A$49:$A$88))=UPPER(TRIM(J56)))*'Origin Costs'!$C$49:$C$88),IF(TRIM(F56)="ICD Dhannad",SUMPRODUCT((UPPER(TRIM('Origin Costs'!$A$93:$A$132))=UPPER(TRIM(J56)))*'Origin Costs'!$C$93:$C$132),0))),0)</f>
        <v>0</v>
      </c>
      <c r="P56" s="42">
        <f t="shared" si="0"/>
        <v>0</v>
      </c>
      <c r="Q56" s="13" t="str">
        <f>IF(OR(Dashboard!$C$4="All Customers",$E56=Dashboard!$C$4),IF($E56="","",$P56+ROW()/10000000),"")</f>
        <v/>
      </c>
    </row>
    <row r="57" spans="1:17" ht="14.25" customHeight="1" x14ac:dyDescent="0.3">
      <c r="A57" s="43" t="str">
        <f>IFERROR("FY"&amp;TEXT(MOD(IF(MONTH(Sheet1!A57)&gt;=4,YEAR(Sheet1!A57),YEAR(Sheet1!A57)-1),100),"00")&amp;"-"&amp;TEXT(MOD(IF(MONTH(Sheet1!A57)&gt;=4,YEAR(Sheet1!A57),YEAR(Sheet1!A57)-1)+1,100),"00"),"")</f>
        <v>FY25-26</v>
      </c>
      <c r="B57" s="44" t="str">
        <f>IFERROR("Q"&amp;IF(MONTH(Sheet1!A57)&gt;=4,IF(MONTH(Sheet1!A57)&lt;=6,1,IF(MONTH(Sheet1!A57)&lt;=9,2,3)),4),"")</f>
        <v>Q1</v>
      </c>
      <c r="C57" s="43" t="str">
        <f>IFERROR(Sheet1!C57,0)</f>
        <v>MEA</v>
      </c>
      <c r="D57" s="43" t="str">
        <f>IFERROR(Sheet1!F57,0)</f>
        <v>DI</v>
      </c>
      <c r="E57" s="43" t="str">
        <f>IFERROR(Sheet1!E57,0)</f>
        <v>Nahar Al Ajnas Auto Spre Prts Tradi, Dubai (In)</v>
      </c>
      <c r="F57" s="43" t="str">
        <f>IFERROR(IF(UPPER(TRIM(Sheet1!J57))="NH","Nhava Sheva",IF(UPPER(TRIM(Sheet1!J57))="ICD","ICD Dhannad",IF(UPPER(TRIM(Sheet1!J57))="TIHI","ICD Tihi",Sheet1!J57))),0)</f>
        <v>Nhava Sheva</v>
      </c>
      <c r="G57" s="43" t="str">
        <f>IFERROR(Sheet1!M57,0)</f>
        <v>Jebel Ali</v>
      </c>
      <c r="H57" s="43" t="str">
        <f>IFERROR(Sheet1!H57,0)</f>
        <v>GACIS Cargo</v>
      </c>
      <c r="I57" s="43" t="str">
        <f>IFERROR(Sheet1!G57,0)</f>
        <v>FOB</v>
      </c>
      <c r="J57" s="43" t="str">
        <f>IFERROR(Sheet1!K57,0)</f>
        <v>X TRANS</v>
      </c>
      <c r="K57" s="45">
        <f>IFERROR(Sheet1!A57,0)</f>
        <v>45806</v>
      </c>
      <c r="L57" s="45">
        <f>IFERROR(Sheet1!I57,0)</f>
        <v>45804</v>
      </c>
      <c r="M57" s="45">
        <f>IFERROR(Sheet1!P57,0)</f>
        <v>45808</v>
      </c>
      <c r="N57" s="46">
        <f>IFERROR(IF(ISNUMBER(Sheet1!N57),Sheet1!N57,0),0)</f>
        <v>0</v>
      </c>
      <c r="O57" s="46">
        <f>IFERROR(IF(TRIM(F57)="Nhava Sheva",SUMPRODUCT((UPPER(TRIM('Origin Costs'!$A$5:$A$44))=UPPER(TRIM(J57)))*'Origin Costs'!$C$5:$C$44),IF(TRIM(F57)="ICD Tihi",SUMPRODUCT((UPPER(TRIM('Origin Costs'!$A$49:$A$88))=UPPER(TRIM(J57)))*'Origin Costs'!$C$49:$C$88),IF(TRIM(F57)="ICD Dhannad",SUMPRODUCT((UPPER(TRIM('Origin Costs'!$A$93:$A$132))=UPPER(TRIM(J57)))*'Origin Costs'!$C$93:$C$132),0))),0)</f>
        <v>0</v>
      </c>
      <c r="P57" s="46">
        <f t="shared" si="0"/>
        <v>0</v>
      </c>
      <c r="Q57" s="13" t="str">
        <f>IF(OR(Dashboard!$C$4="All Customers",$E57=Dashboard!$C$4),IF($E57="","",$P57+ROW()/10000000),"")</f>
        <v/>
      </c>
    </row>
    <row r="58" spans="1:17" ht="14.25" customHeight="1" x14ac:dyDescent="0.3">
      <c r="A58" s="39" t="str">
        <f>IFERROR("FY"&amp;TEXT(MOD(IF(MONTH(Sheet1!A58)&gt;=4,YEAR(Sheet1!A58),YEAR(Sheet1!A58)-1),100),"00")&amp;"-"&amp;TEXT(MOD(IF(MONTH(Sheet1!A58)&gt;=4,YEAR(Sheet1!A58),YEAR(Sheet1!A58)-1)+1,100),"00"),"")</f>
        <v>FY25-26</v>
      </c>
      <c r="B58" s="40" t="str">
        <f>IFERROR("Q"&amp;IF(MONTH(Sheet1!A58)&gt;=4,IF(MONTH(Sheet1!A58)&lt;=6,1,IF(MONTH(Sheet1!A58)&lt;=9,2,3)),4),"")</f>
        <v>Q1</v>
      </c>
      <c r="C58" s="39" t="str">
        <f>IFERROR(Sheet1!C58,0)</f>
        <v>S.A</v>
      </c>
      <c r="D58" s="39" t="str">
        <f>IFERROR(Sheet1!F58,0)</f>
        <v>columbia</v>
      </c>
      <c r="E58" s="39" t="str">
        <f>IFERROR(Sheet1!E58,0)</f>
        <v>Acostallantas S.A, Colombia</v>
      </c>
      <c r="F58" s="39" t="str">
        <f>IFERROR(IF(UPPER(TRIM(Sheet1!J58))="NH","Nhava Sheva",IF(UPPER(TRIM(Sheet1!J58))="ICD","ICD Dhannad",IF(UPPER(TRIM(Sheet1!J58))="TIHI","ICD Tihi",Sheet1!J58))),0)</f>
        <v>ICD Dhannad</v>
      </c>
      <c r="G58" s="39" t="str">
        <f>IFERROR(Sheet1!M58,0)</f>
        <v>Buenaventura</v>
      </c>
      <c r="H58" s="39" t="str">
        <f>IFERROR(Sheet1!H58,0)</f>
        <v>Sanjay Forwarder</v>
      </c>
      <c r="I58" s="39" t="str">
        <f>IFERROR(Sheet1!G58,0)</f>
        <v>CIF</v>
      </c>
      <c r="J58" s="39" t="str">
        <f>IFERROR(Sheet1!K58,0)</f>
        <v>Maersk</v>
      </c>
      <c r="K58" s="41">
        <f>IFERROR(Sheet1!A58,0)</f>
        <v>45818</v>
      </c>
      <c r="L58" s="41">
        <f>IFERROR(Sheet1!I58,0)</f>
        <v>45817</v>
      </c>
      <c r="M58" s="41">
        <f>IFERROR(Sheet1!P58,0)</f>
        <v>45818</v>
      </c>
      <c r="N58" s="42">
        <f>IFERROR(IF(ISNUMBER(Sheet1!N58),Sheet1!N58,0),0)</f>
        <v>2450</v>
      </c>
      <c r="O58" s="42">
        <f>IFERROR(IF(TRIM(F58)="Nhava Sheva",SUMPRODUCT((UPPER(TRIM('Origin Costs'!$A$5:$A$44))=UPPER(TRIM(J58)))*'Origin Costs'!$C$5:$C$44),IF(TRIM(F58)="ICD Tihi",SUMPRODUCT((UPPER(TRIM('Origin Costs'!$A$49:$A$88))=UPPER(TRIM(J58)))*'Origin Costs'!$C$49:$C$88),IF(TRIM(F58)="ICD Dhannad",SUMPRODUCT((UPPER(TRIM('Origin Costs'!$A$93:$A$132))=UPPER(TRIM(J58)))*'Origin Costs'!$C$93:$C$132),0))),0)</f>
        <v>0</v>
      </c>
      <c r="P58" s="42">
        <f t="shared" si="0"/>
        <v>2450</v>
      </c>
      <c r="Q58" s="13">
        <f>IF(OR(Dashboard!$C$4="All Customers",$E58=Dashboard!$C$4),IF($E58="","",$P58+ROW()/10000000),"")</f>
        <v>2450.0000058000001</v>
      </c>
    </row>
    <row r="59" spans="1:17" ht="14.25" customHeight="1" x14ac:dyDescent="0.3">
      <c r="A59" s="43" t="str">
        <f>IFERROR("FY"&amp;TEXT(MOD(IF(MONTH(Sheet1!A59)&gt;=4,YEAR(Sheet1!A59),YEAR(Sheet1!A59)-1),100),"00")&amp;"-"&amp;TEXT(MOD(IF(MONTH(Sheet1!A59)&gt;=4,YEAR(Sheet1!A59),YEAR(Sheet1!A59)-1)+1,100),"00"),"")</f>
        <v>FY25-26</v>
      </c>
      <c r="B59" s="44" t="str">
        <f>IFERROR("Q"&amp;IF(MONTH(Sheet1!A59)&gt;=4,IF(MONTH(Sheet1!A59)&lt;=6,1,IF(MONTH(Sheet1!A59)&lt;=9,2,3)),4),"")</f>
        <v>Q1</v>
      </c>
      <c r="C59" s="43" t="str">
        <f>IFERROR(Sheet1!C59,0)</f>
        <v>S.A</v>
      </c>
      <c r="D59" s="43" t="str">
        <f>IFERROR(Sheet1!F59,0)</f>
        <v>columbia</v>
      </c>
      <c r="E59" s="43" t="str">
        <f>IFERROR(Sheet1!E59,0)</f>
        <v>REDLLANTAS S.A</v>
      </c>
      <c r="F59" s="43" t="str">
        <f>IFERROR(IF(UPPER(TRIM(Sheet1!J59))="NH","Nhava Sheva",IF(UPPER(TRIM(Sheet1!J59))="ICD","ICD Dhannad",IF(UPPER(TRIM(Sheet1!J59))="TIHI","ICD Tihi",Sheet1!J59))),0)</f>
        <v>ICD Dhannad</v>
      </c>
      <c r="G59" s="43" t="str">
        <f>IFERROR(Sheet1!M59,0)</f>
        <v>Buenaventura</v>
      </c>
      <c r="H59" s="43" t="str">
        <f>IFERROR(Sheet1!H59,0)</f>
        <v>Mentor Freight</v>
      </c>
      <c r="I59" s="43" t="str">
        <f>IFERROR(Sheet1!G59,0)</f>
        <v>FOB</v>
      </c>
      <c r="J59" s="43" t="str">
        <f>IFERROR(Sheet1!K59,0)</f>
        <v>CMA</v>
      </c>
      <c r="K59" s="45">
        <f>IFERROR(Sheet1!A59,0)</f>
        <v>45818</v>
      </c>
      <c r="L59" s="45">
        <f>IFERROR(Sheet1!I59,0)</f>
        <v>45815</v>
      </c>
      <c r="M59" s="45">
        <f>IFERROR(Sheet1!P59,0)</f>
        <v>45818</v>
      </c>
      <c r="N59" s="46">
        <f>IFERROR(IF(ISNUMBER(Sheet1!N59),Sheet1!N59,0),0)</f>
        <v>0</v>
      </c>
      <c r="O59" s="46">
        <f>IFERROR(IF(TRIM(F59)="Nhava Sheva",SUMPRODUCT((UPPER(TRIM('Origin Costs'!$A$5:$A$44))=UPPER(TRIM(J59)))*'Origin Costs'!$C$5:$C$44),IF(TRIM(F59)="ICD Tihi",SUMPRODUCT((UPPER(TRIM('Origin Costs'!$A$49:$A$88))=UPPER(TRIM(J59)))*'Origin Costs'!$C$49:$C$88),IF(TRIM(F59)="ICD Dhannad",SUMPRODUCT((UPPER(TRIM('Origin Costs'!$A$93:$A$132))=UPPER(TRIM(J59)))*'Origin Costs'!$C$93:$C$132),0))),0)</f>
        <v>0</v>
      </c>
      <c r="P59" s="46">
        <f t="shared" si="0"/>
        <v>0</v>
      </c>
      <c r="Q59" s="13" t="str">
        <f>IF(OR(Dashboard!$C$4="All Customers",$E59=Dashboard!$C$4),IF($E59="","",$P59+ROW()/10000000),"")</f>
        <v/>
      </c>
    </row>
    <row r="60" spans="1:17" ht="14.25" customHeight="1" x14ac:dyDescent="0.3">
      <c r="A60" s="39" t="str">
        <f>IFERROR("FY"&amp;TEXT(MOD(IF(MONTH(Sheet1!A60)&gt;=4,YEAR(Sheet1!A60),YEAR(Sheet1!A60)-1),100),"00")&amp;"-"&amp;TEXT(MOD(IF(MONTH(Sheet1!A60)&gt;=4,YEAR(Sheet1!A60),YEAR(Sheet1!A60)-1)+1,100),"00"),"")</f>
        <v>FY25-26</v>
      </c>
      <c r="B60" s="40" t="str">
        <f>IFERROR("Q"&amp;IF(MONTH(Sheet1!A60)&gt;=4,IF(MONTH(Sheet1!A60)&lt;=6,1,IF(MONTH(Sheet1!A60)&lt;=9,2,3)),4),"")</f>
        <v>Q1</v>
      </c>
      <c r="C60" s="39" t="str">
        <f>IFERROR(Sheet1!C60,0)</f>
        <v>ISC</v>
      </c>
      <c r="D60" s="39" t="str">
        <f>IFERROR(Sheet1!F60,0)</f>
        <v>Srilanka</v>
      </c>
      <c r="E60" s="39" t="str">
        <f>IFERROR(Sheet1!E60,0)</f>
        <v>Nonime Enterprises, Srilanka</v>
      </c>
      <c r="F60" s="39" t="str">
        <f>IFERROR(IF(UPPER(TRIM(Sheet1!J60))="NH","Nhava Sheva",IF(UPPER(TRIM(Sheet1!J60))="ICD","ICD Dhannad",IF(UPPER(TRIM(Sheet1!J60))="TIHI","ICD Tihi",Sheet1!J60))),0)</f>
        <v>Nhava Sheva</v>
      </c>
      <c r="G60" s="39" t="str">
        <f>IFERROR(Sheet1!M60,0)</f>
        <v>Colombo</v>
      </c>
      <c r="H60" s="39" t="str">
        <f>IFERROR(Sheet1!H60,0)</f>
        <v>Everprime</v>
      </c>
      <c r="I60" s="39" t="str">
        <f>IFERROR(Sheet1!G60,0)</f>
        <v>FOB</v>
      </c>
      <c r="J60" s="39" t="str">
        <f>IFERROR(Sheet1!K60,0)</f>
        <v>MSA Shipping</v>
      </c>
      <c r="K60" s="41">
        <f>IFERROR(Sheet1!A60,0)</f>
        <v>45819</v>
      </c>
      <c r="L60" s="41">
        <f>IFERROR(Sheet1!I60,0)</f>
        <v>45817</v>
      </c>
      <c r="M60" s="41">
        <f>IFERROR(Sheet1!P60,0)</f>
        <v>45819</v>
      </c>
      <c r="N60" s="42">
        <f>IFERROR(IF(ISNUMBER(Sheet1!N60),Sheet1!N60,0),0)</f>
        <v>0</v>
      </c>
      <c r="O60" s="42">
        <f>IFERROR(IF(TRIM(F60)="Nhava Sheva",SUMPRODUCT((UPPER(TRIM('Origin Costs'!$A$5:$A$44))=UPPER(TRIM(J60)))*'Origin Costs'!$C$5:$C$44),IF(TRIM(F60)="ICD Tihi",SUMPRODUCT((UPPER(TRIM('Origin Costs'!$A$49:$A$88))=UPPER(TRIM(J60)))*'Origin Costs'!$C$49:$C$88),IF(TRIM(F60)="ICD Dhannad",SUMPRODUCT((UPPER(TRIM('Origin Costs'!$A$93:$A$132))=UPPER(TRIM(J60)))*'Origin Costs'!$C$93:$C$132),0))),0)</f>
        <v>0</v>
      </c>
      <c r="P60" s="42">
        <f t="shared" si="0"/>
        <v>0</v>
      </c>
      <c r="Q60" s="13" t="str">
        <f>IF(OR(Dashboard!$C$4="All Customers",$E60=Dashboard!$C$4),IF($E60="","",$P60+ROW()/10000000),"")</f>
        <v/>
      </c>
    </row>
    <row r="61" spans="1:17" ht="14.25" customHeight="1" x14ac:dyDescent="0.3">
      <c r="A61" s="43" t="str">
        <f>IFERROR("FY"&amp;TEXT(MOD(IF(MONTH(Sheet1!A61)&gt;=4,YEAR(Sheet1!A61),YEAR(Sheet1!A61)-1),100),"00")&amp;"-"&amp;TEXT(MOD(IF(MONTH(Sheet1!A61)&gt;=4,YEAR(Sheet1!A61),YEAR(Sheet1!A61)-1)+1,100),"00"),"")</f>
        <v>FY25-26</v>
      </c>
      <c r="B61" s="44" t="str">
        <f>IFERROR("Q"&amp;IF(MONTH(Sheet1!A61)&gt;=4,IF(MONTH(Sheet1!A61)&lt;=6,1,IF(MONTH(Sheet1!A61)&lt;=9,2,3)),4),"")</f>
        <v>Q1</v>
      </c>
      <c r="C61" s="43" t="str">
        <f>IFERROR(Sheet1!C61,0)</f>
        <v>Europe</v>
      </c>
      <c r="D61" s="43" t="str">
        <f>IFERROR(Sheet1!F61,0)</f>
        <v>Turkey</v>
      </c>
      <c r="E61" s="43" t="str">
        <f>IFERROR(Sheet1!E61,0)</f>
        <v>Tuncay Güç Mansa Kallpa External, Turkey</v>
      </c>
      <c r="F61" s="43" t="str">
        <f>IFERROR(IF(UPPER(TRIM(Sheet1!J61))="NH","Nhava Sheva",IF(UPPER(TRIM(Sheet1!J61))="ICD","ICD Dhannad",IF(UPPER(TRIM(Sheet1!J61))="TIHI","ICD Tihi",Sheet1!J61))),0)</f>
        <v>ICD Dhannad</v>
      </c>
      <c r="G61" s="43" t="str">
        <f>IFERROR(Sheet1!M61,0)</f>
        <v>Aliaga</v>
      </c>
      <c r="H61" s="43" t="str">
        <f>IFERROR(Sheet1!H61,0)</f>
        <v>Hellmann</v>
      </c>
      <c r="I61" s="43" t="str">
        <f>IFERROR(Sheet1!G61,0)</f>
        <v>CIF</v>
      </c>
      <c r="J61" s="43" t="str">
        <f>IFERROR(Sheet1!K61,0)</f>
        <v>Hapag</v>
      </c>
      <c r="K61" s="45">
        <f>IFERROR(Sheet1!A61,0)</f>
        <v>45819</v>
      </c>
      <c r="L61" s="45">
        <f>IFERROR(Sheet1!I61,0)</f>
        <v>45818</v>
      </c>
      <c r="M61" s="45">
        <f>IFERROR(Sheet1!P61,0)</f>
        <v>45819</v>
      </c>
      <c r="N61" s="46">
        <f>IFERROR(IF(ISNUMBER(Sheet1!N61),Sheet1!N61,0),0)</f>
        <v>1235</v>
      </c>
      <c r="O61" s="46">
        <f>IFERROR(IF(TRIM(F61)="Nhava Sheva",SUMPRODUCT((UPPER(TRIM('Origin Costs'!$A$5:$A$44))=UPPER(TRIM(J61)))*'Origin Costs'!$C$5:$C$44),IF(TRIM(F61)="ICD Tihi",SUMPRODUCT((UPPER(TRIM('Origin Costs'!$A$49:$A$88))=UPPER(TRIM(J61)))*'Origin Costs'!$C$49:$C$88),IF(TRIM(F61)="ICD Dhannad",SUMPRODUCT((UPPER(TRIM('Origin Costs'!$A$93:$A$132))=UPPER(TRIM(J61)))*'Origin Costs'!$C$93:$C$132),0))),0)</f>
        <v>1209.3888888888889</v>
      </c>
      <c r="P61" s="46">
        <f t="shared" si="0"/>
        <v>2444.3888888888887</v>
      </c>
      <c r="Q61" s="13" t="str">
        <f>IF(OR(Dashboard!$C$4="All Customers",$E61=Dashboard!$C$4),IF($E61="","",$P61+ROW()/10000000),"")</f>
        <v/>
      </c>
    </row>
    <row r="62" spans="1:17" ht="14.25" customHeight="1" x14ac:dyDescent="0.3">
      <c r="A62" s="39" t="str">
        <f>IFERROR("FY"&amp;TEXT(MOD(IF(MONTH(Sheet1!A62)&gt;=4,YEAR(Sheet1!A62),YEAR(Sheet1!A62)-1),100),"00")&amp;"-"&amp;TEXT(MOD(IF(MONTH(Sheet1!A62)&gt;=4,YEAR(Sheet1!A62),YEAR(Sheet1!A62)-1)+1,100),"00"),"")</f>
        <v>FY25-26</v>
      </c>
      <c r="B62" s="40" t="str">
        <f>IFERROR("Q"&amp;IF(MONTH(Sheet1!A62)&gt;=4,IF(MONTH(Sheet1!A62)&lt;=6,1,IF(MONTH(Sheet1!A62)&lt;=9,2,3)),4),"")</f>
        <v>Q1</v>
      </c>
      <c r="C62" s="39" t="str">
        <f>IFERROR(Sheet1!C62,0)</f>
        <v>Europe</v>
      </c>
      <c r="D62" s="39" t="str">
        <f>IFERROR(Sheet1!F62,0)</f>
        <v>Croatia</v>
      </c>
      <c r="E62" s="39" t="str">
        <f>IFERROR(Sheet1!E62,0)</f>
        <v>Inter Cars d.o.o., Croatia</v>
      </c>
      <c r="F62" s="39" t="str">
        <f>IFERROR(IF(UPPER(TRIM(Sheet1!J62))="NH","Nhava Sheva",IF(UPPER(TRIM(Sheet1!J62))="ICD","ICD Dhannad",IF(UPPER(TRIM(Sheet1!J62))="TIHI","ICD Tihi",Sheet1!J62))),0)</f>
        <v>ICD Dhannad</v>
      </c>
      <c r="G62" s="39" t="str">
        <f>IFERROR(Sheet1!M62,0)</f>
        <v>Rijeka</v>
      </c>
      <c r="H62" s="39" t="str">
        <f>IFERROR(Sheet1!H62,0)</f>
        <v>Cargo Partner</v>
      </c>
      <c r="I62" s="39" t="str">
        <f>IFERROR(Sheet1!G62,0)</f>
        <v>FOB</v>
      </c>
      <c r="J62" s="39" t="str">
        <f>IFERROR(Sheet1!K62,0)</f>
        <v>MSC</v>
      </c>
      <c r="K62" s="41">
        <f>IFERROR(Sheet1!A62,0)</f>
        <v>45819</v>
      </c>
      <c r="L62" s="41">
        <f>IFERROR(Sheet1!I62,0)</f>
        <v>45819</v>
      </c>
      <c r="M62" s="41">
        <f>IFERROR(Sheet1!P62,0)</f>
        <v>45820</v>
      </c>
      <c r="N62" s="42">
        <f>IFERROR(IF(ISNUMBER(Sheet1!N62),Sheet1!N62,0),0)</f>
        <v>0</v>
      </c>
      <c r="O62" s="42">
        <f>IFERROR(IF(TRIM(F62)="Nhava Sheva",SUMPRODUCT((UPPER(TRIM('Origin Costs'!$A$5:$A$44))=UPPER(TRIM(J62)))*'Origin Costs'!$C$5:$C$44),IF(TRIM(F62)="ICD Tihi",SUMPRODUCT((UPPER(TRIM('Origin Costs'!$A$49:$A$88))=UPPER(TRIM(J62)))*'Origin Costs'!$C$49:$C$88),IF(TRIM(F62)="ICD Dhannad",SUMPRODUCT((UPPER(TRIM('Origin Costs'!$A$93:$A$132))=UPPER(TRIM(J62)))*'Origin Costs'!$C$93:$C$132),0))),0)</f>
        <v>0</v>
      </c>
      <c r="P62" s="42">
        <f t="shared" si="0"/>
        <v>0</v>
      </c>
      <c r="Q62" s="13" t="str">
        <f>IF(OR(Dashboard!$C$4="All Customers",$E62=Dashboard!$C$4),IF($E62="","",$P62+ROW()/10000000),"")</f>
        <v/>
      </c>
    </row>
    <row r="63" spans="1:17" ht="14.25" customHeight="1" x14ac:dyDescent="0.3">
      <c r="A63" s="43" t="str">
        <f>IFERROR("FY"&amp;TEXT(MOD(IF(MONTH(Sheet1!A63)&gt;=4,YEAR(Sheet1!A63),YEAR(Sheet1!A63)-1),100),"00")&amp;"-"&amp;TEXT(MOD(IF(MONTH(Sheet1!A63)&gt;=4,YEAR(Sheet1!A63),YEAR(Sheet1!A63)-1)+1,100),"00"),"")</f>
        <v>FY25-26</v>
      </c>
      <c r="B63" s="44" t="str">
        <f>IFERROR("Q"&amp;IF(MONTH(Sheet1!A63)&gt;=4,IF(MONTH(Sheet1!A63)&lt;=6,1,IF(MONTH(Sheet1!A63)&lt;=9,2,3)),4),"")</f>
        <v>Q1</v>
      </c>
      <c r="C63" s="43" t="str">
        <f>IFERROR(Sheet1!C63,0)</f>
        <v>Europe</v>
      </c>
      <c r="D63" s="43" t="str">
        <f>IFERROR(Sheet1!F63,0)</f>
        <v>Romania</v>
      </c>
      <c r="E63" s="43" t="str">
        <f>IFERROR(Sheet1!E63,0)</f>
        <v>Inter Cars Romania Srl</v>
      </c>
      <c r="F63" s="43" t="str">
        <f>IFERROR(IF(UPPER(TRIM(Sheet1!J63))="NH","Nhava Sheva",IF(UPPER(TRIM(Sheet1!J63))="ICD","ICD Dhannad",IF(UPPER(TRIM(Sheet1!J63))="TIHI","ICD Tihi",Sheet1!J63))),0)</f>
        <v>ICD Dhannad</v>
      </c>
      <c r="G63" s="43" t="str">
        <f>IFERROR(Sheet1!M63,0)</f>
        <v>Constanta</v>
      </c>
      <c r="H63" s="43" t="str">
        <f>IFERROR(Sheet1!H63,0)</f>
        <v>DSV</v>
      </c>
      <c r="I63" s="43" t="str">
        <f>IFERROR(Sheet1!G63,0)</f>
        <v>FOB</v>
      </c>
      <c r="J63" s="43" t="str">
        <f>IFERROR(Sheet1!K63,0)</f>
        <v>MSC</v>
      </c>
      <c r="K63" s="45">
        <f>IFERROR(Sheet1!A63,0)</f>
        <v>45819</v>
      </c>
      <c r="L63" s="45">
        <f>IFERROR(Sheet1!I63,0)</f>
        <v>45819</v>
      </c>
      <c r="M63" s="45">
        <f>IFERROR(Sheet1!P63,0)</f>
        <v>45820</v>
      </c>
      <c r="N63" s="46">
        <f>IFERROR(IF(ISNUMBER(Sheet1!N63),Sheet1!N63,0),0)</f>
        <v>0</v>
      </c>
      <c r="O63" s="46">
        <f>IFERROR(IF(TRIM(F63)="Nhava Sheva",SUMPRODUCT((UPPER(TRIM('Origin Costs'!$A$5:$A$44))=UPPER(TRIM(J63)))*'Origin Costs'!$C$5:$C$44),IF(TRIM(F63)="ICD Tihi",SUMPRODUCT((UPPER(TRIM('Origin Costs'!$A$49:$A$88))=UPPER(TRIM(J63)))*'Origin Costs'!$C$49:$C$88),IF(TRIM(F63)="ICD Dhannad",SUMPRODUCT((UPPER(TRIM('Origin Costs'!$A$93:$A$132))=UPPER(TRIM(J63)))*'Origin Costs'!$C$93:$C$132),0))),0)</f>
        <v>0</v>
      </c>
      <c r="P63" s="46">
        <f t="shared" si="0"/>
        <v>0</v>
      </c>
      <c r="Q63" s="13" t="str">
        <f>IF(OR(Dashboard!$C$4="All Customers",$E63=Dashboard!$C$4),IF($E63="","",$P63+ROW()/10000000),"")</f>
        <v/>
      </c>
    </row>
    <row r="64" spans="1:17" ht="14.25" customHeight="1" x14ac:dyDescent="0.3">
      <c r="A64" s="39" t="str">
        <f>IFERROR("FY"&amp;TEXT(MOD(IF(MONTH(Sheet1!A64)&gt;=4,YEAR(Sheet1!A64),YEAR(Sheet1!A64)-1),100),"00")&amp;"-"&amp;TEXT(MOD(IF(MONTH(Sheet1!A64)&gt;=4,YEAR(Sheet1!A64),YEAR(Sheet1!A64)-1)+1,100),"00"),"")</f>
        <v>FY25-26</v>
      </c>
      <c r="B64" s="40" t="str">
        <f>IFERROR("Q"&amp;IF(MONTH(Sheet1!A64)&gt;=4,IF(MONTH(Sheet1!A64)&lt;=6,1,IF(MONTH(Sheet1!A64)&lt;=9,2,3)),4),"")</f>
        <v>Q1</v>
      </c>
      <c r="C64" s="39" t="str">
        <f>IFERROR(Sheet1!C64,0)</f>
        <v>Europe</v>
      </c>
      <c r="D64" s="39" t="str">
        <f>IFERROR(Sheet1!F64,0)</f>
        <v>Greece</v>
      </c>
      <c r="E64" s="39" t="str">
        <f>IFERROR(Sheet1!E64,0)</f>
        <v>Inter Cars Greece Ltd</v>
      </c>
      <c r="F64" s="39" t="str">
        <f>IFERROR(IF(UPPER(TRIM(Sheet1!J64))="NH","Nhava Sheva",IF(UPPER(TRIM(Sheet1!J64))="ICD","ICD Dhannad",IF(UPPER(TRIM(Sheet1!J64))="TIHI","ICD Tihi",Sheet1!J64))),0)</f>
        <v>Nhava Sheva</v>
      </c>
      <c r="G64" s="39" t="str">
        <f>IFERROR(Sheet1!M64,0)</f>
        <v>PIRAEUS</v>
      </c>
      <c r="H64" s="39" t="str">
        <f>IFERROR(Sheet1!H64,0)</f>
        <v>Team Global</v>
      </c>
      <c r="I64" s="39" t="str">
        <f>IFERROR(Sheet1!G64,0)</f>
        <v>FOB</v>
      </c>
      <c r="J64" s="39" t="str">
        <f>IFERROR(Sheet1!K64,0)</f>
        <v>CMA</v>
      </c>
      <c r="K64" s="41">
        <f>IFERROR(Sheet1!A64,0)</f>
        <v>45822</v>
      </c>
      <c r="L64" s="41">
        <f>IFERROR(Sheet1!I64,0)</f>
        <v>45820</v>
      </c>
      <c r="M64" s="41">
        <f>IFERROR(Sheet1!P64,0)</f>
        <v>45822</v>
      </c>
      <c r="N64" s="42">
        <f>IFERROR(IF(ISNUMBER(Sheet1!N64),Sheet1!N64,0),0)</f>
        <v>0</v>
      </c>
      <c r="O64" s="42">
        <f>IFERROR(IF(TRIM(F64)="Nhava Sheva",SUMPRODUCT((UPPER(TRIM('Origin Costs'!$A$5:$A$44))=UPPER(TRIM(J64)))*'Origin Costs'!$C$5:$C$44),IF(TRIM(F64)="ICD Tihi",SUMPRODUCT((UPPER(TRIM('Origin Costs'!$A$49:$A$88))=UPPER(TRIM(J64)))*'Origin Costs'!$C$49:$C$88),IF(TRIM(F64)="ICD Dhannad",SUMPRODUCT((UPPER(TRIM('Origin Costs'!$A$93:$A$132))=UPPER(TRIM(J64)))*'Origin Costs'!$C$93:$C$132),0))),0)</f>
        <v>0</v>
      </c>
      <c r="P64" s="42">
        <f t="shared" si="0"/>
        <v>0</v>
      </c>
      <c r="Q64" s="13" t="str">
        <f>IF(OR(Dashboard!$C$4="All Customers",$E64=Dashboard!$C$4),IF($E64="","",$P64+ROW()/10000000),"")</f>
        <v/>
      </c>
    </row>
    <row r="65" spans="1:17" ht="14.25" customHeight="1" x14ac:dyDescent="0.3">
      <c r="A65" s="43" t="str">
        <f>IFERROR("FY"&amp;TEXT(MOD(IF(MONTH(Sheet1!A65)&gt;=4,YEAR(Sheet1!A65),YEAR(Sheet1!A65)-1),100),"00")&amp;"-"&amp;TEXT(MOD(IF(MONTH(Sheet1!A65)&gt;=4,YEAR(Sheet1!A65),YEAR(Sheet1!A65)-1)+1,100),"00"),"")</f>
        <v>FY25-26</v>
      </c>
      <c r="B65" s="44" t="str">
        <f>IFERROR("Q"&amp;IF(MONTH(Sheet1!A65)&gt;=4,IF(MONTH(Sheet1!A65)&lt;=6,1,IF(MONTH(Sheet1!A65)&lt;=9,2,3)),4),"")</f>
        <v>Q1</v>
      </c>
      <c r="C65" s="43" t="str">
        <f>IFERROR(Sheet1!C65,0)</f>
        <v>S.A</v>
      </c>
      <c r="D65" s="43" t="str">
        <f>IFERROR(Sheet1!F65,0)</f>
        <v>columbia</v>
      </c>
      <c r="E65" s="43" t="str">
        <f>IFERROR(Sheet1!E65,0)</f>
        <v>Acostallantas S.A, Colombia</v>
      </c>
      <c r="F65" s="43" t="str">
        <f>IFERROR(IF(UPPER(TRIM(Sheet1!J65))="NH","Nhava Sheva",IF(UPPER(TRIM(Sheet1!J65))="ICD","ICD Dhannad",IF(UPPER(TRIM(Sheet1!J65))="TIHI","ICD Tihi",Sheet1!J65))),0)</f>
        <v>Nhava Sheva</v>
      </c>
      <c r="G65" s="43" t="str">
        <f>IFERROR(Sheet1!M65,0)</f>
        <v>Buenaventura</v>
      </c>
      <c r="H65" s="43" t="str">
        <f>IFERROR(Sheet1!H65,0)</f>
        <v>Sanjay Forwarder</v>
      </c>
      <c r="I65" s="43" t="str">
        <f>IFERROR(Sheet1!G65,0)</f>
        <v>CIF</v>
      </c>
      <c r="J65" s="43" t="str">
        <f>IFERROR(Sheet1!K65,0)</f>
        <v>Maersk</v>
      </c>
      <c r="K65" s="45">
        <f>IFERROR(Sheet1!A65,0)</f>
        <v>45824</v>
      </c>
      <c r="L65" s="45">
        <f>IFERROR(Sheet1!I65,0)</f>
        <v>0</v>
      </c>
      <c r="M65" s="45">
        <f>IFERROR(Sheet1!P65,0)</f>
        <v>45824</v>
      </c>
      <c r="N65" s="46">
        <f>IFERROR(IF(ISNUMBER(Sheet1!N65),Sheet1!N65,0),0)</f>
        <v>2450</v>
      </c>
      <c r="O65" s="46">
        <f>IFERROR(IF(TRIM(F65)="Nhava Sheva",SUMPRODUCT((UPPER(TRIM('Origin Costs'!$A$5:$A$44))=UPPER(TRIM(J65)))*'Origin Costs'!$C$5:$C$44),IF(TRIM(F65)="ICD Tihi",SUMPRODUCT((UPPER(TRIM('Origin Costs'!$A$49:$A$88))=UPPER(TRIM(J65)))*'Origin Costs'!$C$49:$C$88),IF(TRIM(F65)="ICD Dhannad",SUMPRODUCT((UPPER(TRIM('Origin Costs'!$A$93:$A$132))=UPPER(TRIM(J65)))*'Origin Costs'!$C$93:$C$132),0))),0)</f>
        <v>1148.588888888889</v>
      </c>
      <c r="P65" s="46">
        <f t="shared" si="0"/>
        <v>3598.588888888889</v>
      </c>
      <c r="Q65" s="13">
        <f>IF(OR(Dashboard!$C$4="All Customers",$E65=Dashboard!$C$4),IF($E65="","",$P65+ROW()/10000000),"")</f>
        <v>3598.5888953888889</v>
      </c>
    </row>
    <row r="66" spans="1:17" ht="14.25" customHeight="1" x14ac:dyDescent="0.3">
      <c r="A66" s="39" t="str">
        <f>IFERROR("FY"&amp;TEXT(MOD(IF(MONTH(Sheet1!A66)&gt;=4,YEAR(Sheet1!A66),YEAR(Sheet1!A66)-1),100),"00")&amp;"-"&amp;TEXT(MOD(IF(MONTH(Sheet1!A66)&gt;=4,YEAR(Sheet1!A66),YEAR(Sheet1!A66)-1)+1,100),"00"),"")</f>
        <v>FY25-26</v>
      </c>
      <c r="B66" s="40" t="str">
        <f>IFERROR("Q"&amp;IF(MONTH(Sheet1!A66)&gt;=4,IF(MONTH(Sheet1!A66)&lt;=6,1,IF(MONTH(Sheet1!A66)&lt;=9,2,3)),4),"")</f>
        <v>Q1</v>
      </c>
      <c r="C66" s="39" t="str">
        <f>IFERROR(Sheet1!C66,0)</f>
        <v>MEA</v>
      </c>
      <c r="D66" s="39" t="str">
        <f>IFERROR(Sheet1!F66,0)</f>
        <v>UAE</v>
      </c>
      <c r="E66" s="39" t="str">
        <f>IFERROR(Sheet1!E66,0)</f>
        <v>ROAD FORCE AUTO SPARE PARTS-Sharjah</v>
      </c>
      <c r="F66" s="39" t="str">
        <f>IFERROR(IF(UPPER(TRIM(Sheet1!J66))="NH","Nhava Sheva",IF(UPPER(TRIM(Sheet1!J66))="ICD","ICD Dhannad",IF(UPPER(TRIM(Sheet1!J66))="TIHI","ICD Tihi",Sheet1!J66))),0)</f>
        <v>Nhava Sheva</v>
      </c>
      <c r="G66" s="39" t="str">
        <f>IFERROR(Sheet1!M66,0)</f>
        <v>Sharjah</v>
      </c>
      <c r="H66" s="39" t="str">
        <f>IFERROR(Sheet1!H66,0)</f>
        <v>Arikas Logistics</v>
      </c>
      <c r="I66" s="39" t="str">
        <f>IFERROR(Sheet1!G66,0)</f>
        <v>FOB</v>
      </c>
      <c r="J66" s="39" t="str">
        <f>IFERROR(Sheet1!K66,0)</f>
        <v>Maersk</v>
      </c>
      <c r="K66" s="41">
        <f>IFERROR(Sheet1!A66,0)</f>
        <v>45824</v>
      </c>
      <c r="L66" s="41">
        <f>IFERROR(Sheet1!I66,0)</f>
        <v>45822</v>
      </c>
      <c r="M66" s="41">
        <f>IFERROR(Sheet1!P66,0)</f>
        <v>45825</v>
      </c>
      <c r="N66" s="42">
        <f>IFERROR(IF(ISNUMBER(Sheet1!N66),Sheet1!N66,0),0)</f>
        <v>0</v>
      </c>
      <c r="O66" s="42">
        <f>IFERROR(IF(TRIM(F66)="Nhava Sheva",SUMPRODUCT((UPPER(TRIM('Origin Costs'!$A$5:$A$44))=UPPER(TRIM(J66)))*'Origin Costs'!$C$5:$C$44),IF(TRIM(F66)="ICD Tihi",SUMPRODUCT((UPPER(TRIM('Origin Costs'!$A$49:$A$88))=UPPER(TRIM(J66)))*'Origin Costs'!$C$49:$C$88),IF(TRIM(F66)="ICD Dhannad",SUMPRODUCT((UPPER(TRIM('Origin Costs'!$A$93:$A$132))=UPPER(TRIM(J66)))*'Origin Costs'!$C$93:$C$132),0))),0)</f>
        <v>1148.588888888889</v>
      </c>
      <c r="P66" s="42">
        <f t="shared" ref="P66:P129" si="1">N66+O66</f>
        <v>1148.588888888889</v>
      </c>
      <c r="Q66" s="13" t="str">
        <f>IF(OR(Dashboard!$C$4="All Customers",$E66=Dashboard!$C$4),IF($E66="","",$P66+ROW()/10000000),"")</f>
        <v/>
      </c>
    </row>
    <row r="67" spans="1:17" ht="14.25" customHeight="1" x14ac:dyDescent="0.3">
      <c r="A67" s="43" t="str">
        <f>IFERROR("FY"&amp;TEXT(MOD(IF(MONTH(Sheet1!A67)&gt;=4,YEAR(Sheet1!A67),YEAR(Sheet1!A67)-1),100),"00")&amp;"-"&amp;TEXT(MOD(IF(MONTH(Sheet1!A67)&gt;=4,YEAR(Sheet1!A67),YEAR(Sheet1!A67)-1)+1,100),"00"),"")</f>
        <v>FY25-26</v>
      </c>
      <c r="B67" s="44" t="str">
        <f>IFERROR("Q"&amp;IF(MONTH(Sheet1!A67)&gt;=4,IF(MONTH(Sheet1!A67)&lt;=6,1,IF(MONTH(Sheet1!A67)&lt;=9,2,3)),4),"")</f>
        <v>Q1</v>
      </c>
      <c r="C67" s="43" t="str">
        <f>IFERROR(Sheet1!C67,0)</f>
        <v>MEA</v>
      </c>
      <c r="D67" s="43" t="str">
        <f>IFERROR(Sheet1!F67,0)</f>
        <v>UAE</v>
      </c>
      <c r="E67" s="43" t="str">
        <f>IFERROR(Sheet1!E67,0)</f>
        <v>ROAD FORCE AUTO SPARE PARTS-Sharjah</v>
      </c>
      <c r="F67" s="43" t="str">
        <f>IFERROR(IF(UPPER(TRIM(Sheet1!J67))="NH","Nhava Sheva",IF(UPPER(TRIM(Sheet1!J67))="ICD","ICD Dhannad",IF(UPPER(TRIM(Sheet1!J67))="TIHI","ICD Tihi",Sheet1!J67))),0)</f>
        <v>Nhava Sheva</v>
      </c>
      <c r="G67" s="43" t="str">
        <f>IFERROR(Sheet1!M67,0)</f>
        <v>Sharjah</v>
      </c>
      <c r="H67" s="43" t="str">
        <f>IFERROR(Sheet1!H67,0)</f>
        <v>Arikas Logistics</v>
      </c>
      <c r="I67" s="43" t="str">
        <f>IFERROR(Sheet1!G67,0)</f>
        <v>FOB</v>
      </c>
      <c r="J67" s="43" t="str">
        <f>IFERROR(Sheet1!K67,0)</f>
        <v>Maersk</v>
      </c>
      <c r="K67" s="45">
        <f>IFERROR(Sheet1!A67,0)</f>
        <v>45824</v>
      </c>
      <c r="L67" s="45">
        <f>IFERROR(Sheet1!I67,0)</f>
        <v>45822</v>
      </c>
      <c r="M67" s="45">
        <f>IFERROR(Sheet1!P67,0)</f>
        <v>45825</v>
      </c>
      <c r="N67" s="46">
        <f>IFERROR(IF(ISNUMBER(Sheet1!N67),Sheet1!N67,0),0)</f>
        <v>0</v>
      </c>
      <c r="O67" s="46">
        <f>IFERROR(IF(TRIM(F67)="Nhava Sheva",SUMPRODUCT((UPPER(TRIM('Origin Costs'!$A$5:$A$44))=UPPER(TRIM(J67)))*'Origin Costs'!$C$5:$C$44),IF(TRIM(F67)="ICD Tihi",SUMPRODUCT((UPPER(TRIM('Origin Costs'!$A$49:$A$88))=UPPER(TRIM(J67)))*'Origin Costs'!$C$49:$C$88),IF(TRIM(F67)="ICD Dhannad",SUMPRODUCT((UPPER(TRIM('Origin Costs'!$A$93:$A$132))=UPPER(TRIM(J67)))*'Origin Costs'!$C$93:$C$132),0))),0)</f>
        <v>1148.588888888889</v>
      </c>
      <c r="P67" s="46">
        <f t="shared" si="1"/>
        <v>1148.588888888889</v>
      </c>
      <c r="Q67" s="13" t="str">
        <f>IF(OR(Dashboard!$C$4="All Customers",$E67=Dashboard!$C$4),IF($E67="","",$P67+ROW()/10000000),"")</f>
        <v/>
      </c>
    </row>
    <row r="68" spans="1:17" ht="14.25" customHeight="1" x14ac:dyDescent="0.3">
      <c r="A68" s="39" t="str">
        <f>IFERROR("FY"&amp;TEXT(MOD(IF(MONTH(Sheet1!A68)&gt;=4,YEAR(Sheet1!A68),YEAR(Sheet1!A68)-1),100),"00")&amp;"-"&amp;TEXT(MOD(IF(MONTH(Sheet1!A68)&gt;=4,YEAR(Sheet1!A68),YEAR(Sheet1!A68)-1)+1,100),"00"),"")</f>
        <v>FY25-26</v>
      </c>
      <c r="B68" s="40" t="str">
        <f>IFERROR("Q"&amp;IF(MONTH(Sheet1!A68)&gt;=4,IF(MONTH(Sheet1!A68)&lt;=6,1,IF(MONTH(Sheet1!A68)&lt;=9,2,3)),4),"")</f>
        <v>Q1</v>
      </c>
      <c r="C68" s="39" t="str">
        <f>IFERROR(Sheet1!C68,0)</f>
        <v>MEA</v>
      </c>
      <c r="D68" s="39" t="str">
        <f>IFERROR(Sheet1!F68,0)</f>
        <v>UAE</v>
      </c>
      <c r="E68" s="39" t="str">
        <f>IFERROR(Sheet1!E68,0)</f>
        <v>ROAD FORCE AUTO SPARE PARTS-Sharjah</v>
      </c>
      <c r="F68" s="39" t="str">
        <f>IFERROR(IF(UPPER(TRIM(Sheet1!J68))="NH","Nhava Sheva",IF(UPPER(TRIM(Sheet1!J68))="ICD","ICD Dhannad",IF(UPPER(TRIM(Sheet1!J68))="TIHI","ICD Tihi",Sheet1!J68))),0)</f>
        <v>Nhava Sheva</v>
      </c>
      <c r="G68" s="39" t="str">
        <f>IFERROR(Sheet1!M68,0)</f>
        <v>Sharjah</v>
      </c>
      <c r="H68" s="39" t="str">
        <f>IFERROR(Sheet1!H68,0)</f>
        <v>Arikas Logistics</v>
      </c>
      <c r="I68" s="39" t="str">
        <f>IFERROR(Sheet1!G68,0)</f>
        <v>FOB</v>
      </c>
      <c r="J68" s="39" t="str">
        <f>IFERROR(Sheet1!K68,0)</f>
        <v>Maersk</v>
      </c>
      <c r="K68" s="41">
        <f>IFERROR(Sheet1!A68,0)</f>
        <v>45824</v>
      </c>
      <c r="L68" s="41">
        <f>IFERROR(Sheet1!I68,0)</f>
        <v>45822</v>
      </c>
      <c r="M68" s="41">
        <f>IFERROR(Sheet1!P68,0)</f>
        <v>45825</v>
      </c>
      <c r="N68" s="42">
        <f>IFERROR(IF(ISNUMBER(Sheet1!N68),Sheet1!N68,0),0)</f>
        <v>0</v>
      </c>
      <c r="O68" s="42">
        <f>IFERROR(IF(TRIM(F68)="Nhava Sheva",SUMPRODUCT((UPPER(TRIM('Origin Costs'!$A$5:$A$44))=UPPER(TRIM(J68)))*'Origin Costs'!$C$5:$C$44),IF(TRIM(F68)="ICD Tihi",SUMPRODUCT((UPPER(TRIM('Origin Costs'!$A$49:$A$88))=UPPER(TRIM(J68)))*'Origin Costs'!$C$49:$C$88),IF(TRIM(F68)="ICD Dhannad",SUMPRODUCT((UPPER(TRIM('Origin Costs'!$A$93:$A$132))=UPPER(TRIM(J68)))*'Origin Costs'!$C$93:$C$132),0))),0)</f>
        <v>1148.588888888889</v>
      </c>
      <c r="P68" s="42">
        <f t="shared" si="1"/>
        <v>1148.588888888889</v>
      </c>
      <c r="Q68" s="13" t="str">
        <f>IF(OR(Dashboard!$C$4="All Customers",$E68=Dashboard!$C$4),IF($E68="","",$P68+ROW()/10000000),"")</f>
        <v/>
      </c>
    </row>
    <row r="69" spans="1:17" ht="14.25" customHeight="1" x14ac:dyDescent="0.3">
      <c r="A69" s="43" t="str">
        <f>IFERROR("FY"&amp;TEXT(MOD(IF(MONTH(Sheet1!A69)&gt;=4,YEAR(Sheet1!A69),YEAR(Sheet1!A69)-1),100),"00")&amp;"-"&amp;TEXT(MOD(IF(MONTH(Sheet1!A69)&gt;=4,YEAR(Sheet1!A69),YEAR(Sheet1!A69)-1)+1,100),"00"),"")</f>
        <v>FY25-26</v>
      </c>
      <c r="B69" s="44" t="str">
        <f>IFERROR("Q"&amp;IF(MONTH(Sheet1!A69)&gt;=4,IF(MONTH(Sheet1!A69)&lt;=6,1,IF(MONTH(Sheet1!A69)&lt;=9,2,3)),4),"")</f>
        <v>Q1</v>
      </c>
      <c r="C69" s="43" t="str">
        <f>IFERROR(Sheet1!C69,0)</f>
        <v>Europe</v>
      </c>
      <c r="D69" s="43" t="str">
        <f>IFERROR(Sheet1!F69,0)</f>
        <v>Poland</v>
      </c>
      <c r="E69" s="43" t="str">
        <f>IFERROR(Sheet1!E69,0)</f>
        <v>Inter Cars S.A., Poland</v>
      </c>
      <c r="F69" s="43" t="str">
        <f>IFERROR(IF(UPPER(TRIM(Sheet1!J69))="NH","Nhava Sheva",IF(UPPER(TRIM(Sheet1!J69))="ICD","ICD Dhannad",IF(UPPER(TRIM(Sheet1!J69))="TIHI","ICD Tihi",Sheet1!J69))),0)</f>
        <v>Nhava Sheva</v>
      </c>
      <c r="G69" s="43" t="str">
        <f>IFERROR(Sheet1!M69,0)</f>
        <v>Gdynia</v>
      </c>
      <c r="H69" s="43" t="str">
        <f>IFERROR(Sheet1!H69,0)</f>
        <v>VR Logistics</v>
      </c>
      <c r="I69" s="43" t="str">
        <f>IFERROR(Sheet1!G69,0)</f>
        <v>FOB</v>
      </c>
      <c r="J69" s="43" t="str">
        <f>IFERROR(Sheet1!K69,0)</f>
        <v>ONE</v>
      </c>
      <c r="K69" s="45">
        <f>IFERROR(Sheet1!A69,0)</f>
        <v>45826</v>
      </c>
      <c r="L69" s="45">
        <f>IFERROR(Sheet1!I69,0)</f>
        <v>45824</v>
      </c>
      <c r="M69" s="45">
        <f>IFERROR(Sheet1!P69,0)</f>
        <v>45826</v>
      </c>
      <c r="N69" s="46">
        <f>IFERROR(IF(ISNUMBER(Sheet1!N69),Sheet1!N69,0),0)</f>
        <v>0</v>
      </c>
      <c r="O69" s="46">
        <f>IFERROR(IF(TRIM(F69)="Nhava Sheva",SUMPRODUCT((UPPER(TRIM('Origin Costs'!$A$5:$A$44))=UPPER(TRIM(J69)))*'Origin Costs'!$C$5:$C$44),IF(TRIM(F69)="ICD Tihi",SUMPRODUCT((UPPER(TRIM('Origin Costs'!$A$49:$A$88))=UPPER(TRIM(J69)))*'Origin Costs'!$C$49:$C$88),IF(TRIM(F69)="ICD Dhannad",SUMPRODUCT((UPPER(TRIM('Origin Costs'!$A$93:$A$132))=UPPER(TRIM(J69)))*'Origin Costs'!$C$93:$C$132),0))),0)</f>
        <v>1146.5555555555557</v>
      </c>
      <c r="P69" s="46">
        <f t="shared" si="1"/>
        <v>1146.5555555555557</v>
      </c>
      <c r="Q69" s="13" t="str">
        <f>IF(OR(Dashboard!$C$4="All Customers",$E69=Dashboard!$C$4),IF($E69="","",$P69+ROW()/10000000),"")</f>
        <v/>
      </c>
    </row>
    <row r="70" spans="1:17" ht="14.25" customHeight="1" x14ac:dyDescent="0.3">
      <c r="A70" s="39" t="str">
        <f>IFERROR("FY"&amp;TEXT(MOD(IF(MONTH(Sheet1!A70)&gt;=4,YEAR(Sheet1!A70),YEAR(Sheet1!A70)-1),100),"00")&amp;"-"&amp;TEXT(MOD(IF(MONTH(Sheet1!A70)&gt;=4,YEAR(Sheet1!A70),YEAR(Sheet1!A70)-1)+1,100),"00"),"")</f>
        <v>FY25-26</v>
      </c>
      <c r="B70" s="40" t="str">
        <f>IFERROR("Q"&amp;IF(MONTH(Sheet1!A70)&gt;=4,IF(MONTH(Sheet1!A70)&lt;=6,1,IF(MONTH(Sheet1!A70)&lt;=9,2,3)),4),"")</f>
        <v>Q1</v>
      </c>
      <c r="C70" s="39" t="str">
        <f>IFERROR(Sheet1!C70,0)</f>
        <v>MEA</v>
      </c>
      <c r="D70" s="39" t="str">
        <f>IFERROR(Sheet1!F70,0)</f>
        <v>UAE</v>
      </c>
      <c r="E70" s="39" t="str">
        <f>IFERROR(Sheet1!E70,0)</f>
        <v>ROAD FORCE AUTO SPARE PARTS-Sharjah</v>
      </c>
      <c r="F70" s="39" t="str">
        <f>IFERROR(IF(UPPER(TRIM(Sheet1!J70))="NH","Nhava Sheva",IF(UPPER(TRIM(Sheet1!J70))="ICD","ICD Dhannad",IF(UPPER(TRIM(Sheet1!J70))="TIHI","ICD Tihi",Sheet1!J70))),0)</f>
        <v>Nhava Sheva</v>
      </c>
      <c r="G70" s="39" t="str">
        <f>IFERROR(Sheet1!M70,0)</f>
        <v>Sharjah</v>
      </c>
      <c r="H70" s="39" t="str">
        <f>IFERROR(Sheet1!H70,0)</f>
        <v>Arikas Logistics</v>
      </c>
      <c r="I70" s="39" t="str">
        <f>IFERROR(Sheet1!G70,0)</f>
        <v>FOB</v>
      </c>
      <c r="J70" s="39" t="str">
        <f>IFERROR(Sheet1!K70,0)</f>
        <v>Maersk</v>
      </c>
      <c r="K70" s="41">
        <f>IFERROR(Sheet1!A70,0)</f>
        <v>45824</v>
      </c>
      <c r="L70" s="41">
        <f>IFERROR(Sheet1!I70,0)</f>
        <v>45822</v>
      </c>
      <c r="M70" s="41">
        <f>IFERROR(Sheet1!P70,0)</f>
        <v>45826</v>
      </c>
      <c r="N70" s="42">
        <f>IFERROR(IF(ISNUMBER(Sheet1!N70),Sheet1!N70,0),0)</f>
        <v>0</v>
      </c>
      <c r="O70" s="42">
        <f>IFERROR(IF(TRIM(F70)="Nhava Sheva",SUMPRODUCT((UPPER(TRIM('Origin Costs'!$A$5:$A$44))=UPPER(TRIM(J70)))*'Origin Costs'!$C$5:$C$44),IF(TRIM(F70)="ICD Tihi",SUMPRODUCT((UPPER(TRIM('Origin Costs'!$A$49:$A$88))=UPPER(TRIM(J70)))*'Origin Costs'!$C$49:$C$88),IF(TRIM(F70)="ICD Dhannad",SUMPRODUCT((UPPER(TRIM('Origin Costs'!$A$93:$A$132))=UPPER(TRIM(J70)))*'Origin Costs'!$C$93:$C$132),0))),0)</f>
        <v>1148.588888888889</v>
      </c>
      <c r="P70" s="42">
        <f t="shared" si="1"/>
        <v>1148.588888888889</v>
      </c>
      <c r="Q70" s="13" t="str">
        <f>IF(OR(Dashboard!$C$4="All Customers",$E70=Dashboard!$C$4),IF($E70="","",$P70+ROW()/10000000),"")</f>
        <v/>
      </c>
    </row>
    <row r="71" spans="1:17" ht="14.25" customHeight="1" x14ac:dyDescent="0.3">
      <c r="A71" s="43" t="str">
        <f>IFERROR("FY"&amp;TEXT(MOD(IF(MONTH(Sheet1!A71)&gt;=4,YEAR(Sheet1!A71),YEAR(Sheet1!A71)-1),100),"00")&amp;"-"&amp;TEXT(MOD(IF(MONTH(Sheet1!A71)&gt;=4,YEAR(Sheet1!A71),YEAR(Sheet1!A71)-1)+1,100),"00"),"")</f>
        <v>FY25-26</v>
      </c>
      <c r="B71" s="44" t="str">
        <f>IFERROR("Q"&amp;IF(MONTH(Sheet1!A71)&gt;=4,IF(MONTH(Sheet1!A71)&lt;=6,1,IF(MONTH(Sheet1!A71)&lt;=9,2,3)),4),"")</f>
        <v>Q1</v>
      </c>
      <c r="C71" s="43" t="str">
        <f>IFERROR(Sheet1!C71,0)</f>
        <v>MEA</v>
      </c>
      <c r="D71" s="43" t="str">
        <f>IFERROR(Sheet1!F71,0)</f>
        <v>UAE</v>
      </c>
      <c r="E71" s="43" t="str">
        <f>IFERROR(Sheet1!E71,0)</f>
        <v>ROAD FORCE AUTO SPARE PARTS-Sharjah</v>
      </c>
      <c r="F71" s="43" t="str">
        <f>IFERROR(IF(UPPER(TRIM(Sheet1!J71))="NH","Nhava Sheva",IF(UPPER(TRIM(Sheet1!J71))="ICD","ICD Dhannad",IF(UPPER(TRIM(Sheet1!J71))="TIHI","ICD Tihi",Sheet1!J71))),0)</f>
        <v>Nhava Sheva</v>
      </c>
      <c r="G71" s="43" t="str">
        <f>IFERROR(Sheet1!M71,0)</f>
        <v>Sharjah</v>
      </c>
      <c r="H71" s="43" t="str">
        <f>IFERROR(Sheet1!H71,0)</f>
        <v>Arikas Logistics</v>
      </c>
      <c r="I71" s="43" t="str">
        <f>IFERROR(Sheet1!G71,0)</f>
        <v>FOB</v>
      </c>
      <c r="J71" s="43" t="str">
        <f>IFERROR(Sheet1!K71,0)</f>
        <v>Maersk</v>
      </c>
      <c r="K71" s="45">
        <f>IFERROR(Sheet1!A71,0)</f>
        <v>45824</v>
      </c>
      <c r="L71" s="45">
        <f>IFERROR(Sheet1!I71,0)</f>
        <v>45822</v>
      </c>
      <c r="M71" s="45">
        <f>IFERROR(Sheet1!P71,0)</f>
        <v>45826</v>
      </c>
      <c r="N71" s="46">
        <f>IFERROR(IF(ISNUMBER(Sheet1!N71),Sheet1!N71,0),0)</f>
        <v>0</v>
      </c>
      <c r="O71" s="46">
        <f>IFERROR(IF(TRIM(F71)="Nhava Sheva",SUMPRODUCT((UPPER(TRIM('Origin Costs'!$A$5:$A$44))=UPPER(TRIM(J71)))*'Origin Costs'!$C$5:$C$44),IF(TRIM(F71)="ICD Tihi",SUMPRODUCT((UPPER(TRIM('Origin Costs'!$A$49:$A$88))=UPPER(TRIM(J71)))*'Origin Costs'!$C$49:$C$88),IF(TRIM(F71)="ICD Dhannad",SUMPRODUCT((UPPER(TRIM('Origin Costs'!$A$93:$A$132))=UPPER(TRIM(J71)))*'Origin Costs'!$C$93:$C$132),0))),0)</f>
        <v>1148.588888888889</v>
      </c>
      <c r="P71" s="46">
        <f t="shared" si="1"/>
        <v>1148.588888888889</v>
      </c>
      <c r="Q71" s="13" t="str">
        <f>IF(OR(Dashboard!$C$4="All Customers",$E71=Dashboard!$C$4),IF($E71="","",$P71+ROW()/10000000),"")</f>
        <v/>
      </c>
    </row>
    <row r="72" spans="1:17" ht="14.25" customHeight="1" x14ac:dyDescent="0.3">
      <c r="A72" s="39" t="str">
        <f>IFERROR("FY"&amp;TEXT(MOD(IF(MONTH(Sheet1!A72)&gt;=4,YEAR(Sheet1!A72),YEAR(Sheet1!A72)-1),100),"00")&amp;"-"&amp;TEXT(MOD(IF(MONTH(Sheet1!A72)&gt;=4,YEAR(Sheet1!A72),YEAR(Sheet1!A72)-1)+1,100),"00"),"")</f>
        <v>FY25-26</v>
      </c>
      <c r="B72" s="40" t="str">
        <f>IFERROR("Q"&amp;IF(MONTH(Sheet1!A72)&gt;=4,IF(MONTH(Sheet1!A72)&lt;=6,1,IF(MONTH(Sheet1!A72)&lt;=9,2,3)),4),"")</f>
        <v>Q1</v>
      </c>
      <c r="C72" s="39" t="str">
        <f>IFERROR(Sheet1!C72,0)</f>
        <v>MEA</v>
      </c>
      <c r="D72" s="39" t="str">
        <f>IFERROR(Sheet1!F72,0)</f>
        <v>UAE</v>
      </c>
      <c r="E72" s="39" t="str">
        <f>IFERROR(Sheet1!E72,0)</f>
        <v>ROAD FORCE AUTO SPARE PARTS-Sharjah</v>
      </c>
      <c r="F72" s="39" t="str">
        <f>IFERROR(IF(UPPER(TRIM(Sheet1!J72))="NH","Nhava Sheva",IF(UPPER(TRIM(Sheet1!J72))="ICD","ICD Dhannad",IF(UPPER(TRIM(Sheet1!J72))="TIHI","ICD Tihi",Sheet1!J72))),0)</f>
        <v>Nhava Sheva</v>
      </c>
      <c r="G72" s="39" t="str">
        <f>IFERROR(Sheet1!M72,0)</f>
        <v>Sharjah</v>
      </c>
      <c r="H72" s="39" t="str">
        <f>IFERROR(Sheet1!H72,0)</f>
        <v>Arikas Logistics</v>
      </c>
      <c r="I72" s="39" t="str">
        <f>IFERROR(Sheet1!G72,0)</f>
        <v>FOB</v>
      </c>
      <c r="J72" s="39" t="str">
        <f>IFERROR(Sheet1!K72,0)</f>
        <v>Maersk</v>
      </c>
      <c r="K72" s="41">
        <f>IFERROR(Sheet1!A72,0)</f>
        <v>45824</v>
      </c>
      <c r="L72" s="41">
        <f>IFERROR(Sheet1!I72,0)</f>
        <v>45822</v>
      </c>
      <c r="M72" s="41">
        <f>IFERROR(Sheet1!P72,0)</f>
        <v>45826</v>
      </c>
      <c r="N72" s="42">
        <f>IFERROR(IF(ISNUMBER(Sheet1!N72),Sheet1!N72,0),0)</f>
        <v>0</v>
      </c>
      <c r="O72" s="42">
        <f>IFERROR(IF(TRIM(F72)="Nhava Sheva",SUMPRODUCT((UPPER(TRIM('Origin Costs'!$A$5:$A$44))=UPPER(TRIM(J72)))*'Origin Costs'!$C$5:$C$44),IF(TRIM(F72)="ICD Tihi",SUMPRODUCT((UPPER(TRIM('Origin Costs'!$A$49:$A$88))=UPPER(TRIM(J72)))*'Origin Costs'!$C$49:$C$88),IF(TRIM(F72)="ICD Dhannad",SUMPRODUCT((UPPER(TRIM('Origin Costs'!$A$93:$A$132))=UPPER(TRIM(J72)))*'Origin Costs'!$C$93:$C$132),0))),0)</f>
        <v>1148.588888888889</v>
      </c>
      <c r="P72" s="42">
        <f t="shared" si="1"/>
        <v>1148.588888888889</v>
      </c>
      <c r="Q72" s="13" t="str">
        <f>IF(OR(Dashboard!$C$4="All Customers",$E72=Dashboard!$C$4),IF($E72="","",$P72+ROW()/10000000),"")</f>
        <v/>
      </c>
    </row>
    <row r="73" spans="1:17" ht="14.25" customHeight="1" x14ac:dyDescent="0.3">
      <c r="A73" s="43" t="str">
        <f>IFERROR("FY"&amp;TEXT(MOD(IF(MONTH(Sheet1!A73)&gt;=4,YEAR(Sheet1!A73),YEAR(Sheet1!A73)-1),100),"00")&amp;"-"&amp;TEXT(MOD(IF(MONTH(Sheet1!A73)&gt;=4,YEAR(Sheet1!A73),YEAR(Sheet1!A73)-1)+1,100),"00"),"")</f>
        <v>FY25-26</v>
      </c>
      <c r="B73" s="44" t="str">
        <f>IFERROR("Q"&amp;IF(MONTH(Sheet1!A73)&gt;=4,IF(MONTH(Sheet1!A73)&lt;=6,1,IF(MONTH(Sheet1!A73)&lt;=9,2,3)),4),"")</f>
        <v>Q1</v>
      </c>
      <c r="C73" s="43" t="str">
        <f>IFERROR(Sheet1!C73,0)</f>
        <v>Europe</v>
      </c>
      <c r="D73" s="43" t="str">
        <f>IFERROR(Sheet1!F73,0)</f>
        <v>Poland</v>
      </c>
      <c r="E73" s="43" t="str">
        <f>IFERROR(Sheet1!E73,0)</f>
        <v>Inter Cars S.A., Poland</v>
      </c>
      <c r="F73" s="43" t="str">
        <f>IFERROR(IF(UPPER(TRIM(Sheet1!J73))="NH","Nhava Sheva",IF(UPPER(TRIM(Sheet1!J73))="ICD","ICD Dhannad",IF(UPPER(TRIM(Sheet1!J73))="TIHI","ICD Tihi",Sheet1!J73))),0)</f>
        <v>Nhava Sheva</v>
      </c>
      <c r="G73" s="43" t="str">
        <f>IFERROR(Sheet1!M73,0)</f>
        <v>Gdynia</v>
      </c>
      <c r="H73" s="43" t="str">
        <f>IFERROR(Sheet1!H73,0)</f>
        <v>VR Logistics</v>
      </c>
      <c r="I73" s="43" t="str">
        <f>IFERROR(Sheet1!G73,0)</f>
        <v>FOB</v>
      </c>
      <c r="J73" s="43" t="str">
        <f>IFERROR(Sheet1!K73,0)</f>
        <v>ONE</v>
      </c>
      <c r="K73" s="45">
        <f>IFERROR(Sheet1!A73,0)</f>
        <v>45826</v>
      </c>
      <c r="L73" s="45">
        <f>IFERROR(Sheet1!I73,0)</f>
        <v>45824</v>
      </c>
      <c r="M73" s="45">
        <f>IFERROR(Sheet1!P73,0)</f>
        <v>45827</v>
      </c>
      <c r="N73" s="46">
        <f>IFERROR(IF(ISNUMBER(Sheet1!N73),Sheet1!N73,0),0)</f>
        <v>0</v>
      </c>
      <c r="O73" s="46">
        <f>IFERROR(IF(TRIM(F73)="Nhava Sheva",SUMPRODUCT((UPPER(TRIM('Origin Costs'!$A$5:$A$44))=UPPER(TRIM(J73)))*'Origin Costs'!$C$5:$C$44),IF(TRIM(F73)="ICD Tihi",SUMPRODUCT((UPPER(TRIM('Origin Costs'!$A$49:$A$88))=UPPER(TRIM(J73)))*'Origin Costs'!$C$49:$C$88),IF(TRIM(F73)="ICD Dhannad",SUMPRODUCT((UPPER(TRIM('Origin Costs'!$A$93:$A$132))=UPPER(TRIM(J73)))*'Origin Costs'!$C$93:$C$132),0))),0)</f>
        <v>1146.5555555555557</v>
      </c>
      <c r="P73" s="46">
        <f t="shared" si="1"/>
        <v>1146.5555555555557</v>
      </c>
      <c r="Q73" s="13" t="str">
        <f>IF(OR(Dashboard!$C$4="All Customers",$E73=Dashboard!$C$4),IF($E73="","",$P73+ROW()/10000000),"")</f>
        <v/>
      </c>
    </row>
    <row r="74" spans="1:17" ht="14.25" customHeight="1" x14ac:dyDescent="0.3">
      <c r="A74" s="39" t="str">
        <f>IFERROR("FY"&amp;TEXT(MOD(IF(MONTH(Sheet1!A74)&gt;=4,YEAR(Sheet1!A74),YEAR(Sheet1!A74)-1),100),"00")&amp;"-"&amp;TEXT(MOD(IF(MONTH(Sheet1!A74)&gt;=4,YEAR(Sheet1!A74),YEAR(Sheet1!A74)-1)+1,100),"00"),"")</f>
        <v>FY25-26</v>
      </c>
      <c r="B74" s="40" t="str">
        <f>IFERROR("Q"&amp;IF(MONTH(Sheet1!A74)&gt;=4,IF(MONTH(Sheet1!A74)&lt;=6,1,IF(MONTH(Sheet1!A74)&lt;=9,2,3)),4),"")</f>
        <v>Q1</v>
      </c>
      <c r="C74" s="39" t="str">
        <f>IFERROR(Sheet1!C74,0)</f>
        <v>Europe</v>
      </c>
      <c r="D74" s="39" t="str">
        <f>IFERROR(Sheet1!F74,0)</f>
        <v>Poland</v>
      </c>
      <c r="E74" s="39" t="str">
        <f>IFERROR(Sheet1!E74,0)</f>
        <v>Inter Cars S.A., Poland</v>
      </c>
      <c r="F74" s="39" t="str">
        <f>IFERROR(IF(UPPER(TRIM(Sheet1!J74))="NH","Nhava Sheva",IF(UPPER(TRIM(Sheet1!J74))="ICD","ICD Dhannad",IF(UPPER(TRIM(Sheet1!J74))="TIHI","ICD Tihi",Sheet1!J74))),0)</f>
        <v>Nhava Sheva</v>
      </c>
      <c r="G74" s="39" t="str">
        <f>IFERROR(Sheet1!M74,0)</f>
        <v>Gdynia</v>
      </c>
      <c r="H74" s="39" t="str">
        <f>IFERROR(Sheet1!H74,0)</f>
        <v>VR Logistics</v>
      </c>
      <c r="I74" s="39" t="str">
        <f>IFERROR(Sheet1!G74,0)</f>
        <v>FOB</v>
      </c>
      <c r="J74" s="39" t="str">
        <f>IFERROR(Sheet1!K74,0)</f>
        <v>ONE</v>
      </c>
      <c r="K74" s="41">
        <f>IFERROR(Sheet1!A74,0)</f>
        <v>45826</v>
      </c>
      <c r="L74" s="41">
        <f>IFERROR(Sheet1!I74,0)</f>
        <v>45824</v>
      </c>
      <c r="M74" s="41">
        <f>IFERROR(Sheet1!P74,0)</f>
        <v>45828</v>
      </c>
      <c r="N74" s="42">
        <f>IFERROR(IF(ISNUMBER(Sheet1!N74),Sheet1!N74,0),0)</f>
        <v>0</v>
      </c>
      <c r="O74" s="42">
        <f>IFERROR(IF(TRIM(F74)="Nhava Sheva",SUMPRODUCT((UPPER(TRIM('Origin Costs'!$A$5:$A$44))=UPPER(TRIM(J74)))*'Origin Costs'!$C$5:$C$44),IF(TRIM(F74)="ICD Tihi",SUMPRODUCT((UPPER(TRIM('Origin Costs'!$A$49:$A$88))=UPPER(TRIM(J74)))*'Origin Costs'!$C$49:$C$88),IF(TRIM(F74)="ICD Dhannad",SUMPRODUCT((UPPER(TRIM('Origin Costs'!$A$93:$A$132))=UPPER(TRIM(J74)))*'Origin Costs'!$C$93:$C$132),0))),0)</f>
        <v>1146.5555555555557</v>
      </c>
      <c r="P74" s="42">
        <f t="shared" si="1"/>
        <v>1146.5555555555557</v>
      </c>
      <c r="Q74" s="13" t="str">
        <f>IF(OR(Dashboard!$C$4="All Customers",$E74=Dashboard!$C$4),IF($E74="","",$P74+ROW()/10000000),"")</f>
        <v/>
      </c>
    </row>
    <row r="75" spans="1:17" ht="14.25" customHeight="1" x14ac:dyDescent="0.3">
      <c r="A75" s="43" t="str">
        <f>IFERROR("FY"&amp;TEXT(MOD(IF(MONTH(Sheet1!A75)&gt;=4,YEAR(Sheet1!A75),YEAR(Sheet1!A75)-1),100),"00")&amp;"-"&amp;TEXT(MOD(IF(MONTH(Sheet1!A75)&gt;=4,YEAR(Sheet1!A75),YEAR(Sheet1!A75)-1)+1,100),"00"),"")</f>
        <v>FY25-26</v>
      </c>
      <c r="B75" s="44" t="str">
        <f>IFERROR("Q"&amp;IF(MONTH(Sheet1!A75)&gt;=4,IF(MONTH(Sheet1!A75)&lt;=6,1,IF(MONTH(Sheet1!A75)&lt;=9,2,3)),4),"")</f>
        <v>Q1</v>
      </c>
      <c r="C75" s="43" t="str">
        <f>IFERROR(Sheet1!C75,0)</f>
        <v>Europe</v>
      </c>
      <c r="D75" s="43" t="str">
        <f>IFERROR(Sheet1!F75,0)</f>
        <v>Poland</v>
      </c>
      <c r="E75" s="43" t="str">
        <f>IFERROR(Sheet1!E75,0)</f>
        <v>Inter Cars S.A., Poland</v>
      </c>
      <c r="F75" s="43" t="str">
        <f>IFERROR(IF(UPPER(TRIM(Sheet1!J75))="NH","Nhava Sheva",IF(UPPER(TRIM(Sheet1!J75))="ICD","ICD Dhannad",IF(UPPER(TRIM(Sheet1!J75))="TIHI","ICD Tihi",Sheet1!J75))),0)</f>
        <v>Nhava Sheva</v>
      </c>
      <c r="G75" s="43" t="str">
        <f>IFERROR(Sheet1!M75,0)</f>
        <v>Gdynia</v>
      </c>
      <c r="H75" s="43" t="str">
        <f>IFERROR(Sheet1!H75,0)</f>
        <v>VR Logistics</v>
      </c>
      <c r="I75" s="43" t="str">
        <f>IFERROR(Sheet1!G75,0)</f>
        <v>FOB</v>
      </c>
      <c r="J75" s="43" t="str">
        <f>IFERROR(Sheet1!K75,0)</f>
        <v>ONE</v>
      </c>
      <c r="K75" s="45">
        <f>IFERROR(Sheet1!A75,0)</f>
        <v>45826</v>
      </c>
      <c r="L75" s="45">
        <f>IFERROR(Sheet1!I75,0)</f>
        <v>45824</v>
      </c>
      <c r="M75" s="45">
        <f>IFERROR(Sheet1!P75,0)</f>
        <v>45828</v>
      </c>
      <c r="N75" s="46">
        <f>IFERROR(IF(ISNUMBER(Sheet1!N75),Sheet1!N75,0),0)</f>
        <v>0</v>
      </c>
      <c r="O75" s="46">
        <f>IFERROR(IF(TRIM(F75)="Nhava Sheva",SUMPRODUCT((UPPER(TRIM('Origin Costs'!$A$5:$A$44))=UPPER(TRIM(J75)))*'Origin Costs'!$C$5:$C$44),IF(TRIM(F75)="ICD Tihi",SUMPRODUCT((UPPER(TRIM('Origin Costs'!$A$49:$A$88))=UPPER(TRIM(J75)))*'Origin Costs'!$C$49:$C$88),IF(TRIM(F75)="ICD Dhannad",SUMPRODUCT((UPPER(TRIM('Origin Costs'!$A$93:$A$132))=UPPER(TRIM(J75)))*'Origin Costs'!$C$93:$C$132),0))),0)</f>
        <v>1146.5555555555557</v>
      </c>
      <c r="P75" s="46">
        <f t="shared" si="1"/>
        <v>1146.5555555555557</v>
      </c>
      <c r="Q75" s="13" t="str">
        <f>IF(OR(Dashboard!$C$4="All Customers",$E75=Dashboard!$C$4),IF($E75="","",$P75+ROW()/10000000),"")</f>
        <v/>
      </c>
    </row>
    <row r="76" spans="1:17" ht="14.25" customHeight="1" x14ac:dyDescent="0.3">
      <c r="A76" s="39" t="str">
        <f>IFERROR("FY"&amp;TEXT(MOD(IF(MONTH(Sheet1!A76)&gt;=4,YEAR(Sheet1!A76),YEAR(Sheet1!A76)-1),100),"00")&amp;"-"&amp;TEXT(MOD(IF(MONTH(Sheet1!A76)&gt;=4,YEAR(Sheet1!A76),YEAR(Sheet1!A76)-1)+1,100),"00"),"")</f>
        <v>FY25-26</v>
      </c>
      <c r="B76" s="40" t="str">
        <f>IFERROR("Q"&amp;IF(MONTH(Sheet1!A76)&gt;=4,IF(MONTH(Sheet1!A76)&lt;=6,1,IF(MONTH(Sheet1!A76)&lt;=9,2,3)),4),"")</f>
        <v>Q1</v>
      </c>
      <c r="C76" s="39" t="str">
        <f>IFERROR(Sheet1!C76,0)</f>
        <v>Europe</v>
      </c>
      <c r="D76" s="39" t="str">
        <f>IFERROR(Sheet1!F76,0)</f>
        <v>Ireland</v>
      </c>
      <c r="E76" s="39" t="str">
        <f>IFERROR(Sheet1!E76,0)</f>
        <v>Agrigear LTD, Ireland</v>
      </c>
      <c r="F76" s="39" t="str">
        <f>IFERROR(IF(UPPER(TRIM(Sheet1!J76))="NH","Nhava Sheva",IF(UPPER(TRIM(Sheet1!J76))="ICD","ICD Dhannad",IF(UPPER(TRIM(Sheet1!J76))="TIHI","ICD Tihi",Sheet1!J76))),0)</f>
        <v>Nhava Sheva</v>
      </c>
      <c r="G76" s="39" t="str">
        <f>IFERROR(Sheet1!M76,0)</f>
        <v>Dublin</v>
      </c>
      <c r="H76" s="39" t="str">
        <f>IFERROR(Sheet1!H76,0)</f>
        <v>Hind Freight</v>
      </c>
      <c r="I76" s="39" t="str">
        <f>IFERROR(Sheet1!G76,0)</f>
        <v>FOB</v>
      </c>
      <c r="J76" s="39" t="str">
        <f>IFERROR(Sheet1!K76,0)</f>
        <v>COSCO</v>
      </c>
      <c r="K76" s="41">
        <f>IFERROR(Sheet1!A76,0)</f>
        <v>45829</v>
      </c>
      <c r="L76" s="41">
        <f>IFERROR(Sheet1!I76,0)</f>
        <v>45827</v>
      </c>
      <c r="M76" s="41">
        <f>IFERROR(Sheet1!P76,0)</f>
        <v>45829</v>
      </c>
      <c r="N76" s="42">
        <f>IFERROR(IF(ISNUMBER(Sheet1!N76),Sheet1!N76,0),0)</f>
        <v>1500</v>
      </c>
      <c r="O76" s="42">
        <f>IFERROR(IF(TRIM(F76)="Nhava Sheva",SUMPRODUCT((UPPER(TRIM('Origin Costs'!$A$5:$A$44))=UPPER(TRIM(J76)))*'Origin Costs'!$C$5:$C$44),IF(TRIM(F76)="ICD Tihi",SUMPRODUCT((UPPER(TRIM('Origin Costs'!$A$49:$A$88))=UPPER(TRIM(J76)))*'Origin Costs'!$C$49:$C$88),IF(TRIM(F76)="ICD Dhannad",SUMPRODUCT((UPPER(TRIM('Origin Costs'!$A$93:$A$132))=UPPER(TRIM(J76)))*'Origin Costs'!$C$93:$C$132),0))),0)</f>
        <v>0</v>
      </c>
      <c r="P76" s="42">
        <f t="shared" si="1"/>
        <v>1500</v>
      </c>
      <c r="Q76" s="13" t="str">
        <f>IF(OR(Dashboard!$C$4="All Customers",$E76=Dashboard!$C$4),IF($E76="","",$P76+ROW()/10000000),"")</f>
        <v/>
      </c>
    </row>
    <row r="77" spans="1:17" ht="14.25" customHeight="1" x14ac:dyDescent="0.3">
      <c r="A77" s="43" t="str">
        <f>IFERROR("FY"&amp;TEXT(MOD(IF(MONTH(Sheet1!A77)&gt;=4,YEAR(Sheet1!A77),YEAR(Sheet1!A77)-1),100),"00")&amp;"-"&amp;TEXT(MOD(IF(MONTH(Sheet1!A77)&gt;=4,YEAR(Sheet1!A77),YEAR(Sheet1!A77)-1)+1,100),"00"),"")</f>
        <v>FY25-26</v>
      </c>
      <c r="B77" s="44" t="str">
        <f>IFERROR("Q"&amp;IF(MONTH(Sheet1!A77)&gt;=4,IF(MONTH(Sheet1!A77)&lt;=6,1,IF(MONTH(Sheet1!A77)&lt;=9,2,3)),4),"")</f>
        <v>Q1</v>
      </c>
      <c r="C77" s="43" t="str">
        <f>IFERROR(Sheet1!C77,0)</f>
        <v>MEA</v>
      </c>
      <c r="D77" s="43" t="str">
        <f>IFERROR(Sheet1!F77,0)</f>
        <v>kuwait</v>
      </c>
      <c r="E77" s="43" t="str">
        <f>IFERROR(Sheet1!E77,0)</f>
        <v>AHMED YOUSIF ABDULHADI ALMAILEM &amp; B, Kuwait</v>
      </c>
      <c r="F77" s="43" t="str">
        <f>IFERROR(IF(UPPER(TRIM(Sheet1!J77))="NH","Nhava Sheva",IF(UPPER(TRIM(Sheet1!J77))="ICD","ICD Dhannad",IF(UPPER(TRIM(Sheet1!J77))="TIHI","ICD Tihi",Sheet1!J77))),0)</f>
        <v>ICD Dhannad</v>
      </c>
      <c r="G77" s="43" t="str">
        <f>IFERROR(Sheet1!M77,0)</f>
        <v>Shuwaikh</v>
      </c>
      <c r="H77" s="43" t="str">
        <f>IFERROR(Sheet1!H77,0)</f>
        <v>DP World</v>
      </c>
      <c r="I77" s="43" t="str">
        <f>IFERROR(Sheet1!G77,0)</f>
        <v>CIF</v>
      </c>
      <c r="J77" s="43" t="str">
        <f>IFERROR(Sheet1!K77,0)</f>
        <v>Maersk</v>
      </c>
      <c r="K77" s="45">
        <f>IFERROR(Sheet1!A77,0)</f>
        <v>45828</v>
      </c>
      <c r="L77" s="45">
        <f>IFERROR(Sheet1!I77,0)</f>
        <v>45827</v>
      </c>
      <c r="M77" s="45">
        <f>IFERROR(Sheet1!P77,0)</f>
        <v>45831</v>
      </c>
      <c r="N77" s="46">
        <f>IFERROR(IF(ISNUMBER(Sheet1!N77),Sheet1!N77,0),0)</f>
        <v>485</v>
      </c>
      <c r="O77" s="46">
        <f>IFERROR(IF(TRIM(F77)="Nhava Sheva",SUMPRODUCT((UPPER(TRIM('Origin Costs'!$A$5:$A$44))=UPPER(TRIM(J77)))*'Origin Costs'!$C$5:$C$44),IF(TRIM(F77)="ICD Tihi",SUMPRODUCT((UPPER(TRIM('Origin Costs'!$A$49:$A$88))=UPPER(TRIM(J77)))*'Origin Costs'!$C$49:$C$88),IF(TRIM(F77)="ICD Dhannad",SUMPRODUCT((UPPER(TRIM('Origin Costs'!$A$93:$A$132))=UPPER(TRIM(J77)))*'Origin Costs'!$C$93:$C$132),0))),0)</f>
        <v>0</v>
      </c>
      <c r="P77" s="46">
        <f t="shared" si="1"/>
        <v>485</v>
      </c>
      <c r="Q77" s="13" t="str">
        <f>IF(OR(Dashboard!$C$4="All Customers",$E77=Dashboard!$C$4),IF($E77="","",$P77+ROW()/10000000),"")</f>
        <v/>
      </c>
    </row>
    <row r="78" spans="1:17" ht="14.25" customHeight="1" x14ac:dyDescent="0.3">
      <c r="A78" s="39" t="str">
        <f>IFERROR("FY"&amp;TEXT(MOD(IF(MONTH(Sheet1!A78)&gt;=4,YEAR(Sheet1!A78),YEAR(Sheet1!A78)-1),100),"00")&amp;"-"&amp;TEXT(MOD(IF(MONTH(Sheet1!A78)&gt;=4,YEAR(Sheet1!A78),YEAR(Sheet1!A78)-1)+1,100),"00"),"")</f>
        <v>FY25-26</v>
      </c>
      <c r="B78" s="40" t="str">
        <f>IFERROR("Q"&amp;IF(MONTH(Sheet1!A78)&gt;=4,IF(MONTH(Sheet1!A78)&lt;=6,1,IF(MONTH(Sheet1!A78)&lt;=9,2,3)),4),"")</f>
        <v>Q1</v>
      </c>
      <c r="C78" s="39" t="str">
        <f>IFERROR(Sheet1!C78,0)</f>
        <v>MEA</v>
      </c>
      <c r="D78" s="39" t="str">
        <f>IFERROR(Sheet1!F78,0)</f>
        <v>kuwait</v>
      </c>
      <c r="E78" s="39" t="str">
        <f>IFERROR(Sheet1!E78,0)</f>
        <v>AHMED YOUSIF ABDULHADI ALMAILEM &amp; B, Kuwait</v>
      </c>
      <c r="F78" s="39" t="str">
        <f>IFERROR(IF(UPPER(TRIM(Sheet1!J78))="NH","Nhava Sheva",IF(UPPER(TRIM(Sheet1!J78))="ICD","ICD Dhannad",IF(UPPER(TRIM(Sheet1!J78))="TIHI","ICD Tihi",Sheet1!J78))),0)</f>
        <v>ICD Dhannad</v>
      </c>
      <c r="G78" s="39" t="str">
        <f>IFERROR(Sheet1!M78,0)</f>
        <v>Shuwaikh</v>
      </c>
      <c r="H78" s="39" t="str">
        <f>IFERROR(Sheet1!H78,0)</f>
        <v>DP World</v>
      </c>
      <c r="I78" s="39" t="str">
        <f>IFERROR(Sheet1!G78,0)</f>
        <v>CIF</v>
      </c>
      <c r="J78" s="39" t="str">
        <f>IFERROR(Sheet1!K78,0)</f>
        <v>Maersk</v>
      </c>
      <c r="K78" s="41">
        <f>IFERROR(Sheet1!A78,0)</f>
        <v>45828</v>
      </c>
      <c r="L78" s="41">
        <f>IFERROR(Sheet1!I78,0)</f>
        <v>45827</v>
      </c>
      <c r="M78" s="41">
        <f>IFERROR(Sheet1!P78,0)</f>
        <v>45831</v>
      </c>
      <c r="N78" s="42">
        <f>IFERROR(IF(ISNUMBER(Sheet1!N78),Sheet1!N78,0),0)</f>
        <v>485</v>
      </c>
      <c r="O78" s="42">
        <f>IFERROR(IF(TRIM(F78)="Nhava Sheva",SUMPRODUCT((UPPER(TRIM('Origin Costs'!$A$5:$A$44))=UPPER(TRIM(J78)))*'Origin Costs'!$C$5:$C$44),IF(TRIM(F78)="ICD Tihi",SUMPRODUCT((UPPER(TRIM('Origin Costs'!$A$49:$A$88))=UPPER(TRIM(J78)))*'Origin Costs'!$C$49:$C$88),IF(TRIM(F78)="ICD Dhannad",SUMPRODUCT((UPPER(TRIM('Origin Costs'!$A$93:$A$132))=UPPER(TRIM(J78)))*'Origin Costs'!$C$93:$C$132),0))),0)</f>
        <v>0</v>
      </c>
      <c r="P78" s="42">
        <f t="shared" si="1"/>
        <v>485</v>
      </c>
      <c r="Q78" s="13" t="str">
        <f>IF(OR(Dashboard!$C$4="All Customers",$E78=Dashboard!$C$4),IF($E78="","",$P78+ROW()/10000000),"")</f>
        <v/>
      </c>
    </row>
    <row r="79" spans="1:17" ht="14.25" customHeight="1" x14ac:dyDescent="0.3">
      <c r="A79" s="43" t="str">
        <f>IFERROR("FY"&amp;TEXT(MOD(IF(MONTH(Sheet1!A79)&gt;=4,YEAR(Sheet1!A79),YEAR(Sheet1!A79)-1),100),"00")&amp;"-"&amp;TEXT(MOD(IF(MONTH(Sheet1!A79)&gt;=4,YEAR(Sheet1!A79),YEAR(Sheet1!A79)-1)+1,100),"00"),"")</f>
        <v>FY25-26</v>
      </c>
      <c r="B79" s="44" t="str">
        <f>IFERROR("Q"&amp;IF(MONTH(Sheet1!A79)&gt;=4,IF(MONTH(Sheet1!A79)&lt;=6,1,IF(MONTH(Sheet1!A79)&lt;=9,2,3)),4),"")</f>
        <v>Q1</v>
      </c>
      <c r="C79" s="43" t="str">
        <f>IFERROR(Sheet1!C79,0)</f>
        <v>MEA</v>
      </c>
      <c r="D79" s="43" t="str">
        <f>IFERROR(Sheet1!F79,0)</f>
        <v>Sudan</v>
      </c>
      <c r="E79" s="43" t="str">
        <f>IFERROR(Sheet1!E79,0)</f>
        <v>Al Rabee - Sudan</v>
      </c>
      <c r="F79" s="43" t="str">
        <f>IFERROR(IF(UPPER(TRIM(Sheet1!J79))="NH","Nhava Sheva",IF(UPPER(TRIM(Sheet1!J79))="ICD","ICD Dhannad",IF(UPPER(TRIM(Sheet1!J79))="TIHI","ICD Tihi",Sheet1!J79))),0)</f>
        <v>Nhava Sheva</v>
      </c>
      <c r="G79" s="43" t="str">
        <f>IFERROR(Sheet1!M79,0)</f>
        <v>Port Sudan</v>
      </c>
      <c r="H79" s="43" t="str">
        <f>IFERROR(Sheet1!H79,0)</f>
        <v>Arikas Logistics</v>
      </c>
      <c r="I79" s="43" t="str">
        <f>IFERROR(Sheet1!G79,0)</f>
        <v>FOB</v>
      </c>
      <c r="J79" s="43" t="str">
        <f>IFERROR(Sheet1!K79,0)</f>
        <v>PIL</v>
      </c>
      <c r="K79" s="45">
        <f>IFERROR(Sheet1!A79,0)</f>
        <v>45830</v>
      </c>
      <c r="L79" s="45">
        <f>IFERROR(Sheet1!I79,0)</f>
        <v>45828</v>
      </c>
      <c r="M79" s="45">
        <f>IFERROR(Sheet1!P79,0)</f>
        <v>45831</v>
      </c>
      <c r="N79" s="46">
        <f>IFERROR(IF(ISNUMBER(Sheet1!N79),Sheet1!N79,0),0)</f>
        <v>0</v>
      </c>
      <c r="O79" s="46">
        <f>IFERROR(IF(TRIM(F79)="Nhava Sheva",SUMPRODUCT((UPPER(TRIM('Origin Costs'!$A$5:$A$44))=UPPER(TRIM(J79)))*'Origin Costs'!$C$5:$C$44),IF(TRIM(F79)="ICD Tihi",SUMPRODUCT((UPPER(TRIM('Origin Costs'!$A$49:$A$88))=UPPER(TRIM(J79)))*'Origin Costs'!$C$49:$C$88),IF(TRIM(F79)="ICD Dhannad",SUMPRODUCT((UPPER(TRIM('Origin Costs'!$A$93:$A$132))=UPPER(TRIM(J79)))*'Origin Costs'!$C$93:$C$132),0))),0)</f>
        <v>0</v>
      </c>
      <c r="P79" s="46">
        <f t="shared" si="1"/>
        <v>0</v>
      </c>
      <c r="Q79" s="13" t="str">
        <f>IF(OR(Dashboard!$C$4="All Customers",$E79=Dashboard!$C$4),IF($E79="","",$P79+ROW()/10000000),"")</f>
        <v/>
      </c>
    </row>
    <row r="80" spans="1:17" ht="14.25" customHeight="1" x14ac:dyDescent="0.3">
      <c r="A80" s="39" t="str">
        <f>IFERROR("FY"&amp;TEXT(MOD(IF(MONTH(Sheet1!A80)&gt;=4,YEAR(Sheet1!A80),YEAR(Sheet1!A80)-1),100),"00")&amp;"-"&amp;TEXT(MOD(IF(MONTH(Sheet1!A80)&gt;=4,YEAR(Sheet1!A80),YEAR(Sheet1!A80)-1)+1,100),"00"),"")</f>
        <v>FY25-26</v>
      </c>
      <c r="B80" s="40" t="str">
        <f>IFERROR("Q"&amp;IF(MONTH(Sheet1!A80)&gt;=4,IF(MONTH(Sheet1!A80)&lt;=6,1,IF(MONTH(Sheet1!A80)&lt;=9,2,3)),4),"")</f>
        <v>Q1</v>
      </c>
      <c r="C80" s="39" t="str">
        <f>IFERROR(Sheet1!C80,0)</f>
        <v>MEA</v>
      </c>
      <c r="D80" s="39" t="str">
        <f>IFERROR(Sheet1!F80,0)</f>
        <v>Sudan</v>
      </c>
      <c r="E80" s="39" t="str">
        <f>IFERROR(Sheet1!E80,0)</f>
        <v>Al Rabee - Sudan</v>
      </c>
      <c r="F80" s="39" t="str">
        <f>IFERROR(IF(UPPER(TRIM(Sheet1!J80))="NH","Nhava Sheva",IF(UPPER(TRIM(Sheet1!J80))="ICD","ICD Dhannad",IF(UPPER(TRIM(Sheet1!J80))="TIHI","ICD Tihi",Sheet1!J80))),0)</f>
        <v>Nhava Sheva</v>
      </c>
      <c r="G80" s="39" t="str">
        <f>IFERROR(Sheet1!M80,0)</f>
        <v>Port Sudan</v>
      </c>
      <c r="H80" s="39" t="str">
        <f>IFERROR(Sheet1!H80,0)</f>
        <v>Arikas Logistics</v>
      </c>
      <c r="I80" s="39" t="str">
        <f>IFERROR(Sheet1!G80,0)</f>
        <v>FOB</v>
      </c>
      <c r="J80" s="39" t="str">
        <f>IFERROR(Sheet1!K80,0)</f>
        <v>PIL</v>
      </c>
      <c r="K80" s="41">
        <f>IFERROR(Sheet1!A80,0)</f>
        <v>45830</v>
      </c>
      <c r="L80" s="41">
        <f>IFERROR(Sheet1!I80,0)</f>
        <v>45828</v>
      </c>
      <c r="M80" s="41">
        <f>IFERROR(Sheet1!P80,0)</f>
        <v>45831</v>
      </c>
      <c r="N80" s="42">
        <f>IFERROR(IF(ISNUMBER(Sheet1!N80),Sheet1!N80,0),0)</f>
        <v>0</v>
      </c>
      <c r="O80" s="42">
        <f>IFERROR(IF(TRIM(F80)="Nhava Sheva",SUMPRODUCT((UPPER(TRIM('Origin Costs'!$A$5:$A$44))=UPPER(TRIM(J80)))*'Origin Costs'!$C$5:$C$44),IF(TRIM(F80)="ICD Tihi",SUMPRODUCT((UPPER(TRIM('Origin Costs'!$A$49:$A$88))=UPPER(TRIM(J80)))*'Origin Costs'!$C$49:$C$88),IF(TRIM(F80)="ICD Dhannad",SUMPRODUCT((UPPER(TRIM('Origin Costs'!$A$93:$A$132))=UPPER(TRIM(J80)))*'Origin Costs'!$C$93:$C$132),0))),0)</f>
        <v>0</v>
      </c>
      <c r="P80" s="42">
        <f t="shared" si="1"/>
        <v>0</v>
      </c>
      <c r="Q80" s="13" t="str">
        <f>IF(OR(Dashboard!$C$4="All Customers",$E80=Dashboard!$C$4),IF($E80="","",$P80+ROW()/10000000),"")</f>
        <v/>
      </c>
    </row>
    <row r="81" spans="1:17" ht="14.25" customHeight="1" x14ac:dyDescent="0.3">
      <c r="A81" s="43" t="str">
        <f>IFERROR("FY"&amp;TEXT(MOD(IF(MONTH(Sheet1!A81)&gt;=4,YEAR(Sheet1!A81),YEAR(Sheet1!A81)-1),100),"00")&amp;"-"&amp;TEXT(MOD(IF(MONTH(Sheet1!A81)&gt;=4,YEAR(Sheet1!A81),YEAR(Sheet1!A81)-1)+1,100),"00"),"")</f>
        <v>FY25-26</v>
      </c>
      <c r="B81" s="44" t="str">
        <f>IFERROR("Q"&amp;IF(MONTH(Sheet1!A81)&gt;=4,IF(MONTH(Sheet1!A81)&lt;=6,1,IF(MONTH(Sheet1!A81)&lt;=9,2,3)),4),"")</f>
        <v>Q1</v>
      </c>
      <c r="C81" s="43" t="str">
        <f>IFERROR(Sheet1!C81,0)</f>
        <v>Europe</v>
      </c>
      <c r="D81" s="43" t="str">
        <f>IFERROR(Sheet1!F81,0)</f>
        <v>Germany</v>
      </c>
      <c r="E81" s="43" t="str">
        <f>IFERROR(Sheet1!E81,0)</f>
        <v>Marco Lankes GmbH, Germany</v>
      </c>
      <c r="F81" s="43" t="str">
        <f>IFERROR(IF(UPPER(TRIM(Sheet1!J81))="NH","Nhava Sheva",IF(UPPER(TRIM(Sheet1!J81))="ICD","ICD Dhannad",IF(UPPER(TRIM(Sheet1!J81))="TIHI","ICD Tihi",Sheet1!J81))),0)</f>
        <v>ICD Tihi</v>
      </c>
      <c r="G81" s="43" t="str">
        <f>IFERROR(Sheet1!M81,0)</f>
        <v>Rotterdam</v>
      </c>
      <c r="H81" s="43" t="str">
        <f>IFERROR(Sheet1!H81,0)</f>
        <v>Sevenseas Global</v>
      </c>
      <c r="I81" s="43" t="str">
        <f>IFERROR(Sheet1!G81,0)</f>
        <v>FOB</v>
      </c>
      <c r="J81" s="43" t="str">
        <f>IFERROR(Sheet1!K81,0)</f>
        <v>HMM</v>
      </c>
      <c r="K81" s="45">
        <f>IFERROR(Sheet1!A81,0)</f>
        <v>45834</v>
      </c>
      <c r="L81" s="45">
        <f>IFERROR(Sheet1!I81,0)</f>
        <v>45832</v>
      </c>
      <c r="M81" s="45">
        <f>IFERROR(Sheet1!P81,0)</f>
        <v>45834</v>
      </c>
      <c r="N81" s="46">
        <f>IFERROR(IF(ISNUMBER(Sheet1!N81),Sheet1!N81,0),0)</f>
        <v>1200</v>
      </c>
      <c r="O81" s="46">
        <f>IFERROR(IF(TRIM(F81)="Nhava Sheva",SUMPRODUCT((UPPER(TRIM('Origin Costs'!$A$5:$A$44))=UPPER(TRIM(J81)))*'Origin Costs'!$C$5:$C$44),IF(TRIM(F81)="ICD Tihi",SUMPRODUCT((UPPER(TRIM('Origin Costs'!$A$49:$A$88))=UPPER(TRIM(J81)))*'Origin Costs'!$C$49:$C$88),IF(TRIM(F81)="ICD Dhannad",SUMPRODUCT((UPPER(TRIM('Origin Costs'!$A$93:$A$132))=UPPER(TRIM(J81)))*'Origin Costs'!$C$93:$C$132),0))),0)</f>
        <v>0</v>
      </c>
      <c r="P81" s="46">
        <f t="shared" si="1"/>
        <v>1200</v>
      </c>
      <c r="Q81" s="13" t="str">
        <f>IF(OR(Dashboard!$C$4="All Customers",$E81=Dashboard!$C$4),IF($E81="","",$P81+ROW()/10000000),"")</f>
        <v/>
      </c>
    </row>
    <row r="82" spans="1:17" ht="14.25" customHeight="1" x14ac:dyDescent="0.3">
      <c r="A82" s="39" t="str">
        <f>IFERROR("FY"&amp;TEXT(MOD(IF(MONTH(Sheet1!A82)&gt;=4,YEAR(Sheet1!A82),YEAR(Sheet1!A82)-1),100),"00")&amp;"-"&amp;TEXT(MOD(IF(MONTH(Sheet1!A82)&gt;=4,YEAR(Sheet1!A82),YEAR(Sheet1!A82)-1)+1,100),"00"),"")</f>
        <v>FY25-26</v>
      </c>
      <c r="B82" s="40" t="str">
        <f>IFERROR("Q"&amp;IF(MONTH(Sheet1!A82)&gt;=4,IF(MONTH(Sheet1!A82)&lt;=6,1,IF(MONTH(Sheet1!A82)&lt;=9,2,3)),4),"")</f>
        <v>Q1</v>
      </c>
      <c r="C82" s="39" t="str">
        <f>IFERROR(Sheet1!C82,0)</f>
        <v>Europe</v>
      </c>
      <c r="D82" s="39" t="str">
        <f>IFERROR(Sheet1!F82,0)</f>
        <v>Germany</v>
      </c>
      <c r="E82" s="39" t="str">
        <f>IFERROR(Sheet1!E82,0)</f>
        <v>Marco Lankes GmbH, Germany</v>
      </c>
      <c r="F82" s="39" t="str">
        <f>IFERROR(IF(UPPER(TRIM(Sheet1!J82))="NH","Nhava Sheva",IF(UPPER(TRIM(Sheet1!J82))="ICD","ICD Dhannad",IF(UPPER(TRIM(Sheet1!J82))="TIHI","ICD Tihi",Sheet1!J82))),0)</f>
        <v>ICD Tihi</v>
      </c>
      <c r="G82" s="39" t="str">
        <f>IFERROR(Sheet1!M82,0)</f>
        <v>Rotterdam</v>
      </c>
      <c r="H82" s="39" t="str">
        <f>IFERROR(Sheet1!H82,0)</f>
        <v>Sevenseas Global</v>
      </c>
      <c r="I82" s="39" t="str">
        <f>IFERROR(Sheet1!G82,0)</f>
        <v>FOB</v>
      </c>
      <c r="J82" s="39" t="str">
        <f>IFERROR(Sheet1!K82,0)</f>
        <v>HMM</v>
      </c>
      <c r="K82" s="41">
        <f>IFERROR(Sheet1!A82,0)</f>
        <v>45834</v>
      </c>
      <c r="L82" s="41">
        <f>IFERROR(Sheet1!I82,0)</f>
        <v>45832</v>
      </c>
      <c r="M82" s="41">
        <f>IFERROR(Sheet1!P82,0)</f>
        <v>45834</v>
      </c>
      <c r="N82" s="42">
        <f>IFERROR(IF(ISNUMBER(Sheet1!N82),Sheet1!N82,0),0)</f>
        <v>1200</v>
      </c>
      <c r="O82" s="42">
        <f>IFERROR(IF(TRIM(F82)="Nhava Sheva",SUMPRODUCT((UPPER(TRIM('Origin Costs'!$A$5:$A$44))=UPPER(TRIM(J82)))*'Origin Costs'!$C$5:$C$44),IF(TRIM(F82)="ICD Tihi",SUMPRODUCT((UPPER(TRIM('Origin Costs'!$A$49:$A$88))=UPPER(TRIM(J82)))*'Origin Costs'!$C$49:$C$88),IF(TRIM(F82)="ICD Dhannad",SUMPRODUCT((UPPER(TRIM('Origin Costs'!$A$93:$A$132))=UPPER(TRIM(J82)))*'Origin Costs'!$C$93:$C$132),0))),0)</f>
        <v>0</v>
      </c>
      <c r="P82" s="42">
        <f t="shared" si="1"/>
        <v>1200</v>
      </c>
      <c r="Q82" s="13" t="str">
        <f>IF(OR(Dashboard!$C$4="All Customers",$E82=Dashboard!$C$4),IF($E82="","",$P82+ROW()/10000000),"")</f>
        <v/>
      </c>
    </row>
    <row r="83" spans="1:17" ht="14.25" customHeight="1" x14ac:dyDescent="0.3">
      <c r="A83" s="43" t="str">
        <f>IFERROR("FY"&amp;TEXT(MOD(IF(MONTH(Sheet1!A83)&gt;=4,YEAR(Sheet1!A83),YEAR(Sheet1!A83)-1),100),"00")&amp;"-"&amp;TEXT(MOD(IF(MONTH(Sheet1!A83)&gt;=4,YEAR(Sheet1!A83),YEAR(Sheet1!A83)-1)+1,100),"00"),"")</f>
        <v>FY25-26</v>
      </c>
      <c r="B83" s="44" t="str">
        <f>IFERROR("Q"&amp;IF(MONTH(Sheet1!A83)&gt;=4,IF(MONTH(Sheet1!A83)&lt;=6,1,IF(MONTH(Sheet1!A83)&lt;=9,2,3)),4),"")</f>
        <v>Q1</v>
      </c>
      <c r="C83" s="43" t="str">
        <f>IFERROR(Sheet1!C83,0)</f>
        <v>Europe</v>
      </c>
      <c r="D83" s="43" t="str">
        <f>IFERROR(Sheet1!F83,0)</f>
        <v>Germany</v>
      </c>
      <c r="E83" s="43" t="str">
        <f>IFERROR(Sheet1!E83,0)</f>
        <v>Marco Lankes GmbH, Germany</v>
      </c>
      <c r="F83" s="43" t="str">
        <f>IFERROR(IF(UPPER(TRIM(Sheet1!J83))="NH","Nhava Sheva",IF(UPPER(TRIM(Sheet1!J83))="ICD","ICD Dhannad",IF(UPPER(TRIM(Sheet1!J83))="TIHI","ICD Tihi",Sheet1!J83))),0)</f>
        <v>ICD Tihi</v>
      </c>
      <c r="G83" s="43" t="str">
        <f>IFERROR(Sheet1!M83,0)</f>
        <v>Rotterdam</v>
      </c>
      <c r="H83" s="43" t="str">
        <f>IFERROR(Sheet1!H83,0)</f>
        <v>Sevenseas Global</v>
      </c>
      <c r="I83" s="43" t="str">
        <f>IFERROR(Sheet1!G83,0)</f>
        <v>FOB</v>
      </c>
      <c r="J83" s="43" t="str">
        <f>IFERROR(Sheet1!K83,0)</f>
        <v>HMM</v>
      </c>
      <c r="K83" s="45">
        <f>IFERROR(Sheet1!A83,0)</f>
        <v>45833</v>
      </c>
      <c r="L83" s="45">
        <f>IFERROR(Sheet1!I83,0)</f>
        <v>45832</v>
      </c>
      <c r="M83" s="45">
        <f>IFERROR(Sheet1!P83,0)</f>
        <v>45834</v>
      </c>
      <c r="N83" s="46">
        <f>IFERROR(IF(ISNUMBER(Sheet1!N83),Sheet1!N83,0),0)</f>
        <v>1200</v>
      </c>
      <c r="O83" s="46">
        <f>IFERROR(IF(TRIM(F83)="Nhava Sheva",SUMPRODUCT((UPPER(TRIM('Origin Costs'!$A$5:$A$44))=UPPER(TRIM(J83)))*'Origin Costs'!$C$5:$C$44),IF(TRIM(F83)="ICD Tihi",SUMPRODUCT((UPPER(TRIM('Origin Costs'!$A$49:$A$88))=UPPER(TRIM(J83)))*'Origin Costs'!$C$49:$C$88),IF(TRIM(F83)="ICD Dhannad",SUMPRODUCT((UPPER(TRIM('Origin Costs'!$A$93:$A$132))=UPPER(TRIM(J83)))*'Origin Costs'!$C$93:$C$132),0))),0)</f>
        <v>0</v>
      </c>
      <c r="P83" s="46">
        <f t="shared" si="1"/>
        <v>1200</v>
      </c>
      <c r="Q83" s="13" t="str">
        <f>IF(OR(Dashboard!$C$4="All Customers",$E83=Dashboard!$C$4),IF($E83="","",$P83+ROW()/10000000),"")</f>
        <v/>
      </c>
    </row>
    <row r="84" spans="1:17" ht="14.25" customHeight="1" x14ac:dyDescent="0.3">
      <c r="A84" s="39" t="str">
        <f>IFERROR("FY"&amp;TEXT(MOD(IF(MONTH(Sheet1!A84)&gt;=4,YEAR(Sheet1!A84),YEAR(Sheet1!A84)-1),100),"00")&amp;"-"&amp;TEXT(MOD(IF(MONTH(Sheet1!A84)&gt;=4,YEAR(Sheet1!A84),YEAR(Sheet1!A84)-1)+1,100),"00"),"")</f>
        <v>FY25-26</v>
      </c>
      <c r="B84" s="40" t="str">
        <f>IFERROR("Q"&amp;IF(MONTH(Sheet1!A84)&gt;=4,IF(MONTH(Sheet1!A84)&lt;=6,1,IF(MONTH(Sheet1!A84)&lt;=9,2,3)),4),"")</f>
        <v>Q1</v>
      </c>
      <c r="C84" s="39" t="str">
        <f>IFERROR(Sheet1!C84,0)</f>
        <v>Europe</v>
      </c>
      <c r="D84" s="39" t="str">
        <f>IFERROR(Sheet1!F84,0)</f>
        <v>Germany</v>
      </c>
      <c r="E84" s="39" t="str">
        <f>IFERROR(Sheet1!E84,0)</f>
        <v>Marco Lankes GmbH, Germany</v>
      </c>
      <c r="F84" s="39" t="str">
        <f>IFERROR(IF(UPPER(TRIM(Sheet1!J84))="NH","Nhava Sheva",IF(UPPER(TRIM(Sheet1!J84))="ICD","ICD Dhannad",IF(UPPER(TRIM(Sheet1!J84))="TIHI","ICD Tihi",Sheet1!J84))),0)</f>
        <v>ICD Tihi</v>
      </c>
      <c r="G84" s="39" t="str">
        <f>IFERROR(Sheet1!M84,0)</f>
        <v>Rotterdam</v>
      </c>
      <c r="H84" s="39" t="str">
        <f>IFERROR(Sheet1!H84,0)</f>
        <v>Sevenseas Global</v>
      </c>
      <c r="I84" s="39" t="str">
        <f>IFERROR(Sheet1!G84,0)</f>
        <v>FOB</v>
      </c>
      <c r="J84" s="39" t="str">
        <f>IFERROR(Sheet1!K84,0)</f>
        <v>HMM</v>
      </c>
      <c r="K84" s="41">
        <f>IFERROR(Sheet1!A84,0)</f>
        <v>45833</v>
      </c>
      <c r="L84" s="41">
        <f>IFERROR(Sheet1!I84,0)</f>
        <v>45832</v>
      </c>
      <c r="M84" s="41">
        <f>IFERROR(Sheet1!P84,0)</f>
        <v>45834</v>
      </c>
      <c r="N84" s="42">
        <f>IFERROR(IF(ISNUMBER(Sheet1!N84),Sheet1!N84,0),0)</f>
        <v>1200</v>
      </c>
      <c r="O84" s="42">
        <f>IFERROR(IF(TRIM(F84)="Nhava Sheva",SUMPRODUCT((UPPER(TRIM('Origin Costs'!$A$5:$A$44))=UPPER(TRIM(J84)))*'Origin Costs'!$C$5:$C$44),IF(TRIM(F84)="ICD Tihi",SUMPRODUCT((UPPER(TRIM('Origin Costs'!$A$49:$A$88))=UPPER(TRIM(J84)))*'Origin Costs'!$C$49:$C$88),IF(TRIM(F84)="ICD Dhannad",SUMPRODUCT((UPPER(TRIM('Origin Costs'!$A$93:$A$132))=UPPER(TRIM(J84)))*'Origin Costs'!$C$93:$C$132),0))),0)</f>
        <v>0</v>
      </c>
      <c r="P84" s="42">
        <f t="shared" si="1"/>
        <v>1200</v>
      </c>
      <c r="Q84" s="13" t="str">
        <f>IF(OR(Dashboard!$C$4="All Customers",$E84=Dashboard!$C$4),IF($E84="","",$P84+ROW()/10000000),"")</f>
        <v/>
      </c>
    </row>
    <row r="85" spans="1:17" ht="14.25" customHeight="1" x14ac:dyDescent="0.3">
      <c r="A85" s="43" t="str">
        <f>IFERROR("FY"&amp;TEXT(MOD(IF(MONTH(Sheet1!A85)&gt;=4,YEAR(Sheet1!A85),YEAR(Sheet1!A85)-1),100),"00")&amp;"-"&amp;TEXT(MOD(IF(MONTH(Sheet1!A85)&gt;=4,YEAR(Sheet1!A85),YEAR(Sheet1!A85)-1)+1,100),"00"),"")</f>
        <v>FY25-26</v>
      </c>
      <c r="B85" s="44" t="str">
        <f>IFERROR("Q"&amp;IF(MONTH(Sheet1!A85)&gt;=4,IF(MONTH(Sheet1!A85)&lt;=6,1,IF(MONTH(Sheet1!A85)&lt;=9,2,3)),4),"")</f>
        <v>Q1</v>
      </c>
      <c r="C85" s="43" t="str">
        <f>IFERROR(Sheet1!C85,0)</f>
        <v>Europe</v>
      </c>
      <c r="D85" s="43" t="str">
        <f>IFERROR(Sheet1!F85,0)</f>
        <v>Germany</v>
      </c>
      <c r="E85" s="43" t="str">
        <f>IFERROR(Sheet1!E85,0)</f>
        <v>Marco Lankes GmbH, Germany</v>
      </c>
      <c r="F85" s="43" t="str">
        <f>IFERROR(IF(UPPER(TRIM(Sheet1!J85))="NH","Nhava Sheva",IF(UPPER(TRIM(Sheet1!J85))="ICD","ICD Dhannad",IF(UPPER(TRIM(Sheet1!J85))="TIHI","ICD Tihi",Sheet1!J85))),0)</f>
        <v>ICD Tihi</v>
      </c>
      <c r="G85" s="43" t="str">
        <f>IFERROR(Sheet1!M85,0)</f>
        <v>Rotterdam</v>
      </c>
      <c r="H85" s="43" t="str">
        <f>IFERROR(Sheet1!H85,0)</f>
        <v>Sevenseas Global</v>
      </c>
      <c r="I85" s="43" t="str">
        <f>IFERROR(Sheet1!G85,0)</f>
        <v>FOB</v>
      </c>
      <c r="J85" s="43" t="str">
        <f>IFERROR(Sheet1!K85,0)</f>
        <v>HMM</v>
      </c>
      <c r="K85" s="45">
        <f>IFERROR(Sheet1!A85,0)</f>
        <v>45833</v>
      </c>
      <c r="L85" s="45">
        <f>IFERROR(Sheet1!I85,0)</f>
        <v>45832</v>
      </c>
      <c r="M85" s="45">
        <f>IFERROR(Sheet1!P85,0)</f>
        <v>45834</v>
      </c>
      <c r="N85" s="46">
        <f>IFERROR(IF(ISNUMBER(Sheet1!N85),Sheet1!N85,0),0)</f>
        <v>1200</v>
      </c>
      <c r="O85" s="46">
        <f>IFERROR(IF(TRIM(F85)="Nhava Sheva",SUMPRODUCT((UPPER(TRIM('Origin Costs'!$A$5:$A$44))=UPPER(TRIM(J85)))*'Origin Costs'!$C$5:$C$44),IF(TRIM(F85)="ICD Tihi",SUMPRODUCT((UPPER(TRIM('Origin Costs'!$A$49:$A$88))=UPPER(TRIM(J85)))*'Origin Costs'!$C$49:$C$88),IF(TRIM(F85)="ICD Dhannad",SUMPRODUCT((UPPER(TRIM('Origin Costs'!$A$93:$A$132))=UPPER(TRIM(J85)))*'Origin Costs'!$C$93:$C$132),0))),0)</f>
        <v>0</v>
      </c>
      <c r="P85" s="46">
        <f t="shared" si="1"/>
        <v>1200</v>
      </c>
      <c r="Q85" s="13" t="str">
        <f>IF(OR(Dashboard!$C$4="All Customers",$E85=Dashboard!$C$4),IF($E85="","",$P85+ROW()/10000000),"")</f>
        <v/>
      </c>
    </row>
    <row r="86" spans="1:17" ht="14.25" customHeight="1" x14ac:dyDescent="0.3">
      <c r="A86" s="39" t="str">
        <f>IFERROR("FY"&amp;TEXT(MOD(IF(MONTH(Sheet1!A86)&gt;=4,YEAR(Sheet1!A86),YEAR(Sheet1!A86)-1),100),"00")&amp;"-"&amp;TEXT(MOD(IF(MONTH(Sheet1!A86)&gt;=4,YEAR(Sheet1!A86),YEAR(Sheet1!A86)-1)+1,100),"00"),"")</f>
        <v>FY25-26</v>
      </c>
      <c r="B86" s="40" t="str">
        <f>IFERROR("Q"&amp;IF(MONTH(Sheet1!A86)&gt;=4,IF(MONTH(Sheet1!A86)&lt;=6,1,IF(MONTH(Sheet1!A86)&lt;=9,2,3)),4),"")</f>
        <v>Q1</v>
      </c>
      <c r="C86" s="39" t="str">
        <f>IFERROR(Sheet1!C86,0)</f>
        <v>Europe</v>
      </c>
      <c r="D86" s="39" t="str">
        <f>IFERROR(Sheet1!F86,0)</f>
        <v>Germany</v>
      </c>
      <c r="E86" s="39" t="str">
        <f>IFERROR(Sheet1!E86,0)</f>
        <v>Marco Lankes GmbH, Germany</v>
      </c>
      <c r="F86" s="39" t="str">
        <f>IFERROR(IF(UPPER(TRIM(Sheet1!J86))="NH","Nhava Sheva",IF(UPPER(TRIM(Sheet1!J86))="ICD","ICD Dhannad",IF(UPPER(TRIM(Sheet1!J86))="TIHI","ICD Tihi",Sheet1!J86))),0)</f>
        <v>ICD Tihi</v>
      </c>
      <c r="G86" s="39" t="str">
        <f>IFERROR(Sheet1!M86,0)</f>
        <v>Rotterdam</v>
      </c>
      <c r="H86" s="39" t="str">
        <f>IFERROR(Sheet1!H86,0)</f>
        <v>Sevenseas Global</v>
      </c>
      <c r="I86" s="39" t="str">
        <f>IFERROR(Sheet1!G86,0)</f>
        <v>FOB</v>
      </c>
      <c r="J86" s="39" t="str">
        <f>IFERROR(Sheet1!K86,0)</f>
        <v>HMM</v>
      </c>
      <c r="K86" s="41">
        <f>IFERROR(Sheet1!A86,0)</f>
        <v>45834</v>
      </c>
      <c r="L86" s="41">
        <f>IFERROR(Sheet1!I86,0)</f>
        <v>45832</v>
      </c>
      <c r="M86" s="41">
        <f>IFERROR(Sheet1!P86,0)</f>
        <v>45834</v>
      </c>
      <c r="N86" s="42">
        <f>IFERROR(IF(ISNUMBER(Sheet1!N86),Sheet1!N86,0),0)</f>
        <v>1200</v>
      </c>
      <c r="O86" s="42">
        <f>IFERROR(IF(TRIM(F86)="Nhava Sheva",SUMPRODUCT((UPPER(TRIM('Origin Costs'!$A$5:$A$44))=UPPER(TRIM(J86)))*'Origin Costs'!$C$5:$C$44),IF(TRIM(F86)="ICD Tihi",SUMPRODUCT((UPPER(TRIM('Origin Costs'!$A$49:$A$88))=UPPER(TRIM(J86)))*'Origin Costs'!$C$49:$C$88),IF(TRIM(F86)="ICD Dhannad",SUMPRODUCT((UPPER(TRIM('Origin Costs'!$A$93:$A$132))=UPPER(TRIM(J86)))*'Origin Costs'!$C$93:$C$132),0))),0)</f>
        <v>0</v>
      </c>
      <c r="P86" s="42">
        <f t="shared" si="1"/>
        <v>1200</v>
      </c>
      <c r="Q86" s="13" t="str">
        <f>IF(OR(Dashboard!$C$4="All Customers",$E86=Dashboard!$C$4),IF($E86="","",$P86+ROW()/10000000),"")</f>
        <v/>
      </c>
    </row>
    <row r="87" spans="1:17" ht="14.25" customHeight="1" x14ac:dyDescent="0.3">
      <c r="A87" s="43" t="str">
        <f>IFERROR("FY"&amp;TEXT(MOD(IF(MONTH(Sheet1!A87)&gt;=4,YEAR(Sheet1!A87),YEAR(Sheet1!A87)-1),100),"00")&amp;"-"&amp;TEXT(MOD(IF(MONTH(Sheet1!A87)&gt;=4,YEAR(Sheet1!A87),YEAR(Sheet1!A87)-1)+1,100),"00"),"")</f>
        <v>FY25-26</v>
      </c>
      <c r="B87" s="44" t="str">
        <f>IFERROR("Q"&amp;IF(MONTH(Sheet1!A87)&gt;=4,IF(MONTH(Sheet1!A87)&lt;=6,1,IF(MONTH(Sheet1!A87)&lt;=9,2,3)),4),"")</f>
        <v>Q1</v>
      </c>
      <c r="C87" s="43" t="str">
        <f>IFERROR(Sheet1!C87,0)</f>
        <v>Europe</v>
      </c>
      <c r="D87" s="43" t="str">
        <f>IFERROR(Sheet1!F87,0)</f>
        <v>Germany</v>
      </c>
      <c r="E87" s="43" t="str">
        <f>IFERROR(Sheet1!E87,0)</f>
        <v>Marco Lankes GmbH, Germany</v>
      </c>
      <c r="F87" s="43" t="str">
        <f>IFERROR(IF(UPPER(TRIM(Sheet1!J87))="NH","Nhava Sheva",IF(UPPER(TRIM(Sheet1!J87))="ICD","ICD Dhannad",IF(UPPER(TRIM(Sheet1!J87))="TIHI","ICD Tihi",Sheet1!J87))),0)</f>
        <v>ICD Tihi</v>
      </c>
      <c r="G87" s="43" t="str">
        <f>IFERROR(Sheet1!M87,0)</f>
        <v>Rotterdam</v>
      </c>
      <c r="H87" s="43" t="str">
        <f>IFERROR(Sheet1!H87,0)</f>
        <v>Sevenseas Global</v>
      </c>
      <c r="I87" s="43" t="str">
        <f>IFERROR(Sheet1!G87,0)</f>
        <v>FOB</v>
      </c>
      <c r="J87" s="43" t="str">
        <f>IFERROR(Sheet1!K87,0)</f>
        <v>HMM</v>
      </c>
      <c r="K87" s="45">
        <f>IFERROR(Sheet1!A87,0)</f>
        <v>45834</v>
      </c>
      <c r="L87" s="45">
        <f>IFERROR(Sheet1!I87,0)</f>
        <v>45832</v>
      </c>
      <c r="M87" s="45">
        <f>IFERROR(Sheet1!P87,0)</f>
        <v>45835</v>
      </c>
      <c r="N87" s="46">
        <f>IFERROR(IF(ISNUMBER(Sheet1!N87),Sheet1!N87,0),0)</f>
        <v>1200</v>
      </c>
      <c r="O87" s="46">
        <f>IFERROR(IF(TRIM(F87)="Nhava Sheva",SUMPRODUCT((UPPER(TRIM('Origin Costs'!$A$5:$A$44))=UPPER(TRIM(J87)))*'Origin Costs'!$C$5:$C$44),IF(TRIM(F87)="ICD Tihi",SUMPRODUCT((UPPER(TRIM('Origin Costs'!$A$49:$A$88))=UPPER(TRIM(J87)))*'Origin Costs'!$C$49:$C$88),IF(TRIM(F87)="ICD Dhannad",SUMPRODUCT((UPPER(TRIM('Origin Costs'!$A$93:$A$132))=UPPER(TRIM(J87)))*'Origin Costs'!$C$93:$C$132),0))),0)</f>
        <v>0</v>
      </c>
      <c r="P87" s="46">
        <f t="shared" si="1"/>
        <v>1200</v>
      </c>
      <c r="Q87" s="13" t="str">
        <f>IF(OR(Dashboard!$C$4="All Customers",$E87=Dashboard!$C$4),IF($E87="","",$P87+ROW()/10000000),"")</f>
        <v/>
      </c>
    </row>
    <row r="88" spans="1:17" ht="14.25" customHeight="1" x14ac:dyDescent="0.3">
      <c r="A88" s="39" t="str">
        <f>IFERROR("FY"&amp;TEXT(MOD(IF(MONTH(Sheet1!A88)&gt;=4,YEAR(Sheet1!A88),YEAR(Sheet1!A88)-1),100),"00")&amp;"-"&amp;TEXT(MOD(IF(MONTH(Sheet1!A88)&gt;=4,YEAR(Sheet1!A88),YEAR(Sheet1!A88)-1)+1,100),"00"),"")</f>
        <v>FY25-26</v>
      </c>
      <c r="B88" s="40" t="str">
        <f>IFERROR("Q"&amp;IF(MONTH(Sheet1!A88)&gt;=4,IF(MONTH(Sheet1!A88)&lt;=6,1,IF(MONTH(Sheet1!A88)&lt;=9,2,3)),4),"")</f>
        <v>Q1</v>
      </c>
      <c r="C88" s="39" t="str">
        <f>IFERROR(Sheet1!C88,0)</f>
        <v>S.A</v>
      </c>
      <c r="D88" s="39" t="str">
        <f>IFERROR(Sheet1!F88,0)</f>
        <v>Argentina</v>
      </c>
      <c r="E88" s="39" t="str">
        <f>IFERROR(Sheet1!E88,0)</f>
        <v>Rappazzo Neumaticos S.A, Argentina</v>
      </c>
      <c r="F88" s="39" t="str">
        <f>IFERROR(IF(UPPER(TRIM(Sheet1!J88))="NH","Nhava Sheva",IF(UPPER(TRIM(Sheet1!J88))="ICD","ICD Dhannad",IF(UPPER(TRIM(Sheet1!J88))="TIHI","ICD Tihi",Sheet1!J88))),0)</f>
        <v>Nhava Sheva</v>
      </c>
      <c r="G88" s="39" t="str">
        <f>IFERROR(Sheet1!M88,0)</f>
        <v>Buenos Aires</v>
      </c>
      <c r="H88" s="39" t="str">
        <f>IFERROR(Sheet1!H88,0)</f>
        <v>Tulsidas Khimji</v>
      </c>
      <c r="I88" s="39" t="str">
        <f>IFERROR(Sheet1!G88,0)</f>
        <v>FOB</v>
      </c>
      <c r="J88" s="39" t="str">
        <f>IFERROR(Sheet1!K88,0)</f>
        <v>CMA</v>
      </c>
      <c r="K88" s="41">
        <f>IFERROR(Sheet1!A88,0)</f>
        <v>45834</v>
      </c>
      <c r="L88" s="41">
        <f>IFERROR(Sheet1!I88,0)</f>
        <v>45832</v>
      </c>
      <c r="M88" s="41">
        <f>IFERROR(Sheet1!P88,0)</f>
        <v>45836</v>
      </c>
      <c r="N88" s="42">
        <f>IFERROR(IF(ISNUMBER(Sheet1!N88),Sheet1!N88,0),0)</f>
        <v>0</v>
      </c>
      <c r="O88" s="42">
        <f>IFERROR(IF(TRIM(F88)="Nhava Sheva",SUMPRODUCT((UPPER(TRIM('Origin Costs'!$A$5:$A$44))=UPPER(TRIM(J88)))*'Origin Costs'!$C$5:$C$44),IF(TRIM(F88)="ICD Tihi",SUMPRODUCT((UPPER(TRIM('Origin Costs'!$A$49:$A$88))=UPPER(TRIM(J88)))*'Origin Costs'!$C$49:$C$88),IF(TRIM(F88)="ICD Dhannad",SUMPRODUCT((UPPER(TRIM('Origin Costs'!$A$93:$A$132))=UPPER(TRIM(J88)))*'Origin Costs'!$C$93:$C$132),0))),0)</f>
        <v>0</v>
      </c>
      <c r="P88" s="42">
        <f t="shared" si="1"/>
        <v>0</v>
      </c>
      <c r="Q88" s="13" t="str">
        <f>IF(OR(Dashboard!$C$4="All Customers",$E88=Dashboard!$C$4),IF($E88="","",$P88+ROW()/10000000),"")</f>
        <v/>
      </c>
    </row>
    <row r="89" spans="1:17" ht="14.25" customHeight="1" x14ac:dyDescent="0.3">
      <c r="A89" s="43" t="str">
        <f>IFERROR("FY"&amp;TEXT(MOD(IF(MONTH(Sheet1!A89)&gt;=4,YEAR(Sheet1!A89),YEAR(Sheet1!A89)-1),100),"00")&amp;"-"&amp;TEXT(MOD(IF(MONTH(Sheet1!A89)&gt;=4,YEAR(Sheet1!A89),YEAR(Sheet1!A89)-1)+1,100),"00"),"")</f>
        <v>FY25-26</v>
      </c>
      <c r="B89" s="44" t="str">
        <f>IFERROR("Q"&amp;IF(MONTH(Sheet1!A89)&gt;=4,IF(MONTH(Sheet1!A89)&lt;=6,1,IF(MONTH(Sheet1!A89)&lt;=9,2,3)),4),"")</f>
        <v>Q1</v>
      </c>
      <c r="C89" s="43" t="str">
        <f>IFERROR(Sheet1!C89,0)</f>
        <v>S.A</v>
      </c>
      <c r="D89" s="43" t="str">
        <f>IFERROR(Sheet1!F89,0)</f>
        <v>columbia</v>
      </c>
      <c r="E89" s="43" t="str">
        <f>IFERROR(Sheet1!E89,0)</f>
        <v>REDLLANTAS S.A</v>
      </c>
      <c r="F89" s="43" t="str">
        <f>IFERROR(IF(UPPER(TRIM(Sheet1!J89))="NH","Nhava Sheva",IF(UPPER(TRIM(Sheet1!J89))="ICD","ICD Dhannad",IF(UPPER(TRIM(Sheet1!J89))="TIHI","ICD Tihi",Sheet1!J89))),0)</f>
        <v>ICD Dhannad</v>
      </c>
      <c r="G89" s="43" t="str">
        <f>IFERROR(Sheet1!M89,0)</f>
        <v>Buenaventura</v>
      </c>
      <c r="H89" s="43" t="str">
        <f>IFERROR(Sheet1!H89,0)</f>
        <v>Mentor Freight</v>
      </c>
      <c r="I89" s="43" t="str">
        <f>IFERROR(Sheet1!G89,0)</f>
        <v>FOB</v>
      </c>
      <c r="J89" s="43" t="str">
        <f>IFERROR(Sheet1!K89,0)</f>
        <v>CMA</v>
      </c>
      <c r="K89" s="45">
        <f>IFERROR(Sheet1!A89,0)</f>
        <v>45836</v>
      </c>
      <c r="L89" s="45">
        <f>IFERROR(Sheet1!I89,0)</f>
        <v>45835</v>
      </c>
      <c r="M89" s="45">
        <f>IFERROR(Sheet1!P89,0)</f>
        <v>45836</v>
      </c>
      <c r="N89" s="46">
        <f>IFERROR(IF(ISNUMBER(Sheet1!N89),Sheet1!N89,0),0)</f>
        <v>0</v>
      </c>
      <c r="O89" s="46">
        <f>IFERROR(IF(TRIM(F89)="Nhava Sheva",SUMPRODUCT((UPPER(TRIM('Origin Costs'!$A$5:$A$44))=UPPER(TRIM(J89)))*'Origin Costs'!$C$5:$C$44),IF(TRIM(F89)="ICD Tihi",SUMPRODUCT((UPPER(TRIM('Origin Costs'!$A$49:$A$88))=UPPER(TRIM(J89)))*'Origin Costs'!$C$49:$C$88),IF(TRIM(F89)="ICD Dhannad",SUMPRODUCT((UPPER(TRIM('Origin Costs'!$A$93:$A$132))=UPPER(TRIM(J89)))*'Origin Costs'!$C$93:$C$132),0))),0)</f>
        <v>0</v>
      </c>
      <c r="P89" s="46">
        <f t="shared" si="1"/>
        <v>0</v>
      </c>
      <c r="Q89" s="13" t="str">
        <f>IF(OR(Dashboard!$C$4="All Customers",$E89=Dashboard!$C$4),IF($E89="","",$P89+ROW()/10000000),"")</f>
        <v/>
      </c>
    </row>
    <row r="90" spans="1:17" ht="14.25" customHeight="1" x14ac:dyDescent="0.3">
      <c r="A90" s="39" t="str">
        <f>IFERROR("FY"&amp;TEXT(MOD(IF(MONTH(Sheet1!A90)&gt;=4,YEAR(Sheet1!A90),YEAR(Sheet1!A90)-1),100),"00")&amp;"-"&amp;TEXT(MOD(IF(MONTH(Sheet1!A90)&gt;=4,YEAR(Sheet1!A90),YEAR(Sheet1!A90)-1)+1,100),"00"),"")</f>
        <v>FY25-26</v>
      </c>
      <c r="B90" s="40" t="str">
        <f>IFERROR("Q"&amp;IF(MONTH(Sheet1!A90)&gt;=4,IF(MONTH(Sheet1!A90)&lt;=6,1,IF(MONTH(Sheet1!A90)&lt;=9,2,3)),4),"")</f>
        <v>Q1</v>
      </c>
      <c r="C90" s="39" t="str">
        <f>IFERROR(Sheet1!C90,0)</f>
        <v>MEA</v>
      </c>
      <c r="D90" s="39" t="str">
        <f>IFERROR(Sheet1!F90,0)</f>
        <v>UAE</v>
      </c>
      <c r="E90" s="39" t="str">
        <f>IFERROR(Sheet1!E90,0)</f>
        <v>ROAD FORCE AUTO SPARE PARTS-Sharjah</v>
      </c>
      <c r="F90" s="39" t="str">
        <f>IFERROR(IF(UPPER(TRIM(Sheet1!J90))="NH","Nhava Sheva",IF(UPPER(TRIM(Sheet1!J90))="ICD","ICD Dhannad",IF(UPPER(TRIM(Sheet1!J90))="TIHI","ICD Tihi",Sheet1!J90))),0)</f>
        <v>ICD Dhannad</v>
      </c>
      <c r="G90" s="39" t="str">
        <f>IFERROR(Sheet1!M90,0)</f>
        <v>Jebel Ali</v>
      </c>
      <c r="H90" s="39" t="str">
        <f>IFERROR(Sheet1!H90,0)</f>
        <v>Arikas Logistics</v>
      </c>
      <c r="I90" s="39" t="str">
        <f>IFERROR(Sheet1!G90,0)</f>
        <v>FOB</v>
      </c>
      <c r="J90" s="39" t="str">
        <f>IFERROR(Sheet1!K90,0)</f>
        <v>Maersk</v>
      </c>
      <c r="K90" s="41">
        <f>IFERROR(Sheet1!A90,0)</f>
        <v>45835</v>
      </c>
      <c r="L90" s="41">
        <f>IFERROR(Sheet1!I90,0)</f>
        <v>45835</v>
      </c>
      <c r="M90" s="41">
        <f>IFERROR(Sheet1!P90,0)</f>
        <v>45836</v>
      </c>
      <c r="N90" s="42">
        <f>IFERROR(IF(ISNUMBER(Sheet1!N90),Sheet1!N90,0),0)</f>
        <v>0</v>
      </c>
      <c r="O90" s="42">
        <f>IFERROR(IF(TRIM(F90)="Nhava Sheva",SUMPRODUCT((UPPER(TRIM('Origin Costs'!$A$5:$A$44))=UPPER(TRIM(J90)))*'Origin Costs'!$C$5:$C$44),IF(TRIM(F90)="ICD Tihi",SUMPRODUCT((UPPER(TRIM('Origin Costs'!$A$49:$A$88))=UPPER(TRIM(J90)))*'Origin Costs'!$C$49:$C$88),IF(TRIM(F90)="ICD Dhannad",SUMPRODUCT((UPPER(TRIM('Origin Costs'!$A$93:$A$132))=UPPER(TRIM(J90)))*'Origin Costs'!$C$93:$C$132),0))),0)</f>
        <v>0</v>
      </c>
      <c r="P90" s="42">
        <f t="shared" si="1"/>
        <v>0</v>
      </c>
      <c r="Q90" s="13" t="str">
        <f>IF(OR(Dashboard!$C$4="All Customers",$E90=Dashboard!$C$4),IF($E90="","",$P90+ROW()/10000000),"")</f>
        <v/>
      </c>
    </row>
    <row r="91" spans="1:17" ht="14.25" customHeight="1" x14ac:dyDescent="0.3">
      <c r="A91" s="43" t="str">
        <f>IFERROR("FY"&amp;TEXT(MOD(IF(MONTH(Sheet1!A91)&gt;=4,YEAR(Sheet1!A91),YEAR(Sheet1!A91)-1),100),"00")&amp;"-"&amp;TEXT(MOD(IF(MONTH(Sheet1!A91)&gt;=4,YEAR(Sheet1!A91),YEAR(Sheet1!A91)-1)+1,100),"00"),"")</f>
        <v>FY25-26</v>
      </c>
      <c r="B91" s="44" t="str">
        <f>IFERROR("Q"&amp;IF(MONTH(Sheet1!A91)&gt;=4,IF(MONTH(Sheet1!A91)&lt;=6,1,IF(MONTH(Sheet1!A91)&lt;=9,2,3)),4),"")</f>
        <v>Q1</v>
      </c>
      <c r="C91" s="43" t="str">
        <f>IFERROR(Sheet1!C91,0)</f>
        <v>MEA</v>
      </c>
      <c r="D91" s="43" t="str">
        <f>IFERROR(Sheet1!F91,0)</f>
        <v>UAE</v>
      </c>
      <c r="E91" s="43" t="str">
        <f>IFERROR(Sheet1!E91,0)</f>
        <v>ROAD FORCE AUTO SPARE PARTS-Sharjah</v>
      </c>
      <c r="F91" s="43" t="str">
        <f>IFERROR(IF(UPPER(TRIM(Sheet1!J91))="NH","Nhava Sheva",IF(UPPER(TRIM(Sheet1!J91))="ICD","ICD Dhannad",IF(UPPER(TRIM(Sheet1!J91))="TIHI","ICD Tihi",Sheet1!J91))),0)</f>
        <v>ICD Dhannad</v>
      </c>
      <c r="G91" s="43" t="str">
        <f>IFERROR(Sheet1!M91,0)</f>
        <v>Jebel Ali</v>
      </c>
      <c r="H91" s="43" t="str">
        <f>IFERROR(Sheet1!H91,0)</f>
        <v>Arikas Logistics</v>
      </c>
      <c r="I91" s="43" t="str">
        <f>IFERROR(Sheet1!G91,0)</f>
        <v>FOB</v>
      </c>
      <c r="J91" s="43" t="str">
        <f>IFERROR(Sheet1!K91,0)</f>
        <v>Maersk</v>
      </c>
      <c r="K91" s="45">
        <f>IFERROR(Sheet1!A91,0)</f>
        <v>45835</v>
      </c>
      <c r="L91" s="45">
        <f>IFERROR(Sheet1!I91,0)</f>
        <v>45835</v>
      </c>
      <c r="M91" s="45">
        <f>IFERROR(Sheet1!P91,0)</f>
        <v>45836</v>
      </c>
      <c r="N91" s="46">
        <f>IFERROR(IF(ISNUMBER(Sheet1!N91),Sheet1!N91,0),0)</f>
        <v>0</v>
      </c>
      <c r="O91" s="46">
        <f>IFERROR(IF(TRIM(F91)="Nhava Sheva",SUMPRODUCT((UPPER(TRIM('Origin Costs'!$A$5:$A$44))=UPPER(TRIM(J91)))*'Origin Costs'!$C$5:$C$44),IF(TRIM(F91)="ICD Tihi",SUMPRODUCT((UPPER(TRIM('Origin Costs'!$A$49:$A$88))=UPPER(TRIM(J91)))*'Origin Costs'!$C$49:$C$88),IF(TRIM(F91)="ICD Dhannad",SUMPRODUCT((UPPER(TRIM('Origin Costs'!$A$93:$A$132))=UPPER(TRIM(J91)))*'Origin Costs'!$C$93:$C$132),0))),0)</f>
        <v>0</v>
      </c>
      <c r="P91" s="46">
        <f t="shared" si="1"/>
        <v>0</v>
      </c>
      <c r="Q91" s="13" t="str">
        <f>IF(OR(Dashboard!$C$4="All Customers",$E91=Dashboard!$C$4),IF($E91="","",$P91+ROW()/10000000),"")</f>
        <v/>
      </c>
    </row>
    <row r="92" spans="1:17" ht="14.25" customHeight="1" x14ac:dyDescent="0.3">
      <c r="A92" s="39" t="str">
        <f>IFERROR("FY"&amp;TEXT(MOD(IF(MONTH(Sheet1!A92)&gt;=4,YEAR(Sheet1!A92),YEAR(Sheet1!A92)-1),100),"00")&amp;"-"&amp;TEXT(MOD(IF(MONTH(Sheet1!A92)&gt;=4,YEAR(Sheet1!A92),YEAR(Sheet1!A92)-1)+1,100),"00"),"")</f>
        <v>FY25-26</v>
      </c>
      <c r="B92" s="40" t="str">
        <f>IFERROR("Q"&amp;IF(MONTH(Sheet1!A92)&gt;=4,IF(MONTH(Sheet1!A92)&lt;=6,1,IF(MONTH(Sheet1!A92)&lt;=9,2,3)),4),"")</f>
        <v>Q1</v>
      </c>
      <c r="C92" s="39" t="str">
        <f>IFERROR(Sheet1!C92,0)</f>
        <v>MEA</v>
      </c>
      <c r="D92" s="39" t="str">
        <f>IFERROR(Sheet1!F92,0)</f>
        <v>UAE</v>
      </c>
      <c r="E92" s="39" t="str">
        <f>IFERROR(Sheet1!E92,0)</f>
        <v>ROAD FORCE AUTO SPARE PARTS-Sharjah</v>
      </c>
      <c r="F92" s="39" t="str">
        <f>IFERROR(IF(UPPER(TRIM(Sheet1!J92))="NH","Nhava Sheva",IF(UPPER(TRIM(Sheet1!J92))="ICD","ICD Dhannad",IF(UPPER(TRIM(Sheet1!J92))="TIHI","ICD Tihi",Sheet1!J92))),0)</f>
        <v>ICD Dhannad</v>
      </c>
      <c r="G92" s="39" t="str">
        <f>IFERROR(Sheet1!M92,0)</f>
        <v>Jebel Ali</v>
      </c>
      <c r="H92" s="39" t="str">
        <f>IFERROR(Sheet1!H92,0)</f>
        <v>Arikas Logistics</v>
      </c>
      <c r="I92" s="39" t="str">
        <f>IFERROR(Sheet1!G92,0)</f>
        <v>FOB</v>
      </c>
      <c r="J92" s="39" t="str">
        <f>IFERROR(Sheet1!K92,0)</f>
        <v>Maersk</v>
      </c>
      <c r="K92" s="41">
        <f>IFERROR(Sheet1!A92,0)</f>
        <v>45835</v>
      </c>
      <c r="L92" s="41">
        <f>IFERROR(Sheet1!I92,0)</f>
        <v>45835</v>
      </c>
      <c r="M92" s="41">
        <f>IFERROR(Sheet1!P92,0)</f>
        <v>45836</v>
      </c>
      <c r="N92" s="42">
        <f>IFERROR(IF(ISNUMBER(Sheet1!N92),Sheet1!N92,0),0)</f>
        <v>0</v>
      </c>
      <c r="O92" s="42">
        <f>IFERROR(IF(TRIM(F92)="Nhava Sheva",SUMPRODUCT((UPPER(TRIM('Origin Costs'!$A$5:$A$44))=UPPER(TRIM(J92)))*'Origin Costs'!$C$5:$C$44),IF(TRIM(F92)="ICD Tihi",SUMPRODUCT((UPPER(TRIM('Origin Costs'!$A$49:$A$88))=UPPER(TRIM(J92)))*'Origin Costs'!$C$49:$C$88),IF(TRIM(F92)="ICD Dhannad",SUMPRODUCT((UPPER(TRIM('Origin Costs'!$A$93:$A$132))=UPPER(TRIM(J92)))*'Origin Costs'!$C$93:$C$132),0))),0)</f>
        <v>0</v>
      </c>
      <c r="P92" s="42">
        <f t="shared" si="1"/>
        <v>0</v>
      </c>
      <c r="Q92" s="13" t="str">
        <f>IF(OR(Dashboard!$C$4="All Customers",$E92=Dashboard!$C$4),IF($E92="","",$P92+ROW()/10000000),"")</f>
        <v/>
      </c>
    </row>
    <row r="93" spans="1:17" ht="14.25" customHeight="1" x14ac:dyDescent="0.3">
      <c r="A93" s="43" t="str">
        <f>IFERROR("FY"&amp;TEXT(MOD(IF(MONTH(Sheet1!A93)&gt;=4,YEAR(Sheet1!A93),YEAR(Sheet1!A93)-1),100),"00")&amp;"-"&amp;TEXT(MOD(IF(MONTH(Sheet1!A93)&gt;=4,YEAR(Sheet1!A93),YEAR(Sheet1!A93)-1)+1,100),"00"),"")</f>
        <v>FY25-26</v>
      </c>
      <c r="B93" s="44" t="str">
        <f>IFERROR("Q"&amp;IF(MONTH(Sheet1!A93)&gt;=4,IF(MONTH(Sheet1!A93)&lt;=6,1,IF(MONTH(Sheet1!A93)&lt;=9,2,3)),4),"")</f>
        <v>Q1</v>
      </c>
      <c r="C93" s="43" t="str">
        <f>IFERROR(Sheet1!C93,0)</f>
        <v>S.A</v>
      </c>
      <c r="D93" s="43" t="str">
        <f>IFERROR(Sheet1!F93,0)</f>
        <v>Puerto Rico</v>
      </c>
      <c r="E93" s="43" t="str">
        <f>IFERROR(Sheet1!E93,0)</f>
        <v>Correa Tire Distributor Inc, Puerte Rico</v>
      </c>
      <c r="F93" s="43" t="str">
        <f>IFERROR(IF(UPPER(TRIM(Sheet1!J93))="NH","Nhava Sheva",IF(UPPER(TRIM(Sheet1!J93))="ICD","ICD Dhannad",IF(UPPER(TRIM(Sheet1!J93))="TIHI","ICD Tihi",Sheet1!J93))),0)</f>
        <v>ICD Dhannad</v>
      </c>
      <c r="G93" s="43">
        <f>IFERROR(Sheet1!M93,0)</f>
        <v>0</v>
      </c>
      <c r="H93" s="43" t="str">
        <f>IFERROR(Sheet1!H93,0)</f>
        <v>Transbox</v>
      </c>
      <c r="I93" s="43" t="str">
        <f>IFERROR(Sheet1!G93,0)</f>
        <v>CIF</v>
      </c>
      <c r="J93" s="43" t="str">
        <f>IFERROR(Sheet1!K93,0)</f>
        <v>Hapag</v>
      </c>
      <c r="K93" s="45">
        <f>IFERROR(Sheet1!A93,0)</f>
        <v>45836</v>
      </c>
      <c r="L93" s="45">
        <f>IFERROR(Sheet1!I93,0)</f>
        <v>45836</v>
      </c>
      <c r="M93" s="45">
        <f>IFERROR(Sheet1!P93,0)</f>
        <v>45838</v>
      </c>
      <c r="N93" s="46">
        <f>IFERROR(IF(ISNUMBER(Sheet1!N93),Sheet1!N93,0),0)</f>
        <v>3600</v>
      </c>
      <c r="O93" s="46">
        <f>IFERROR(IF(TRIM(F93)="Nhava Sheva",SUMPRODUCT((UPPER(TRIM('Origin Costs'!$A$5:$A$44))=UPPER(TRIM(J93)))*'Origin Costs'!$C$5:$C$44),IF(TRIM(F93)="ICD Tihi",SUMPRODUCT((UPPER(TRIM('Origin Costs'!$A$49:$A$88))=UPPER(TRIM(J93)))*'Origin Costs'!$C$49:$C$88),IF(TRIM(F93)="ICD Dhannad",SUMPRODUCT((UPPER(TRIM('Origin Costs'!$A$93:$A$132))=UPPER(TRIM(J93)))*'Origin Costs'!$C$93:$C$132),0))),0)</f>
        <v>1209.3888888888889</v>
      </c>
      <c r="P93" s="46">
        <f t="shared" si="1"/>
        <v>4809.3888888888887</v>
      </c>
      <c r="Q93" s="13" t="str">
        <f>IF(OR(Dashboard!$C$4="All Customers",$E93=Dashboard!$C$4),IF($E93="","",$P93+ROW()/10000000),"")</f>
        <v/>
      </c>
    </row>
    <row r="94" spans="1:17" ht="14.25" customHeight="1" x14ac:dyDescent="0.3">
      <c r="A94" s="39" t="str">
        <f>IFERROR("FY"&amp;TEXT(MOD(IF(MONTH(Sheet1!A94)&gt;=4,YEAR(Sheet1!A94),YEAR(Sheet1!A94)-1),100),"00")&amp;"-"&amp;TEXT(MOD(IF(MONTH(Sheet1!A94)&gt;=4,YEAR(Sheet1!A94),YEAR(Sheet1!A94)-1)+1,100),"00"),"")</f>
        <v>FY25-26</v>
      </c>
      <c r="B94" s="40" t="str">
        <f>IFERROR("Q"&amp;IF(MONTH(Sheet1!A94)&gt;=4,IF(MONTH(Sheet1!A94)&lt;=6,1,IF(MONTH(Sheet1!A94)&lt;=9,2,3)),4),"")</f>
        <v>Q1</v>
      </c>
      <c r="C94" s="39" t="str">
        <f>IFERROR(Sheet1!C94,0)</f>
        <v>S.A</v>
      </c>
      <c r="D94" s="39" t="str">
        <f>IFERROR(Sheet1!F94,0)</f>
        <v>Brazil</v>
      </c>
      <c r="E94" s="39" t="str">
        <f>IFERROR(Sheet1!E94,0)</f>
        <v>CPX DISTRIBUIDORA S/A-Navegantes</v>
      </c>
      <c r="F94" s="39" t="str">
        <f>IFERROR(IF(UPPER(TRIM(Sheet1!J94))="NH","Nhava Sheva",IF(UPPER(TRIM(Sheet1!J94))="ICD","ICD Dhannad",IF(UPPER(TRIM(Sheet1!J94))="TIHI","ICD Tihi",Sheet1!J94))),0)</f>
        <v>Nhava Sheva</v>
      </c>
      <c r="G94" s="39" t="str">
        <f>IFERROR(Sheet1!M94,0)</f>
        <v>Itajai</v>
      </c>
      <c r="H94" s="39" t="str">
        <f>IFERROR(Sheet1!H94,0)</f>
        <v>Skyways Forin</v>
      </c>
      <c r="I94" s="39" t="str">
        <f>IFERROR(Sheet1!G94,0)</f>
        <v>FOB</v>
      </c>
      <c r="J94" s="39" t="str">
        <f>IFERROR(Sheet1!K94,0)</f>
        <v>MSC</v>
      </c>
      <c r="K94" s="41">
        <f>IFERROR(Sheet1!A94,0)</f>
        <v>45838</v>
      </c>
      <c r="L94" s="41">
        <f>IFERROR(Sheet1!I94,0)</f>
        <v>45836</v>
      </c>
      <c r="M94" s="41">
        <f>IFERROR(Sheet1!P94,0)</f>
        <v>45838</v>
      </c>
      <c r="N94" s="42">
        <f>IFERROR(IF(ISNUMBER(Sheet1!N94),Sheet1!N94,0),0)</f>
        <v>0</v>
      </c>
      <c r="O94" s="42">
        <f>IFERROR(IF(TRIM(F94)="Nhava Sheva",SUMPRODUCT((UPPER(TRIM('Origin Costs'!$A$5:$A$44))=UPPER(TRIM(J94)))*'Origin Costs'!$C$5:$C$44),IF(TRIM(F94)="ICD Tihi",SUMPRODUCT((UPPER(TRIM('Origin Costs'!$A$49:$A$88))=UPPER(TRIM(J94)))*'Origin Costs'!$C$49:$C$88),IF(TRIM(F94)="ICD Dhannad",SUMPRODUCT((UPPER(TRIM('Origin Costs'!$A$93:$A$132))=UPPER(TRIM(J94)))*'Origin Costs'!$C$93:$C$132),0))),0)</f>
        <v>1168.8222222222223</v>
      </c>
      <c r="P94" s="42">
        <f t="shared" si="1"/>
        <v>1168.8222222222223</v>
      </c>
      <c r="Q94" s="13" t="str">
        <f>IF(OR(Dashboard!$C$4="All Customers",$E94=Dashboard!$C$4),IF($E94="","",$P94+ROW()/10000000),"")</f>
        <v/>
      </c>
    </row>
    <row r="95" spans="1:17" ht="14.25" customHeight="1" x14ac:dyDescent="0.3">
      <c r="A95" s="43" t="str">
        <f>IFERROR("FY"&amp;TEXT(MOD(IF(MONTH(Sheet1!A95)&gt;=4,YEAR(Sheet1!A95),YEAR(Sheet1!A95)-1),100),"00")&amp;"-"&amp;TEXT(MOD(IF(MONTH(Sheet1!A95)&gt;=4,YEAR(Sheet1!A95),YEAR(Sheet1!A95)-1)+1,100),"00"),"")</f>
        <v>FY25-26</v>
      </c>
      <c r="B95" s="44" t="str">
        <f>IFERROR("Q"&amp;IF(MONTH(Sheet1!A95)&gt;=4,IF(MONTH(Sheet1!A95)&lt;=6,1,IF(MONTH(Sheet1!A95)&lt;=9,2,3)),4),"")</f>
        <v>Q1</v>
      </c>
      <c r="C95" s="43" t="str">
        <f>IFERROR(Sheet1!C95,0)</f>
        <v>Europe</v>
      </c>
      <c r="D95" s="43" t="str">
        <f>IFERROR(Sheet1!F95,0)</f>
        <v>Poland</v>
      </c>
      <c r="E95" s="43" t="str">
        <f>IFERROR(Sheet1!E95,0)</f>
        <v>Inter Cars S.A., Poland</v>
      </c>
      <c r="F95" s="43" t="str">
        <f>IFERROR(IF(UPPER(TRIM(Sheet1!J95))="NH","Nhava Sheva",IF(UPPER(TRIM(Sheet1!J95))="ICD","ICD Dhannad",IF(UPPER(TRIM(Sheet1!J95))="TIHI","ICD Tihi",Sheet1!J95))),0)</f>
        <v>Nhava Sheva</v>
      </c>
      <c r="G95" s="43" t="str">
        <f>IFERROR(Sheet1!M95,0)</f>
        <v>Gdansk</v>
      </c>
      <c r="H95" s="43" t="str">
        <f>IFERROR(Sheet1!H95,0)</f>
        <v>Master Logitech</v>
      </c>
      <c r="I95" s="43" t="str">
        <f>IFERROR(Sheet1!G95,0)</f>
        <v>FOB</v>
      </c>
      <c r="J95" s="43" t="str">
        <f>IFERROR(Sheet1!K95,0)</f>
        <v>Maersk</v>
      </c>
      <c r="K95" s="45">
        <f>IFERROR(Sheet1!A95,0)</f>
        <v>45838</v>
      </c>
      <c r="L95" s="45">
        <f>IFERROR(Sheet1!I95,0)</f>
        <v>45836</v>
      </c>
      <c r="M95" s="45">
        <f>IFERROR(Sheet1!P95,0)</f>
        <v>45838</v>
      </c>
      <c r="N95" s="46">
        <f>IFERROR(IF(ISNUMBER(Sheet1!N95),Sheet1!N95,0),0)</f>
        <v>0</v>
      </c>
      <c r="O95" s="46">
        <f>IFERROR(IF(TRIM(F95)="Nhava Sheva",SUMPRODUCT((UPPER(TRIM('Origin Costs'!$A$5:$A$44))=UPPER(TRIM(J95)))*'Origin Costs'!$C$5:$C$44),IF(TRIM(F95)="ICD Tihi",SUMPRODUCT((UPPER(TRIM('Origin Costs'!$A$49:$A$88))=UPPER(TRIM(J95)))*'Origin Costs'!$C$49:$C$88),IF(TRIM(F95)="ICD Dhannad",SUMPRODUCT((UPPER(TRIM('Origin Costs'!$A$93:$A$132))=UPPER(TRIM(J95)))*'Origin Costs'!$C$93:$C$132),0))),0)</f>
        <v>1148.588888888889</v>
      </c>
      <c r="P95" s="46">
        <f t="shared" si="1"/>
        <v>1148.588888888889</v>
      </c>
      <c r="Q95" s="13" t="str">
        <f>IF(OR(Dashboard!$C$4="All Customers",$E95=Dashboard!$C$4),IF($E95="","",$P95+ROW()/10000000),"")</f>
        <v/>
      </c>
    </row>
    <row r="96" spans="1:17" ht="14.25" customHeight="1" x14ac:dyDescent="0.3">
      <c r="A96" s="39" t="str">
        <f>IFERROR("FY"&amp;TEXT(MOD(IF(MONTH(Sheet1!A96)&gt;=4,YEAR(Sheet1!A96),YEAR(Sheet1!A96)-1),100),"00")&amp;"-"&amp;TEXT(MOD(IF(MONTH(Sheet1!A96)&gt;=4,YEAR(Sheet1!A96),YEAR(Sheet1!A96)-1)+1,100),"00"),"")</f>
        <v>FY25-26</v>
      </c>
      <c r="B96" s="40" t="str">
        <f>IFERROR("Q"&amp;IF(MONTH(Sheet1!A96)&gt;=4,IF(MONTH(Sheet1!A96)&lt;=6,1,IF(MONTH(Sheet1!A96)&lt;=9,2,3)),4),"")</f>
        <v>Q1</v>
      </c>
      <c r="C96" s="39" t="str">
        <f>IFERROR(Sheet1!C96,0)</f>
        <v>Europe</v>
      </c>
      <c r="D96" s="39" t="str">
        <f>IFERROR(Sheet1!F96,0)</f>
        <v>Poland</v>
      </c>
      <c r="E96" s="39" t="str">
        <f>IFERROR(Sheet1!E96,0)</f>
        <v>Inter Cars S.A., Poland</v>
      </c>
      <c r="F96" s="39" t="str">
        <f>IFERROR(IF(UPPER(TRIM(Sheet1!J96))="NH","Nhava Sheva",IF(UPPER(TRIM(Sheet1!J96))="ICD","ICD Dhannad",IF(UPPER(TRIM(Sheet1!J96))="TIHI","ICD Tihi",Sheet1!J96))),0)</f>
        <v>Nhava Sheva</v>
      </c>
      <c r="G96" s="39" t="str">
        <f>IFERROR(Sheet1!M96,0)</f>
        <v>Gdansk</v>
      </c>
      <c r="H96" s="39" t="str">
        <f>IFERROR(Sheet1!H96,0)</f>
        <v>Master Logitech</v>
      </c>
      <c r="I96" s="39" t="str">
        <f>IFERROR(Sheet1!G96,0)</f>
        <v>FOB</v>
      </c>
      <c r="J96" s="39" t="str">
        <f>IFERROR(Sheet1!K96,0)</f>
        <v>Maersk</v>
      </c>
      <c r="K96" s="41">
        <f>IFERROR(Sheet1!A96,0)</f>
        <v>45838</v>
      </c>
      <c r="L96" s="41">
        <f>IFERROR(Sheet1!I96,0)</f>
        <v>45836</v>
      </c>
      <c r="M96" s="41">
        <f>IFERROR(Sheet1!P96,0)</f>
        <v>45838</v>
      </c>
      <c r="N96" s="42">
        <f>IFERROR(IF(ISNUMBER(Sheet1!N96),Sheet1!N96,0),0)</f>
        <v>0</v>
      </c>
      <c r="O96" s="42">
        <f>IFERROR(IF(TRIM(F96)="Nhava Sheva",SUMPRODUCT((UPPER(TRIM('Origin Costs'!$A$5:$A$44))=UPPER(TRIM(J96)))*'Origin Costs'!$C$5:$C$44),IF(TRIM(F96)="ICD Tihi",SUMPRODUCT((UPPER(TRIM('Origin Costs'!$A$49:$A$88))=UPPER(TRIM(J96)))*'Origin Costs'!$C$49:$C$88),IF(TRIM(F96)="ICD Dhannad",SUMPRODUCT((UPPER(TRIM('Origin Costs'!$A$93:$A$132))=UPPER(TRIM(J96)))*'Origin Costs'!$C$93:$C$132),0))),0)</f>
        <v>1148.588888888889</v>
      </c>
      <c r="P96" s="42">
        <f t="shared" si="1"/>
        <v>1148.588888888889</v>
      </c>
      <c r="Q96" s="13" t="str">
        <f>IF(OR(Dashboard!$C$4="All Customers",$E96=Dashboard!$C$4),IF($E96="","",$P96+ROW()/10000000),"")</f>
        <v/>
      </c>
    </row>
    <row r="97" spans="1:17" ht="14.25" customHeight="1" x14ac:dyDescent="0.3">
      <c r="A97" s="43" t="str">
        <f>IFERROR("FY"&amp;TEXT(MOD(IF(MONTH(Sheet1!A97)&gt;=4,YEAR(Sheet1!A97),YEAR(Sheet1!A97)-1),100),"00")&amp;"-"&amp;TEXT(MOD(IF(MONTH(Sheet1!A97)&gt;=4,YEAR(Sheet1!A97),YEAR(Sheet1!A97)-1)+1,100),"00"),"")</f>
        <v>FY25-26</v>
      </c>
      <c r="B97" s="44" t="str">
        <f>IFERROR("Q"&amp;IF(MONTH(Sheet1!A97)&gt;=4,IF(MONTH(Sheet1!A97)&lt;=6,1,IF(MONTH(Sheet1!A97)&lt;=9,2,3)),4),"")</f>
        <v>Q1</v>
      </c>
      <c r="C97" s="43" t="str">
        <f>IFERROR(Sheet1!C97,0)</f>
        <v>Europe</v>
      </c>
      <c r="D97" s="43" t="str">
        <f>IFERROR(Sheet1!F97,0)</f>
        <v>Poland</v>
      </c>
      <c r="E97" s="43" t="str">
        <f>IFERROR(Sheet1!E97,0)</f>
        <v>Inter Cars S.A., Poland</v>
      </c>
      <c r="F97" s="43" t="str">
        <f>IFERROR(IF(UPPER(TRIM(Sheet1!J97))="NH","Nhava Sheva",IF(UPPER(TRIM(Sheet1!J97))="ICD","ICD Dhannad",IF(UPPER(TRIM(Sheet1!J97))="TIHI","ICD Tihi",Sheet1!J97))),0)</f>
        <v>Nhava Sheva</v>
      </c>
      <c r="G97" s="43" t="str">
        <f>IFERROR(Sheet1!M97,0)</f>
        <v>Gdansk</v>
      </c>
      <c r="H97" s="43" t="str">
        <f>IFERROR(Sheet1!H97,0)</f>
        <v>Master Logitech</v>
      </c>
      <c r="I97" s="43" t="str">
        <f>IFERROR(Sheet1!G97,0)</f>
        <v>FOB</v>
      </c>
      <c r="J97" s="43" t="str">
        <f>IFERROR(Sheet1!K97,0)</f>
        <v>Maersk</v>
      </c>
      <c r="K97" s="45">
        <f>IFERROR(Sheet1!A97,0)</f>
        <v>45838</v>
      </c>
      <c r="L97" s="45">
        <f>IFERROR(Sheet1!I97,0)</f>
        <v>45836</v>
      </c>
      <c r="M97" s="45">
        <f>IFERROR(Sheet1!P97,0)</f>
        <v>45838</v>
      </c>
      <c r="N97" s="46">
        <f>IFERROR(IF(ISNUMBER(Sheet1!N97),Sheet1!N97,0),0)</f>
        <v>0</v>
      </c>
      <c r="O97" s="46">
        <f>IFERROR(IF(TRIM(F97)="Nhava Sheva",SUMPRODUCT((UPPER(TRIM('Origin Costs'!$A$5:$A$44))=UPPER(TRIM(J97)))*'Origin Costs'!$C$5:$C$44),IF(TRIM(F97)="ICD Tihi",SUMPRODUCT((UPPER(TRIM('Origin Costs'!$A$49:$A$88))=UPPER(TRIM(J97)))*'Origin Costs'!$C$49:$C$88),IF(TRIM(F97)="ICD Dhannad",SUMPRODUCT((UPPER(TRIM('Origin Costs'!$A$93:$A$132))=UPPER(TRIM(J97)))*'Origin Costs'!$C$93:$C$132),0))),0)</f>
        <v>1148.588888888889</v>
      </c>
      <c r="P97" s="46">
        <f t="shared" si="1"/>
        <v>1148.588888888889</v>
      </c>
      <c r="Q97" s="13" t="str">
        <f>IF(OR(Dashboard!$C$4="All Customers",$E97=Dashboard!$C$4),IF($E97="","",$P97+ROW()/10000000),"")</f>
        <v/>
      </c>
    </row>
    <row r="98" spans="1:17" ht="14.25" customHeight="1" x14ac:dyDescent="0.3">
      <c r="A98" s="39" t="str">
        <f>IFERROR("FY"&amp;TEXT(MOD(IF(MONTH(Sheet1!A98)&gt;=4,YEAR(Sheet1!A98),YEAR(Sheet1!A98)-1),100),"00")&amp;"-"&amp;TEXT(MOD(IF(MONTH(Sheet1!A98)&gt;=4,YEAR(Sheet1!A98),YEAR(Sheet1!A98)-1)+1,100),"00"),"")</f>
        <v>FY25-26</v>
      </c>
      <c r="B98" s="40" t="str">
        <f>IFERROR("Q"&amp;IF(MONTH(Sheet1!A98)&gt;=4,IF(MONTH(Sheet1!A98)&lt;=6,1,IF(MONTH(Sheet1!A98)&lt;=9,2,3)),4),"")</f>
        <v>Q1</v>
      </c>
      <c r="C98" s="39" t="str">
        <f>IFERROR(Sheet1!C98,0)</f>
        <v>Europe</v>
      </c>
      <c r="D98" s="39" t="str">
        <f>IFERROR(Sheet1!F98,0)</f>
        <v>Poland</v>
      </c>
      <c r="E98" s="39" t="str">
        <f>IFERROR(Sheet1!E98,0)</f>
        <v>Inter Cars S.A., Poland</v>
      </c>
      <c r="F98" s="39" t="str">
        <f>IFERROR(IF(UPPER(TRIM(Sheet1!J98))="NH","Nhava Sheva",IF(UPPER(TRIM(Sheet1!J98))="ICD","ICD Dhannad",IF(UPPER(TRIM(Sheet1!J98))="TIHI","ICD Tihi",Sheet1!J98))),0)</f>
        <v>Nhava Sheva</v>
      </c>
      <c r="G98" s="39" t="str">
        <f>IFERROR(Sheet1!M98,0)</f>
        <v>Gdansk</v>
      </c>
      <c r="H98" s="39" t="str">
        <f>IFERROR(Sheet1!H98,0)</f>
        <v>Master Logitech</v>
      </c>
      <c r="I98" s="39" t="str">
        <f>IFERROR(Sheet1!G98,0)</f>
        <v>FOB</v>
      </c>
      <c r="J98" s="39" t="str">
        <f>IFERROR(Sheet1!K98,0)</f>
        <v>Maersk</v>
      </c>
      <c r="K98" s="41">
        <f>IFERROR(Sheet1!A98,0)</f>
        <v>45838</v>
      </c>
      <c r="L98" s="41">
        <f>IFERROR(Sheet1!I98,0)</f>
        <v>45836</v>
      </c>
      <c r="M98" s="41">
        <f>IFERROR(Sheet1!P98,0)</f>
        <v>45838</v>
      </c>
      <c r="N98" s="42">
        <f>IFERROR(IF(ISNUMBER(Sheet1!N98),Sheet1!N98,0),0)</f>
        <v>0</v>
      </c>
      <c r="O98" s="42">
        <f>IFERROR(IF(TRIM(F98)="Nhava Sheva",SUMPRODUCT((UPPER(TRIM('Origin Costs'!$A$5:$A$44))=UPPER(TRIM(J98)))*'Origin Costs'!$C$5:$C$44),IF(TRIM(F98)="ICD Tihi",SUMPRODUCT((UPPER(TRIM('Origin Costs'!$A$49:$A$88))=UPPER(TRIM(J98)))*'Origin Costs'!$C$49:$C$88),IF(TRIM(F98)="ICD Dhannad",SUMPRODUCT((UPPER(TRIM('Origin Costs'!$A$93:$A$132))=UPPER(TRIM(J98)))*'Origin Costs'!$C$93:$C$132),0))),0)</f>
        <v>1148.588888888889</v>
      </c>
      <c r="P98" s="42">
        <f t="shared" si="1"/>
        <v>1148.588888888889</v>
      </c>
      <c r="Q98" s="13" t="str">
        <f>IF(OR(Dashboard!$C$4="All Customers",$E98=Dashboard!$C$4),IF($E98="","",$P98+ROW()/10000000),"")</f>
        <v/>
      </c>
    </row>
    <row r="99" spans="1:17" ht="14.25" customHeight="1" x14ac:dyDescent="0.3">
      <c r="A99" s="43" t="str">
        <f>IFERROR("FY"&amp;TEXT(MOD(IF(MONTH(Sheet1!A99)&gt;=4,YEAR(Sheet1!A99),YEAR(Sheet1!A99)-1),100),"00")&amp;"-"&amp;TEXT(MOD(IF(MONTH(Sheet1!A99)&gt;=4,YEAR(Sheet1!A99),YEAR(Sheet1!A99)-1)+1,100),"00"),"")</f>
        <v>FY25-26</v>
      </c>
      <c r="B99" s="44" t="str">
        <f>IFERROR("Q"&amp;IF(MONTH(Sheet1!A99)&gt;=4,IF(MONTH(Sheet1!A99)&lt;=6,1,IF(MONTH(Sheet1!A99)&lt;=9,2,3)),4),"")</f>
        <v>Q2</v>
      </c>
      <c r="C99" s="43" t="str">
        <f>IFERROR(Sheet1!C99,0)</f>
        <v>S.A</v>
      </c>
      <c r="D99" s="43" t="str">
        <f>IFERROR(Sheet1!F99,0)</f>
        <v>Brazil</v>
      </c>
      <c r="E99" s="43" t="str">
        <f>IFERROR(Sheet1!E99,0)</f>
        <v>CPX DISTRIBUIDORA S/A-Navegantes</v>
      </c>
      <c r="F99" s="43" t="str">
        <f>IFERROR(IF(UPPER(TRIM(Sheet1!J99))="NH","Nhava Sheva",IF(UPPER(TRIM(Sheet1!J99))="ICD","ICD Dhannad",IF(UPPER(TRIM(Sheet1!J99))="TIHI","ICD Tihi",Sheet1!J99))),0)</f>
        <v>Nhava Sheva</v>
      </c>
      <c r="G99" s="43" t="str">
        <f>IFERROR(Sheet1!M99,0)</f>
        <v>Itajai</v>
      </c>
      <c r="H99" s="43" t="str">
        <f>IFERROR(Sheet1!H99,0)</f>
        <v>Skyways Forin</v>
      </c>
      <c r="I99" s="43" t="str">
        <f>IFERROR(Sheet1!G99,0)</f>
        <v>FOB</v>
      </c>
      <c r="J99" s="43" t="str">
        <f>IFERROR(Sheet1!K99,0)</f>
        <v>MSC</v>
      </c>
      <c r="K99" s="45">
        <f>IFERROR(Sheet1!A99,0)</f>
        <v>45840</v>
      </c>
      <c r="L99" s="45">
        <f>IFERROR(Sheet1!I99,0)</f>
        <v>45838</v>
      </c>
      <c r="M99" s="47" t="str">
        <f>IFERROR(Sheet1!P99,0)</f>
        <v>NA</v>
      </c>
      <c r="N99" s="46">
        <f>IFERROR(IF(ISNUMBER(Sheet1!N99),Sheet1!N99,0),0)</f>
        <v>0</v>
      </c>
      <c r="O99" s="46">
        <f>IFERROR(IF(TRIM(F99)="Nhava Sheva",SUMPRODUCT((UPPER(TRIM('Origin Costs'!$A$5:$A$44))=UPPER(TRIM(J99)))*'Origin Costs'!$C$5:$C$44),IF(TRIM(F99)="ICD Tihi",SUMPRODUCT((UPPER(TRIM('Origin Costs'!$A$49:$A$88))=UPPER(TRIM(J99)))*'Origin Costs'!$C$49:$C$88),IF(TRIM(F99)="ICD Dhannad",SUMPRODUCT((UPPER(TRIM('Origin Costs'!$A$93:$A$132))=UPPER(TRIM(J99)))*'Origin Costs'!$C$93:$C$132),0))),0)</f>
        <v>1168.8222222222223</v>
      </c>
      <c r="P99" s="46">
        <f t="shared" si="1"/>
        <v>1168.8222222222223</v>
      </c>
      <c r="Q99" s="13" t="str">
        <f>IF(OR(Dashboard!$C$4="All Customers",$E99=Dashboard!$C$4),IF($E99="","",$P99+ROW()/10000000),"")</f>
        <v/>
      </c>
    </row>
    <row r="100" spans="1:17" ht="14.25" customHeight="1" x14ac:dyDescent="0.3">
      <c r="A100" s="39" t="str">
        <f>IFERROR("FY"&amp;TEXT(MOD(IF(MONTH(Sheet1!A100)&gt;=4,YEAR(Sheet1!A100),YEAR(Sheet1!A100)-1),100),"00")&amp;"-"&amp;TEXT(MOD(IF(MONTH(Sheet1!A100)&gt;=4,YEAR(Sheet1!A100),YEAR(Sheet1!A100)-1)+1,100),"00"),"")</f>
        <v>FY25-26</v>
      </c>
      <c r="B100" s="40" t="str">
        <f>IFERROR("Q"&amp;IF(MONTH(Sheet1!A100)&gt;=4,IF(MONTH(Sheet1!A100)&lt;=6,1,IF(MONTH(Sheet1!A100)&lt;=9,2,3)),4),"")</f>
        <v>Q2</v>
      </c>
      <c r="C100" s="39" t="str">
        <f>IFERROR(Sheet1!C100,0)</f>
        <v>Europe</v>
      </c>
      <c r="D100" s="39" t="str">
        <f>IFERROR(Sheet1!F100,0)</f>
        <v>Poland</v>
      </c>
      <c r="E100" s="39" t="str">
        <f>IFERROR(Sheet1!E100,0)</f>
        <v>Inter Cars S.A., Poland</v>
      </c>
      <c r="F100" s="39" t="str">
        <f>IFERROR(IF(UPPER(TRIM(Sheet1!J100))="NH","Nhava Sheva",IF(UPPER(TRIM(Sheet1!J100))="ICD","ICD Dhannad",IF(UPPER(TRIM(Sheet1!J100))="TIHI","ICD Tihi",Sheet1!J100))),0)</f>
        <v>Nhava Sheva</v>
      </c>
      <c r="G100" s="39" t="str">
        <f>IFERROR(Sheet1!M100,0)</f>
        <v>GDYNIA</v>
      </c>
      <c r="H100" s="39" t="str">
        <f>IFERROR(Sheet1!H100,0)</f>
        <v>VR Logistics</v>
      </c>
      <c r="I100" s="39" t="str">
        <f>IFERROR(Sheet1!G100,0)</f>
        <v>FOB</v>
      </c>
      <c r="J100" s="39" t="str">
        <f>IFERROR(Sheet1!K100,0)</f>
        <v>ONE</v>
      </c>
      <c r="K100" s="41">
        <f>IFERROR(Sheet1!A100,0)</f>
        <v>45847</v>
      </c>
      <c r="L100" s="41">
        <f>IFERROR(Sheet1!I100,0)</f>
        <v>45845</v>
      </c>
      <c r="M100" s="47" t="str">
        <f>IFERROR(Sheet1!P100,0)</f>
        <v>NA</v>
      </c>
      <c r="N100" s="42">
        <f>IFERROR(IF(ISNUMBER(Sheet1!N100),Sheet1!N100,0),0)</f>
        <v>0</v>
      </c>
      <c r="O100" s="42">
        <f>IFERROR(IF(TRIM(F100)="Nhava Sheva",SUMPRODUCT((UPPER(TRIM('Origin Costs'!$A$5:$A$44))=UPPER(TRIM(J100)))*'Origin Costs'!$C$5:$C$44),IF(TRIM(F100)="ICD Tihi",SUMPRODUCT((UPPER(TRIM('Origin Costs'!$A$49:$A$88))=UPPER(TRIM(J100)))*'Origin Costs'!$C$49:$C$88),IF(TRIM(F100)="ICD Dhannad",SUMPRODUCT((UPPER(TRIM('Origin Costs'!$A$93:$A$132))=UPPER(TRIM(J100)))*'Origin Costs'!$C$93:$C$132),0))),0)</f>
        <v>1146.5555555555557</v>
      </c>
      <c r="P100" s="42">
        <f t="shared" si="1"/>
        <v>1146.5555555555557</v>
      </c>
      <c r="Q100" s="13" t="str">
        <f>IF(OR(Dashboard!$C$4="All Customers",$E100=Dashboard!$C$4),IF($E100="","",$P100+ROW()/10000000),"")</f>
        <v/>
      </c>
    </row>
    <row r="101" spans="1:17" ht="14.25" customHeight="1" x14ac:dyDescent="0.3">
      <c r="A101" s="43" t="str">
        <f>IFERROR("FY"&amp;TEXT(MOD(IF(MONTH(Sheet1!A101)&gt;=4,YEAR(Sheet1!A101),YEAR(Sheet1!A101)-1),100),"00")&amp;"-"&amp;TEXT(MOD(IF(MONTH(Sheet1!A101)&gt;=4,YEAR(Sheet1!A101),YEAR(Sheet1!A101)-1)+1,100),"00"),"")</f>
        <v>FY25-26</v>
      </c>
      <c r="B101" s="44" t="str">
        <f>IFERROR("Q"&amp;IF(MONTH(Sheet1!A101)&gt;=4,IF(MONTH(Sheet1!A101)&lt;=6,1,IF(MONTH(Sheet1!A101)&lt;=9,2,3)),4),"")</f>
        <v>Q2</v>
      </c>
      <c r="C101" s="43" t="str">
        <f>IFERROR(Sheet1!C101,0)</f>
        <v>Europe</v>
      </c>
      <c r="D101" s="43" t="str">
        <f>IFERROR(Sheet1!F101,0)</f>
        <v>Poland</v>
      </c>
      <c r="E101" s="43" t="str">
        <f>IFERROR(Sheet1!E101,0)</f>
        <v>Inter Cars S.A., Poland</v>
      </c>
      <c r="F101" s="43" t="str">
        <f>IFERROR(IF(UPPER(TRIM(Sheet1!J101))="NH","Nhava Sheva",IF(UPPER(TRIM(Sheet1!J101))="ICD","ICD Dhannad",IF(UPPER(TRIM(Sheet1!J101))="TIHI","ICD Tihi",Sheet1!J101))),0)</f>
        <v>Nhava Sheva</v>
      </c>
      <c r="G101" s="43" t="str">
        <f>IFERROR(Sheet1!M101,0)</f>
        <v>GDYNIA</v>
      </c>
      <c r="H101" s="43" t="str">
        <f>IFERROR(Sheet1!H101,0)</f>
        <v>VR Logistics</v>
      </c>
      <c r="I101" s="43" t="str">
        <f>IFERROR(Sheet1!G101,0)</f>
        <v>FOB</v>
      </c>
      <c r="J101" s="43" t="str">
        <f>IFERROR(Sheet1!K101,0)</f>
        <v>ONE</v>
      </c>
      <c r="K101" s="45">
        <f>IFERROR(Sheet1!A101,0)</f>
        <v>45847</v>
      </c>
      <c r="L101" s="45">
        <f>IFERROR(Sheet1!I101,0)</f>
        <v>45845</v>
      </c>
      <c r="M101" s="47" t="str">
        <f>IFERROR(Sheet1!P101,0)</f>
        <v>NA</v>
      </c>
      <c r="N101" s="46">
        <f>IFERROR(IF(ISNUMBER(Sheet1!N101),Sheet1!N101,0),0)</f>
        <v>0</v>
      </c>
      <c r="O101" s="46">
        <f>IFERROR(IF(TRIM(F101)="Nhava Sheva",SUMPRODUCT((UPPER(TRIM('Origin Costs'!$A$5:$A$44))=UPPER(TRIM(J101)))*'Origin Costs'!$C$5:$C$44),IF(TRIM(F101)="ICD Tihi",SUMPRODUCT((UPPER(TRIM('Origin Costs'!$A$49:$A$88))=UPPER(TRIM(J101)))*'Origin Costs'!$C$49:$C$88),IF(TRIM(F101)="ICD Dhannad",SUMPRODUCT((UPPER(TRIM('Origin Costs'!$A$93:$A$132))=UPPER(TRIM(J101)))*'Origin Costs'!$C$93:$C$132),0))),0)</f>
        <v>1146.5555555555557</v>
      </c>
      <c r="P101" s="46">
        <f t="shared" si="1"/>
        <v>1146.5555555555557</v>
      </c>
      <c r="Q101" s="13" t="str">
        <f>IF(OR(Dashboard!$C$4="All Customers",$E101=Dashboard!$C$4),IF($E101="","",$P101+ROW()/10000000),"")</f>
        <v/>
      </c>
    </row>
    <row r="102" spans="1:17" ht="14.25" customHeight="1" x14ac:dyDescent="0.3">
      <c r="A102" s="39" t="str">
        <f>IFERROR("FY"&amp;TEXT(MOD(IF(MONTH(Sheet1!A102)&gt;=4,YEAR(Sheet1!A102),YEAR(Sheet1!A102)-1),100),"00")&amp;"-"&amp;TEXT(MOD(IF(MONTH(Sheet1!A102)&gt;=4,YEAR(Sheet1!A102),YEAR(Sheet1!A102)-1)+1,100),"00"),"")</f>
        <v>FY25-26</v>
      </c>
      <c r="B102" s="40" t="str">
        <f>IFERROR("Q"&amp;IF(MONTH(Sheet1!A102)&gt;=4,IF(MONTH(Sheet1!A102)&lt;=6,1,IF(MONTH(Sheet1!A102)&lt;=9,2,3)),4),"")</f>
        <v>Q2</v>
      </c>
      <c r="C102" s="39" t="str">
        <f>IFERROR(Sheet1!C102,0)</f>
        <v>Europe</v>
      </c>
      <c r="D102" s="39" t="str">
        <f>IFERROR(Sheet1!F102,0)</f>
        <v>Poland</v>
      </c>
      <c r="E102" s="39" t="str">
        <f>IFERROR(Sheet1!E102,0)</f>
        <v>Inter Cars S.A., Poland</v>
      </c>
      <c r="F102" s="39" t="str">
        <f>IFERROR(IF(UPPER(TRIM(Sheet1!J102))="NH","Nhava Sheva",IF(UPPER(TRIM(Sheet1!J102))="ICD","ICD Dhannad",IF(UPPER(TRIM(Sheet1!J102))="TIHI","ICD Tihi",Sheet1!J102))),0)</f>
        <v>Nhava Sheva</v>
      </c>
      <c r="G102" s="39" t="str">
        <f>IFERROR(Sheet1!M102,0)</f>
        <v>GDYNIA</v>
      </c>
      <c r="H102" s="39" t="str">
        <f>IFERROR(Sheet1!H102,0)</f>
        <v>VR Logistics</v>
      </c>
      <c r="I102" s="39" t="str">
        <f>IFERROR(Sheet1!G102,0)</f>
        <v>FOB</v>
      </c>
      <c r="J102" s="39" t="str">
        <f>IFERROR(Sheet1!K102,0)</f>
        <v>ONE</v>
      </c>
      <c r="K102" s="41">
        <f>IFERROR(Sheet1!A102,0)</f>
        <v>45847</v>
      </c>
      <c r="L102" s="41">
        <f>IFERROR(Sheet1!I102,0)</f>
        <v>45845</v>
      </c>
      <c r="M102" s="47" t="str">
        <f>IFERROR(Sheet1!P102,0)</f>
        <v>NA</v>
      </c>
      <c r="N102" s="42">
        <f>IFERROR(IF(ISNUMBER(Sheet1!N102),Sheet1!N102,0),0)</f>
        <v>0</v>
      </c>
      <c r="O102" s="42">
        <f>IFERROR(IF(TRIM(F102)="Nhava Sheva",SUMPRODUCT((UPPER(TRIM('Origin Costs'!$A$5:$A$44))=UPPER(TRIM(J102)))*'Origin Costs'!$C$5:$C$44),IF(TRIM(F102)="ICD Tihi",SUMPRODUCT((UPPER(TRIM('Origin Costs'!$A$49:$A$88))=UPPER(TRIM(J102)))*'Origin Costs'!$C$49:$C$88),IF(TRIM(F102)="ICD Dhannad",SUMPRODUCT((UPPER(TRIM('Origin Costs'!$A$93:$A$132))=UPPER(TRIM(J102)))*'Origin Costs'!$C$93:$C$132),0))),0)</f>
        <v>1146.5555555555557</v>
      </c>
      <c r="P102" s="42">
        <f t="shared" si="1"/>
        <v>1146.5555555555557</v>
      </c>
      <c r="Q102" s="13" t="str">
        <f>IF(OR(Dashboard!$C$4="All Customers",$E102=Dashboard!$C$4),IF($E102="","",$P102+ROW()/10000000),"")</f>
        <v/>
      </c>
    </row>
    <row r="103" spans="1:17" ht="14.25" customHeight="1" x14ac:dyDescent="0.3">
      <c r="A103" s="43" t="str">
        <f>IFERROR("FY"&amp;TEXT(MOD(IF(MONTH(Sheet1!A103)&gt;=4,YEAR(Sheet1!A103),YEAR(Sheet1!A103)-1),100),"00")&amp;"-"&amp;TEXT(MOD(IF(MONTH(Sheet1!A103)&gt;=4,YEAR(Sheet1!A103),YEAR(Sheet1!A103)-1)+1,100),"00"),"")</f>
        <v>FY25-26</v>
      </c>
      <c r="B103" s="44" t="str">
        <f>IFERROR("Q"&amp;IF(MONTH(Sheet1!A103)&gt;=4,IF(MONTH(Sheet1!A103)&lt;=6,1,IF(MONTH(Sheet1!A103)&lt;=9,2,3)),4),"")</f>
        <v>Q2</v>
      </c>
      <c r="C103" s="43" t="str">
        <f>IFERROR(Sheet1!C103,0)</f>
        <v>Europe</v>
      </c>
      <c r="D103" s="43" t="str">
        <f>IFERROR(Sheet1!F103,0)</f>
        <v>Romania</v>
      </c>
      <c r="E103" s="43" t="str">
        <f>IFERROR(Sheet1!E103,0)</f>
        <v>Inter Cars Romania Srl</v>
      </c>
      <c r="F103" s="43" t="str">
        <f>IFERROR(IF(UPPER(TRIM(Sheet1!J103))="NH","Nhava Sheva",IF(UPPER(TRIM(Sheet1!J103))="ICD","ICD Dhannad",IF(UPPER(TRIM(Sheet1!J103))="TIHI","ICD Tihi",Sheet1!J103))),0)</f>
        <v>ICD Dhannad</v>
      </c>
      <c r="G103" s="43" t="str">
        <f>IFERROR(Sheet1!M103,0)</f>
        <v>Constanta</v>
      </c>
      <c r="H103" s="43" t="str">
        <f>IFERROR(Sheet1!H103,0)</f>
        <v>DSV</v>
      </c>
      <c r="I103" s="43" t="str">
        <f>IFERROR(Sheet1!G103,0)</f>
        <v>FOB</v>
      </c>
      <c r="J103" s="43" t="str">
        <f>IFERROR(Sheet1!K103,0)</f>
        <v>CMA</v>
      </c>
      <c r="K103" s="45">
        <f>IFERROR(Sheet1!A103,0)</f>
        <v>45849</v>
      </c>
      <c r="L103" s="45">
        <f>IFERROR(Sheet1!I103,0)</f>
        <v>45849</v>
      </c>
      <c r="M103" s="47" t="str">
        <f>IFERROR(Sheet1!P103,0)</f>
        <v>NA</v>
      </c>
      <c r="N103" s="46">
        <f>IFERROR(IF(ISNUMBER(Sheet1!N103),Sheet1!N103,0),0)</f>
        <v>0</v>
      </c>
      <c r="O103" s="46">
        <f>IFERROR(IF(TRIM(F103)="Nhava Sheva",SUMPRODUCT((UPPER(TRIM('Origin Costs'!$A$5:$A$44))=UPPER(TRIM(J103)))*'Origin Costs'!$C$5:$C$44),IF(TRIM(F103)="ICD Tihi",SUMPRODUCT((UPPER(TRIM('Origin Costs'!$A$49:$A$88))=UPPER(TRIM(J103)))*'Origin Costs'!$C$49:$C$88),IF(TRIM(F103)="ICD Dhannad",SUMPRODUCT((UPPER(TRIM('Origin Costs'!$A$93:$A$132))=UPPER(TRIM(J103)))*'Origin Costs'!$C$93:$C$132),0))),0)</f>
        <v>0</v>
      </c>
      <c r="P103" s="46">
        <f t="shared" si="1"/>
        <v>0</v>
      </c>
      <c r="Q103" s="13" t="str">
        <f>IF(OR(Dashboard!$C$4="All Customers",$E103=Dashboard!$C$4),IF($E103="","",$P103+ROW()/10000000),"")</f>
        <v/>
      </c>
    </row>
    <row r="104" spans="1:17" ht="14.25" customHeight="1" x14ac:dyDescent="0.3">
      <c r="A104" s="39" t="str">
        <f>IFERROR("FY"&amp;TEXT(MOD(IF(MONTH(Sheet1!A104)&gt;=4,YEAR(Sheet1!A104),YEAR(Sheet1!A104)-1),100),"00")&amp;"-"&amp;TEXT(MOD(IF(MONTH(Sheet1!A104)&gt;=4,YEAR(Sheet1!A104),YEAR(Sheet1!A104)-1)+1,100),"00"),"")</f>
        <v>FY25-26</v>
      </c>
      <c r="B104" s="40" t="str">
        <f>IFERROR("Q"&amp;IF(MONTH(Sheet1!A104)&gt;=4,IF(MONTH(Sheet1!A104)&lt;=6,1,IF(MONTH(Sheet1!A104)&lt;=9,2,3)),4),"")</f>
        <v>Q2</v>
      </c>
      <c r="C104" s="39" t="str">
        <f>IFERROR(Sheet1!C104,0)</f>
        <v>Europe</v>
      </c>
      <c r="D104" s="39" t="str">
        <f>IFERROR(Sheet1!F104,0)</f>
        <v>Romania</v>
      </c>
      <c r="E104" s="39" t="str">
        <f>IFERROR(Sheet1!E104,0)</f>
        <v>Inter Cars Romania Srl</v>
      </c>
      <c r="F104" s="39" t="str">
        <f>IFERROR(IF(UPPER(TRIM(Sheet1!J104))="NH","Nhava Sheva",IF(UPPER(TRIM(Sheet1!J104))="ICD","ICD Dhannad",IF(UPPER(TRIM(Sheet1!J104))="TIHI","ICD Tihi",Sheet1!J104))),0)</f>
        <v>ICD Dhannad</v>
      </c>
      <c r="G104" s="39" t="str">
        <f>IFERROR(Sheet1!M104,0)</f>
        <v>Constanta</v>
      </c>
      <c r="H104" s="39" t="str">
        <f>IFERROR(Sheet1!H104,0)</f>
        <v>DSV</v>
      </c>
      <c r="I104" s="39" t="str">
        <f>IFERROR(Sheet1!G104,0)</f>
        <v>FOB</v>
      </c>
      <c r="J104" s="39" t="str">
        <f>IFERROR(Sheet1!K104,0)</f>
        <v>CMA</v>
      </c>
      <c r="K104" s="41">
        <f>IFERROR(Sheet1!A104,0)</f>
        <v>45849</v>
      </c>
      <c r="L104" s="41">
        <f>IFERROR(Sheet1!I104,0)</f>
        <v>45849</v>
      </c>
      <c r="M104" s="47" t="str">
        <f>IFERROR(Sheet1!P104,0)</f>
        <v>NA</v>
      </c>
      <c r="N104" s="42">
        <f>IFERROR(IF(ISNUMBER(Sheet1!N104),Sheet1!N104,0),0)</f>
        <v>0</v>
      </c>
      <c r="O104" s="42">
        <f>IFERROR(IF(TRIM(F104)="Nhava Sheva",SUMPRODUCT((UPPER(TRIM('Origin Costs'!$A$5:$A$44))=UPPER(TRIM(J104)))*'Origin Costs'!$C$5:$C$44),IF(TRIM(F104)="ICD Tihi",SUMPRODUCT((UPPER(TRIM('Origin Costs'!$A$49:$A$88))=UPPER(TRIM(J104)))*'Origin Costs'!$C$49:$C$88),IF(TRIM(F104)="ICD Dhannad",SUMPRODUCT((UPPER(TRIM('Origin Costs'!$A$93:$A$132))=UPPER(TRIM(J104)))*'Origin Costs'!$C$93:$C$132),0))),0)</f>
        <v>0</v>
      </c>
      <c r="P104" s="42">
        <f t="shared" si="1"/>
        <v>0</v>
      </c>
      <c r="Q104" s="13" t="str">
        <f>IF(OR(Dashboard!$C$4="All Customers",$E104=Dashboard!$C$4),IF($E104="","",$P104+ROW()/10000000),"")</f>
        <v/>
      </c>
    </row>
    <row r="105" spans="1:17" ht="14.25" customHeight="1" x14ac:dyDescent="0.3">
      <c r="A105" s="43" t="str">
        <f>IFERROR("FY"&amp;TEXT(MOD(IF(MONTH(Sheet1!A105)&gt;=4,YEAR(Sheet1!A105),YEAR(Sheet1!A105)-1),100),"00")&amp;"-"&amp;TEXT(MOD(IF(MONTH(Sheet1!A105)&gt;=4,YEAR(Sheet1!A105),YEAR(Sheet1!A105)-1)+1,100),"00"),"")</f>
        <v>FY25-26</v>
      </c>
      <c r="B105" s="44" t="str">
        <f>IFERROR("Q"&amp;IF(MONTH(Sheet1!A105)&gt;=4,IF(MONTH(Sheet1!A105)&lt;=6,1,IF(MONTH(Sheet1!A105)&lt;=9,2,3)),4),"")</f>
        <v>Q2</v>
      </c>
      <c r="C105" s="43" t="str">
        <f>IFERROR(Sheet1!C105,0)</f>
        <v>Europe</v>
      </c>
      <c r="D105" s="43" t="str">
        <f>IFERROR(Sheet1!F105,0)</f>
        <v>Latvija</v>
      </c>
      <c r="E105" s="43" t="str">
        <f>IFERROR(Sheet1!E105,0)</f>
        <v>SIA Inter Cars Latvija</v>
      </c>
      <c r="F105" s="43" t="str">
        <f>IFERROR(IF(UPPER(TRIM(Sheet1!J105))="NH","Nhava Sheva",IF(UPPER(TRIM(Sheet1!J105))="ICD","ICD Dhannad",IF(UPPER(TRIM(Sheet1!J105))="TIHI","ICD Tihi",Sheet1!J105))),0)</f>
        <v>Nhava Sheva</v>
      </c>
      <c r="G105" s="43" t="str">
        <f>IFERROR(Sheet1!M105,0)</f>
        <v>RIGA</v>
      </c>
      <c r="H105" s="43" t="str">
        <f>IFERROR(Sheet1!H105,0)</f>
        <v>DHL Logistics</v>
      </c>
      <c r="I105" s="43" t="str">
        <f>IFERROR(Sheet1!G105,0)</f>
        <v>FOB</v>
      </c>
      <c r="J105" s="43" t="str">
        <f>IFERROR(Sheet1!K105,0)</f>
        <v>Hapag</v>
      </c>
      <c r="K105" s="45">
        <f>IFERROR(Sheet1!A105,0)</f>
        <v>45849</v>
      </c>
      <c r="L105" s="45">
        <f>IFERROR(Sheet1!I105,0)</f>
        <v>45847</v>
      </c>
      <c r="M105" s="47" t="str">
        <f>IFERROR(Sheet1!P105,0)</f>
        <v>NA</v>
      </c>
      <c r="N105" s="46">
        <f>IFERROR(IF(ISNUMBER(Sheet1!N105),Sheet1!N105,0),0)</f>
        <v>0</v>
      </c>
      <c r="O105" s="46">
        <f>IFERROR(IF(TRIM(F105)="Nhava Sheva",SUMPRODUCT((UPPER(TRIM('Origin Costs'!$A$5:$A$44))=UPPER(TRIM(J105)))*'Origin Costs'!$C$5:$C$44),IF(TRIM(F105)="ICD Tihi",SUMPRODUCT((UPPER(TRIM('Origin Costs'!$A$49:$A$88))=UPPER(TRIM(J105)))*'Origin Costs'!$C$49:$C$88),IF(TRIM(F105)="ICD Dhannad",SUMPRODUCT((UPPER(TRIM('Origin Costs'!$A$93:$A$132))=UPPER(TRIM(J105)))*'Origin Costs'!$C$93:$C$132),0))),0)</f>
        <v>1192.9777777777779</v>
      </c>
      <c r="P105" s="46">
        <f t="shared" si="1"/>
        <v>1192.9777777777779</v>
      </c>
      <c r="Q105" s="13" t="str">
        <f>IF(OR(Dashboard!$C$4="All Customers",$E105=Dashboard!$C$4),IF($E105="","",$P105+ROW()/10000000),"")</f>
        <v/>
      </c>
    </row>
    <row r="106" spans="1:17" ht="14.25" customHeight="1" x14ac:dyDescent="0.3">
      <c r="A106" s="39" t="str">
        <f>IFERROR("FY"&amp;TEXT(MOD(IF(MONTH(Sheet1!A106)&gt;=4,YEAR(Sheet1!A106),YEAR(Sheet1!A106)-1),100),"00")&amp;"-"&amp;TEXT(MOD(IF(MONTH(Sheet1!A106)&gt;=4,YEAR(Sheet1!A106),YEAR(Sheet1!A106)-1)+1,100),"00"),"")</f>
        <v>FY25-26</v>
      </c>
      <c r="B106" s="40" t="str">
        <f>IFERROR("Q"&amp;IF(MONTH(Sheet1!A106)&gt;=4,IF(MONTH(Sheet1!A106)&lt;=6,1,IF(MONTH(Sheet1!A106)&lt;=9,2,3)),4),"")</f>
        <v>Q2</v>
      </c>
      <c r="C106" s="39" t="str">
        <f>IFERROR(Sheet1!C106,0)</f>
        <v>Europe</v>
      </c>
      <c r="D106" s="39" t="str">
        <f>IFERROR(Sheet1!F106,0)</f>
        <v>Latvija</v>
      </c>
      <c r="E106" s="39" t="str">
        <f>IFERROR(Sheet1!E106,0)</f>
        <v>SIA Inter Cars Latvija</v>
      </c>
      <c r="F106" s="39" t="str">
        <f>IFERROR(IF(UPPER(TRIM(Sheet1!J106))="NH","Nhava Sheva",IF(UPPER(TRIM(Sheet1!J106))="ICD","ICD Dhannad",IF(UPPER(TRIM(Sheet1!J106))="TIHI","ICD Tihi",Sheet1!J106))),0)</f>
        <v>Nhava Sheva</v>
      </c>
      <c r="G106" s="39" t="str">
        <f>IFERROR(Sheet1!M106,0)</f>
        <v>RIGA</v>
      </c>
      <c r="H106" s="39" t="str">
        <f>IFERROR(Sheet1!H106,0)</f>
        <v>DHL Logistics</v>
      </c>
      <c r="I106" s="39" t="str">
        <f>IFERROR(Sheet1!G106,0)</f>
        <v>FOB</v>
      </c>
      <c r="J106" s="39" t="str">
        <f>IFERROR(Sheet1!K106,0)</f>
        <v>Hapag</v>
      </c>
      <c r="K106" s="41">
        <f>IFERROR(Sheet1!A106,0)</f>
        <v>45849</v>
      </c>
      <c r="L106" s="41">
        <f>IFERROR(Sheet1!I106,0)</f>
        <v>45847</v>
      </c>
      <c r="M106" s="47" t="str">
        <f>IFERROR(Sheet1!P106,0)</f>
        <v>NA</v>
      </c>
      <c r="N106" s="42">
        <f>IFERROR(IF(ISNUMBER(Sheet1!N106),Sheet1!N106,0),0)</f>
        <v>0</v>
      </c>
      <c r="O106" s="42">
        <f>IFERROR(IF(TRIM(F106)="Nhava Sheva",SUMPRODUCT((UPPER(TRIM('Origin Costs'!$A$5:$A$44))=UPPER(TRIM(J106)))*'Origin Costs'!$C$5:$C$44),IF(TRIM(F106)="ICD Tihi",SUMPRODUCT((UPPER(TRIM('Origin Costs'!$A$49:$A$88))=UPPER(TRIM(J106)))*'Origin Costs'!$C$49:$C$88),IF(TRIM(F106)="ICD Dhannad",SUMPRODUCT((UPPER(TRIM('Origin Costs'!$A$93:$A$132))=UPPER(TRIM(J106)))*'Origin Costs'!$C$93:$C$132),0))),0)</f>
        <v>1192.9777777777779</v>
      </c>
      <c r="P106" s="42">
        <f t="shared" si="1"/>
        <v>1192.9777777777779</v>
      </c>
      <c r="Q106" s="13" t="str">
        <f>IF(OR(Dashboard!$C$4="All Customers",$E106=Dashboard!$C$4),IF($E106="","",$P106+ROW()/10000000),"")</f>
        <v/>
      </c>
    </row>
    <row r="107" spans="1:17" ht="14.25" customHeight="1" x14ac:dyDescent="0.3">
      <c r="A107" s="43" t="str">
        <f>IFERROR("FY"&amp;TEXT(MOD(IF(MONTH(Sheet1!A107)&gt;=4,YEAR(Sheet1!A107),YEAR(Sheet1!A107)-1),100),"00")&amp;"-"&amp;TEXT(MOD(IF(MONTH(Sheet1!A107)&gt;=4,YEAR(Sheet1!A107),YEAR(Sheet1!A107)-1)+1,100),"00"),"")</f>
        <v>FY25-26</v>
      </c>
      <c r="B107" s="44" t="str">
        <f>IFERROR("Q"&amp;IF(MONTH(Sheet1!A107)&gt;=4,IF(MONTH(Sheet1!A107)&lt;=6,1,IF(MONTH(Sheet1!A107)&lt;=9,2,3)),4),"")</f>
        <v>Q2</v>
      </c>
      <c r="C107" s="43" t="str">
        <f>IFERROR(Sheet1!C107,0)</f>
        <v>MEA</v>
      </c>
      <c r="D107" s="43" t="str">
        <f>IFERROR(Sheet1!F107,0)</f>
        <v>South Africa</v>
      </c>
      <c r="E107" s="43" t="str">
        <f>IFERROR(Sheet1!E107,0)</f>
        <v>Vaal Tyre Centre Holdings (Pty) Ltd-S.A</v>
      </c>
      <c r="F107" s="43" t="str">
        <f>IFERROR(IF(UPPER(TRIM(Sheet1!J107))="NH","Nhava Sheva",IF(UPPER(TRIM(Sheet1!J107))="ICD","ICD Dhannad",IF(UPPER(TRIM(Sheet1!J107))="TIHI","ICD Tihi",Sheet1!J107))),0)</f>
        <v>ICD Dhannad</v>
      </c>
      <c r="G107" s="43" t="str">
        <f>IFERROR(Sheet1!M107,0)</f>
        <v>Durban</v>
      </c>
      <c r="H107" s="43" t="str">
        <f>IFERROR(Sheet1!H107,0)</f>
        <v>Sevenseas Global</v>
      </c>
      <c r="I107" s="43" t="str">
        <f>IFERROR(Sheet1!G107,0)</f>
        <v>CIF</v>
      </c>
      <c r="J107" s="43" t="str">
        <f>IFERROR(Sheet1!K107,0)</f>
        <v>Maersk</v>
      </c>
      <c r="K107" s="45">
        <f>IFERROR(Sheet1!A107,0)</f>
        <v>45851</v>
      </c>
      <c r="L107" s="45">
        <f>IFERROR(Sheet1!I107,0)</f>
        <v>45851</v>
      </c>
      <c r="M107" s="47" t="str">
        <f>IFERROR(Sheet1!P107,0)</f>
        <v>NA</v>
      </c>
      <c r="N107" s="46">
        <f>IFERROR(IF(ISNUMBER(Sheet1!N107),Sheet1!N107,0),0)</f>
        <v>695</v>
      </c>
      <c r="O107" s="46">
        <f>IFERROR(IF(TRIM(F107)="Nhava Sheva",SUMPRODUCT((UPPER(TRIM('Origin Costs'!$A$5:$A$44))=UPPER(TRIM(J107)))*'Origin Costs'!$C$5:$C$44),IF(TRIM(F107)="ICD Tihi",SUMPRODUCT((UPPER(TRIM('Origin Costs'!$A$49:$A$88))=UPPER(TRIM(J107)))*'Origin Costs'!$C$49:$C$88),IF(TRIM(F107)="ICD Dhannad",SUMPRODUCT((UPPER(TRIM('Origin Costs'!$A$93:$A$132))=UPPER(TRIM(J107)))*'Origin Costs'!$C$93:$C$132),0))),0)</f>
        <v>0</v>
      </c>
      <c r="P107" s="46">
        <f t="shared" si="1"/>
        <v>695</v>
      </c>
      <c r="Q107" s="13" t="str">
        <f>IF(OR(Dashboard!$C$4="All Customers",$E107=Dashboard!$C$4),IF($E107="","",$P107+ROW()/10000000),"")</f>
        <v/>
      </c>
    </row>
    <row r="108" spans="1:17" ht="14.25" customHeight="1" x14ac:dyDescent="0.3">
      <c r="A108" s="39" t="str">
        <f>IFERROR("FY"&amp;TEXT(MOD(IF(MONTH(Sheet1!A108)&gt;=4,YEAR(Sheet1!A108),YEAR(Sheet1!A108)-1),100),"00")&amp;"-"&amp;TEXT(MOD(IF(MONTH(Sheet1!A108)&gt;=4,YEAR(Sheet1!A108),YEAR(Sheet1!A108)-1)+1,100),"00"),"")</f>
        <v>FY25-26</v>
      </c>
      <c r="B108" s="40" t="str">
        <f>IFERROR("Q"&amp;IF(MONTH(Sheet1!A108)&gt;=4,IF(MONTH(Sheet1!A108)&lt;=6,1,IF(MONTH(Sheet1!A108)&lt;=9,2,3)),4),"")</f>
        <v>Q2</v>
      </c>
      <c r="C108" s="39" t="str">
        <f>IFERROR(Sheet1!C108,0)</f>
        <v>Europe</v>
      </c>
      <c r="D108" s="39" t="str">
        <f>IFERROR(Sheet1!F108,0)</f>
        <v>UK</v>
      </c>
      <c r="E108" s="39" t="str">
        <f>IFERROR(Sheet1!E108,0)</f>
        <v>BA Bush Tyres</v>
      </c>
      <c r="F108" s="39" t="str">
        <f>IFERROR(IF(UPPER(TRIM(Sheet1!J108))="NH","Nhava Sheva",IF(UPPER(TRIM(Sheet1!J108))="ICD","ICD Dhannad",IF(UPPER(TRIM(Sheet1!J108))="TIHI","ICD Tihi",Sheet1!J108))),0)</f>
        <v>Nhava Sheva</v>
      </c>
      <c r="G108" s="39" t="str">
        <f>IFERROR(Sheet1!M108,0)</f>
        <v>London Gateway</v>
      </c>
      <c r="H108" s="39" t="str">
        <f>IFERROR(Sheet1!H108,0)</f>
        <v>Sevenseas Global</v>
      </c>
      <c r="I108" s="39" t="str">
        <f>IFERROR(Sheet1!G108,0)</f>
        <v>CIF</v>
      </c>
      <c r="J108" s="39" t="str">
        <f>IFERROR(Sheet1!K108,0)</f>
        <v>Maersk</v>
      </c>
      <c r="K108" s="41">
        <f>IFERROR(Sheet1!A108,0)</f>
        <v>45856</v>
      </c>
      <c r="L108" s="41">
        <f>IFERROR(Sheet1!I108,0)</f>
        <v>45854</v>
      </c>
      <c r="M108" s="47" t="str">
        <f>IFERROR(Sheet1!P108,0)</f>
        <v>NA</v>
      </c>
      <c r="N108" s="42">
        <f>IFERROR(IF(ISNUMBER(Sheet1!N108),Sheet1!N108,0),0)</f>
        <v>1550</v>
      </c>
      <c r="O108" s="42">
        <f>IFERROR(IF(TRIM(F108)="Nhava Sheva",SUMPRODUCT((UPPER(TRIM('Origin Costs'!$A$5:$A$44))=UPPER(TRIM(J108)))*'Origin Costs'!$C$5:$C$44),IF(TRIM(F108)="ICD Tihi",SUMPRODUCT((UPPER(TRIM('Origin Costs'!$A$49:$A$88))=UPPER(TRIM(J108)))*'Origin Costs'!$C$49:$C$88),IF(TRIM(F108)="ICD Dhannad",SUMPRODUCT((UPPER(TRIM('Origin Costs'!$A$93:$A$132))=UPPER(TRIM(J108)))*'Origin Costs'!$C$93:$C$132),0))),0)</f>
        <v>1148.588888888889</v>
      </c>
      <c r="P108" s="42">
        <f t="shared" si="1"/>
        <v>2698.588888888889</v>
      </c>
      <c r="Q108" s="13" t="str">
        <f>IF(OR(Dashboard!$C$4="All Customers",$E108=Dashboard!$C$4),IF($E108="","",$P108+ROW()/10000000),"")</f>
        <v/>
      </c>
    </row>
    <row r="109" spans="1:17" ht="14.25" customHeight="1" x14ac:dyDescent="0.3">
      <c r="A109" s="43" t="str">
        <f>IFERROR("FY"&amp;TEXT(MOD(IF(MONTH(Sheet1!A109)&gt;=4,YEAR(Sheet1!A109),YEAR(Sheet1!A109)-1),100),"00")&amp;"-"&amp;TEXT(MOD(IF(MONTH(Sheet1!A109)&gt;=4,YEAR(Sheet1!A109),YEAR(Sheet1!A109)-1)+1,100),"00"),"")</f>
        <v>FY25-26</v>
      </c>
      <c r="B109" s="44" t="str">
        <f>IFERROR("Q"&amp;IF(MONTH(Sheet1!A109)&gt;=4,IF(MONTH(Sheet1!A109)&lt;=6,1,IF(MONTH(Sheet1!A109)&lt;=9,2,3)),4),"")</f>
        <v>Q2</v>
      </c>
      <c r="C109" s="43" t="str">
        <f>IFERROR(Sheet1!C109,0)</f>
        <v>S.A</v>
      </c>
      <c r="D109" s="43" t="str">
        <f>IFERROR(Sheet1!F109,0)</f>
        <v>Columbia</v>
      </c>
      <c r="E109" s="43" t="str">
        <f>IFERROR(Sheet1!E109,0)</f>
        <v>LLANTAS NARINO SAS, Columbia</v>
      </c>
      <c r="F109" s="43" t="str">
        <f>IFERROR(IF(UPPER(TRIM(Sheet1!J109))="NH","Nhava Sheva",IF(UPPER(TRIM(Sheet1!J109))="ICD","ICD Dhannad",IF(UPPER(TRIM(Sheet1!J109))="TIHI","ICD Tihi",Sheet1!J109))),0)</f>
        <v>Nhava Sheva</v>
      </c>
      <c r="G109" s="43" t="str">
        <f>IFERROR(Sheet1!M109,0)</f>
        <v>Buenaventura</v>
      </c>
      <c r="H109" s="43" t="str">
        <f>IFERROR(Sheet1!H109,0)</f>
        <v>Evergreen Line</v>
      </c>
      <c r="I109" s="43" t="str">
        <f>IFERROR(Sheet1!G109,0)</f>
        <v>FOB</v>
      </c>
      <c r="J109" s="43" t="str">
        <f>IFERROR(Sheet1!K109,0)</f>
        <v>Evergreen</v>
      </c>
      <c r="K109" s="45">
        <f>IFERROR(Sheet1!A109,0)</f>
        <v>45856</v>
      </c>
      <c r="L109" s="45">
        <f>IFERROR(Sheet1!I109,0)</f>
        <v>45854</v>
      </c>
      <c r="M109" s="47" t="str">
        <f>IFERROR(Sheet1!P109,0)</f>
        <v>NA</v>
      </c>
      <c r="N109" s="46">
        <f>IFERROR(IF(ISNUMBER(Sheet1!N109),Sheet1!N109,0),0)</f>
        <v>0</v>
      </c>
      <c r="O109" s="46">
        <f>IFERROR(IF(TRIM(F109)="Nhava Sheva",SUMPRODUCT((UPPER(TRIM('Origin Costs'!$A$5:$A$44))=UPPER(TRIM(J109)))*'Origin Costs'!$C$5:$C$44),IF(TRIM(F109)="ICD Tihi",SUMPRODUCT((UPPER(TRIM('Origin Costs'!$A$49:$A$88))=UPPER(TRIM(J109)))*'Origin Costs'!$C$49:$C$88),IF(TRIM(F109)="ICD Dhannad",SUMPRODUCT((UPPER(TRIM('Origin Costs'!$A$93:$A$132))=UPPER(TRIM(J109)))*'Origin Costs'!$C$93:$C$132),0))),0)</f>
        <v>0</v>
      </c>
      <c r="P109" s="46">
        <f t="shared" si="1"/>
        <v>0</v>
      </c>
      <c r="Q109" s="13" t="str">
        <f>IF(OR(Dashboard!$C$4="All Customers",$E109=Dashboard!$C$4),IF($E109="","",$P109+ROW()/10000000),"")</f>
        <v/>
      </c>
    </row>
    <row r="110" spans="1:17" ht="14.25" customHeight="1" x14ac:dyDescent="0.3">
      <c r="A110" s="39" t="str">
        <f>IFERROR("FY"&amp;TEXT(MOD(IF(MONTH(Sheet1!A110)&gt;=4,YEAR(Sheet1!A110),YEAR(Sheet1!A110)-1),100),"00")&amp;"-"&amp;TEXT(MOD(IF(MONTH(Sheet1!A110)&gt;=4,YEAR(Sheet1!A110),YEAR(Sheet1!A110)-1)+1,100),"00"),"")</f>
        <v>FY25-26</v>
      </c>
      <c r="B110" s="40" t="str">
        <f>IFERROR("Q"&amp;IF(MONTH(Sheet1!A110)&gt;=4,IF(MONTH(Sheet1!A110)&lt;=6,1,IF(MONTH(Sheet1!A110)&lt;=9,2,3)),4),"")</f>
        <v>Q2</v>
      </c>
      <c r="C110" s="39" t="str">
        <f>IFERROR(Sheet1!C110,0)</f>
        <v>S.A</v>
      </c>
      <c r="D110" s="39" t="str">
        <f>IFERROR(Sheet1!F110,0)</f>
        <v>Columbia</v>
      </c>
      <c r="E110" s="39" t="str">
        <f>IFERROR(Sheet1!E110,0)</f>
        <v>LLANTAS NARINO SAS, Columbia</v>
      </c>
      <c r="F110" s="39" t="str">
        <f>IFERROR(IF(UPPER(TRIM(Sheet1!J110))="NH","Nhava Sheva",IF(UPPER(TRIM(Sheet1!J110))="ICD","ICD Dhannad",IF(UPPER(TRIM(Sheet1!J110))="TIHI","ICD Tihi",Sheet1!J110))),0)</f>
        <v>Nhava Sheva</v>
      </c>
      <c r="G110" s="39" t="str">
        <f>IFERROR(Sheet1!M110,0)</f>
        <v>Buenaventura</v>
      </c>
      <c r="H110" s="39" t="str">
        <f>IFERROR(Sheet1!H110,0)</f>
        <v>Evergreen Line</v>
      </c>
      <c r="I110" s="39" t="str">
        <f>IFERROR(Sheet1!G110,0)</f>
        <v>FOB</v>
      </c>
      <c r="J110" s="39" t="str">
        <f>IFERROR(Sheet1!K110,0)</f>
        <v>Evergreen</v>
      </c>
      <c r="K110" s="41">
        <f>IFERROR(Sheet1!A110,0)</f>
        <v>45856</v>
      </c>
      <c r="L110" s="41">
        <f>IFERROR(Sheet1!I110,0)</f>
        <v>45854</v>
      </c>
      <c r="M110" s="47" t="str">
        <f>IFERROR(Sheet1!P110,0)</f>
        <v>NA</v>
      </c>
      <c r="N110" s="42">
        <f>IFERROR(IF(ISNUMBER(Sheet1!N110),Sheet1!N110,0),0)</f>
        <v>0</v>
      </c>
      <c r="O110" s="42">
        <f>IFERROR(IF(TRIM(F110)="Nhava Sheva",SUMPRODUCT((UPPER(TRIM('Origin Costs'!$A$5:$A$44))=UPPER(TRIM(J110)))*'Origin Costs'!$C$5:$C$44),IF(TRIM(F110)="ICD Tihi",SUMPRODUCT((UPPER(TRIM('Origin Costs'!$A$49:$A$88))=UPPER(TRIM(J110)))*'Origin Costs'!$C$49:$C$88),IF(TRIM(F110)="ICD Dhannad",SUMPRODUCT((UPPER(TRIM('Origin Costs'!$A$93:$A$132))=UPPER(TRIM(J110)))*'Origin Costs'!$C$93:$C$132),0))),0)</f>
        <v>0</v>
      </c>
      <c r="P110" s="42">
        <f t="shared" si="1"/>
        <v>0</v>
      </c>
      <c r="Q110" s="13" t="str">
        <f>IF(OR(Dashboard!$C$4="All Customers",$E110=Dashboard!$C$4),IF($E110="","",$P110+ROW()/10000000),"")</f>
        <v/>
      </c>
    </row>
    <row r="111" spans="1:17" ht="14.25" customHeight="1" x14ac:dyDescent="0.3">
      <c r="A111" s="43" t="str">
        <f>IFERROR("FY"&amp;TEXT(MOD(IF(MONTH(Sheet1!A111)&gt;=4,YEAR(Sheet1!A111),YEAR(Sheet1!A111)-1),100),"00")&amp;"-"&amp;TEXT(MOD(IF(MONTH(Sheet1!A111)&gt;=4,YEAR(Sheet1!A111),YEAR(Sheet1!A111)-1)+1,100),"00"),"")</f>
        <v>FY25-26</v>
      </c>
      <c r="B111" s="44" t="str">
        <f>IFERROR("Q"&amp;IF(MONTH(Sheet1!A111)&gt;=4,IF(MONTH(Sheet1!A111)&lt;=6,1,IF(MONTH(Sheet1!A111)&lt;=9,2,3)),4),"")</f>
        <v>Q2</v>
      </c>
      <c r="C111" s="43" t="str">
        <f>IFERROR(Sheet1!C111,0)</f>
        <v>S.A</v>
      </c>
      <c r="D111" s="43" t="str">
        <f>IFERROR(Sheet1!F111,0)</f>
        <v>Mexico</v>
      </c>
      <c r="E111" s="43" t="str">
        <f>IFERROR(Sheet1!E111,0)</f>
        <v>PC Tyres, Mexico</v>
      </c>
      <c r="F111" s="43" t="str">
        <f>IFERROR(IF(UPPER(TRIM(Sheet1!J111))="NH","Nhava Sheva",IF(UPPER(TRIM(Sheet1!J111))="ICD","ICD Dhannad",IF(UPPER(TRIM(Sheet1!J111))="TIHI","ICD Tihi",Sheet1!J111))),0)</f>
        <v>ICD Tihi</v>
      </c>
      <c r="G111" s="43" t="str">
        <f>IFERROR(Sheet1!M111,0)</f>
        <v>Manzanillo</v>
      </c>
      <c r="H111" s="43" t="str">
        <f>IFERROR(Sheet1!H111,0)</f>
        <v>Sanjay Forwarder</v>
      </c>
      <c r="I111" s="43" t="str">
        <f>IFERROR(Sheet1!G111,0)</f>
        <v>FOB</v>
      </c>
      <c r="J111" s="43" t="str">
        <f>IFERROR(Sheet1!K111,0)</f>
        <v>Maersk</v>
      </c>
      <c r="K111" s="45">
        <f>IFERROR(Sheet1!A111,0)</f>
        <v>45857</v>
      </c>
      <c r="L111" s="45">
        <f>IFERROR(Sheet1!I111,0)</f>
        <v>45856</v>
      </c>
      <c r="M111" s="47" t="str">
        <f>IFERROR(Sheet1!P111,0)</f>
        <v>NA</v>
      </c>
      <c r="N111" s="46">
        <f>IFERROR(IF(ISNUMBER(Sheet1!N111),Sheet1!N111,0),0)</f>
        <v>2650</v>
      </c>
      <c r="O111" s="46">
        <f>IFERROR(IF(TRIM(F111)="Nhava Sheva",SUMPRODUCT((UPPER(TRIM('Origin Costs'!$A$5:$A$44))=UPPER(TRIM(J111)))*'Origin Costs'!$C$5:$C$44),IF(TRIM(F111)="ICD Tihi",SUMPRODUCT((UPPER(TRIM('Origin Costs'!$A$49:$A$88))=UPPER(TRIM(J111)))*'Origin Costs'!$C$49:$C$88),IF(TRIM(F111)="ICD Dhannad",SUMPRODUCT((UPPER(TRIM('Origin Costs'!$A$93:$A$132))=UPPER(TRIM(J111)))*'Origin Costs'!$C$93:$C$132),0))),0)</f>
        <v>1186.6333333333334</v>
      </c>
      <c r="P111" s="46">
        <f t="shared" si="1"/>
        <v>3836.6333333333332</v>
      </c>
      <c r="Q111" s="13" t="str">
        <f>IF(OR(Dashboard!$C$4="All Customers",$E111=Dashboard!$C$4),IF($E111="","",$P111+ROW()/10000000),"")</f>
        <v/>
      </c>
    </row>
    <row r="112" spans="1:17" ht="14.25" customHeight="1" x14ac:dyDescent="0.3">
      <c r="A112" s="39" t="str">
        <f>IFERROR("FY"&amp;TEXT(MOD(IF(MONTH(Sheet1!A112)&gt;=4,YEAR(Sheet1!A112),YEAR(Sheet1!A112)-1),100),"00")&amp;"-"&amp;TEXT(MOD(IF(MONTH(Sheet1!A112)&gt;=4,YEAR(Sheet1!A112),YEAR(Sheet1!A112)-1)+1,100),"00"),"")</f>
        <v>FY25-26</v>
      </c>
      <c r="B112" s="40" t="str">
        <f>IFERROR("Q"&amp;IF(MONTH(Sheet1!A112)&gt;=4,IF(MONTH(Sheet1!A112)&lt;=6,1,IF(MONTH(Sheet1!A112)&lt;=9,2,3)),4),"")</f>
        <v>Q2</v>
      </c>
      <c r="C112" s="39" t="str">
        <f>IFERROR(Sheet1!C112,0)</f>
        <v>MEA</v>
      </c>
      <c r="D112" s="39" t="str">
        <f>IFERROR(Sheet1!F112,0)</f>
        <v>kuwait</v>
      </c>
      <c r="E112" s="39" t="str">
        <f>IFERROR(Sheet1!E112,0)</f>
        <v>Sharma International, Kuwait</v>
      </c>
      <c r="F112" s="39" t="str">
        <f>IFERROR(IF(UPPER(TRIM(Sheet1!J112))="NH","Nhava Sheva",IF(UPPER(TRIM(Sheet1!J112))="ICD","ICD Dhannad",IF(UPPER(TRIM(Sheet1!J112))="TIHI","ICD Tihi",Sheet1!J112))),0)</f>
        <v>Nhava Sheva</v>
      </c>
      <c r="G112" s="39" t="str">
        <f>IFERROR(Sheet1!M112,0)</f>
        <v>Shuaiba</v>
      </c>
      <c r="H112" s="39" t="str">
        <f>IFERROR(Sheet1!H112,0)</f>
        <v>Sevenseas Global</v>
      </c>
      <c r="I112" s="39" t="str">
        <f>IFERROR(Sheet1!G112,0)</f>
        <v>CIF</v>
      </c>
      <c r="J112" s="39" t="str">
        <f>IFERROR(Sheet1!K112,0)</f>
        <v>OOCL</v>
      </c>
      <c r="K112" s="41">
        <f>IFERROR(Sheet1!A112,0)</f>
        <v>45857</v>
      </c>
      <c r="L112" s="41">
        <f>IFERROR(Sheet1!I112,0)</f>
        <v>45856</v>
      </c>
      <c r="M112" s="47" t="str">
        <f>IFERROR(Sheet1!P112,0)</f>
        <v>NA</v>
      </c>
      <c r="N112" s="42">
        <f>IFERROR(IF(ISNUMBER(Sheet1!N112),Sheet1!N112,0),0)</f>
        <v>648</v>
      </c>
      <c r="O112" s="42">
        <f>IFERROR(IF(TRIM(F112)="Nhava Sheva",SUMPRODUCT((UPPER(TRIM('Origin Costs'!$A$5:$A$44))=UPPER(TRIM(J112)))*'Origin Costs'!$C$5:$C$44),IF(TRIM(F112)="ICD Tihi",SUMPRODUCT((UPPER(TRIM('Origin Costs'!$A$49:$A$88))=UPPER(TRIM(J112)))*'Origin Costs'!$C$49:$C$88),IF(TRIM(F112)="ICD Dhannad",SUMPRODUCT((UPPER(TRIM('Origin Costs'!$A$93:$A$132))=UPPER(TRIM(J112)))*'Origin Costs'!$C$93:$C$132),0))),0)</f>
        <v>0</v>
      </c>
      <c r="P112" s="42">
        <f t="shared" si="1"/>
        <v>648</v>
      </c>
      <c r="Q112" s="13" t="str">
        <f>IF(OR(Dashboard!$C$4="All Customers",$E112=Dashboard!$C$4),IF($E112="","",$P112+ROW()/10000000),"")</f>
        <v/>
      </c>
    </row>
    <row r="113" spans="1:17" ht="14.25" customHeight="1" x14ac:dyDescent="0.3">
      <c r="A113" s="43" t="str">
        <f>IFERROR("FY"&amp;TEXT(MOD(IF(MONTH(Sheet1!A113)&gt;=4,YEAR(Sheet1!A113),YEAR(Sheet1!A113)-1),100),"00")&amp;"-"&amp;TEXT(MOD(IF(MONTH(Sheet1!A113)&gt;=4,YEAR(Sheet1!A113),YEAR(Sheet1!A113)-1)+1,100),"00"),"")</f>
        <v>FY25-26</v>
      </c>
      <c r="B113" s="44" t="str">
        <f>IFERROR("Q"&amp;IF(MONTH(Sheet1!A113)&gt;=4,IF(MONTH(Sheet1!A113)&lt;=6,1,IF(MONTH(Sheet1!A113)&lt;=9,2,3)),4),"")</f>
        <v>Q2</v>
      </c>
      <c r="C113" s="43" t="str">
        <f>IFERROR(Sheet1!C113,0)</f>
        <v>S.A</v>
      </c>
      <c r="D113" s="43" t="str">
        <f>IFERROR(Sheet1!F113,0)</f>
        <v>Bulgaria</v>
      </c>
      <c r="E113" s="43" t="str">
        <f>IFERROR(Sheet1!E113,0)</f>
        <v>BAHWAN MOTORS AUTO ACCESSORIES TRAD</v>
      </c>
      <c r="F113" s="43" t="str">
        <f>IFERROR(IF(UPPER(TRIM(Sheet1!J113))="NH","Nhava Sheva",IF(UPPER(TRIM(Sheet1!J113))="ICD","ICD Dhannad",IF(UPPER(TRIM(Sheet1!J113))="TIHI","ICD Tihi",Sheet1!J113))),0)</f>
        <v>ICD Dhannad</v>
      </c>
      <c r="G113" s="43" t="str">
        <f>IFERROR(Sheet1!M113,0)</f>
        <v>Burgas</v>
      </c>
      <c r="H113" s="43" t="str">
        <f>IFERROR(Sheet1!H113,0)</f>
        <v>Infinity Ocean</v>
      </c>
      <c r="I113" s="43" t="str">
        <f>IFERROR(Sheet1!G113,0)</f>
        <v>CFR</v>
      </c>
      <c r="J113" s="43" t="str">
        <f>IFERROR(Sheet1!K113,0)</f>
        <v>Hapag</v>
      </c>
      <c r="K113" s="45">
        <f>IFERROR(Sheet1!A113,0)</f>
        <v>45857</v>
      </c>
      <c r="L113" s="45">
        <f>IFERROR(Sheet1!I113,0)</f>
        <v>45856</v>
      </c>
      <c r="M113" s="47" t="str">
        <f>IFERROR(Sheet1!P113,0)</f>
        <v>NA</v>
      </c>
      <c r="N113" s="46">
        <f>IFERROR(IF(ISNUMBER(Sheet1!N113),Sheet1!N113,0),0)</f>
        <v>2150</v>
      </c>
      <c r="O113" s="46">
        <f>IFERROR(IF(TRIM(F113)="Nhava Sheva",SUMPRODUCT((UPPER(TRIM('Origin Costs'!$A$5:$A$44))=UPPER(TRIM(J113)))*'Origin Costs'!$C$5:$C$44),IF(TRIM(F113)="ICD Tihi",SUMPRODUCT((UPPER(TRIM('Origin Costs'!$A$49:$A$88))=UPPER(TRIM(J113)))*'Origin Costs'!$C$49:$C$88),IF(TRIM(F113)="ICD Dhannad",SUMPRODUCT((UPPER(TRIM('Origin Costs'!$A$93:$A$132))=UPPER(TRIM(J113)))*'Origin Costs'!$C$93:$C$132),0))),0)</f>
        <v>1209.3888888888889</v>
      </c>
      <c r="P113" s="46">
        <f t="shared" si="1"/>
        <v>3359.3888888888887</v>
      </c>
      <c r="Q113" s="13" t="str">
        <f>IF(OR(Dashboard!$C$4="All Customers",$E113=Dashboard!$C$4),IF($E113="","",$P113+ROW()/10000000),"")</f>
        <v/>
      </c>
    </row>
    <row r="114" spans="1:17" ht="14.25" customHeight="1" x14ac:dyDescent="0.3">
      <c r="A114" s="39" t="str">
        <f>IFERROR("FY"&amp;TEXT(MOD(IF(MONTH(Sheet1!A114)&gt;=4,YEAR(Sheet1!A114),YEAR(Sheet1!A114)-1),100),"00")&amp;"-"&amp;TEXT(MOD(IF(MONTH(Sheet1!A114)&gt;=4,YEAR(Sheet1!A114),YEAR(Sheet1!A114)-1)+1,100),"00"),"")</f>
        <v>FY25-26</v>
      </c>
      <c r="B114" s="40" t="str">
        <f>IFERROR("Q"&amp;IF(MONTH(Sheet1!A114)&gt;=4,IF(MONTH(Sheet1!A114)&lt;=6,1,IF(MONTH(Sheet1!A114)&lt;=9,2,3)),4),"")</f>
        <v>Q2</v>
      </c>
      <c r="C114" s="39" t="str">
        <f>IFERROR(Sheet1!C114,0)</f>
        <v>CIS</v>
      </c>
      <c r="D114" s="39" t="str">
        <f>IFERROR(Sheet1!F114,0)</f>
        <v>Russia</v>
      </c>
      <c r="E114" s="39" t="str">
        <f>IFERROR(Sheet1!E114,0)</f>
        <v>West Lake Russia Co. Ltd.</v>
      </c>
      <c r="F114" s="39" t="str">
        <f>IFERROR(IF(UPPER(TRIM(Sheet1!J114))="NH","Nhava Sheva",IF(UPPER(TRIM(Sheet1!J114))="ICD","ICD Dhannad",IF(UPPER(TRIM(Sheet1!J114))="TIHI","ICD Tihi",Sheet1!J114))),0)</f>
        <v>Nhava Sheva</v>
      </c>
      <c r="G114" s="39" t="str">
        <f>IFERROR(Sheet1!M114,0)</f>
        <v>SAINT PETERSBURG</v>
      </c>
      <c r="H114" s="39" t="str">
        <f>IFERROR(Sheet1!H114,0)</f>
        <v>Hub&amp;Links</v>
      </c>
      <c r="I114" s="39" t="str">
        <f>IFERROR(Sheet1!G114,0)</f>
        <v>FOB</v>
      </c>
      <c r="J114" s="39" t="str">
        <f>IFERROR(Sheet1!K114,0)</f>
        <v>Honsin</v>
      </c>
      <c r="K114" s="41">
        <f>IFERROR(Sheet1!A114,0)</f>
        <v>45857</v>
      </c>
      <c r="L114" s="41">
        <f>IFERROR(Sheet1!I114,0)</f>
        <v>45856</v>
      </c>
      <c r="M114" s="47" t="str">
        <f>IFERROR(Sheet1!P114,0)</f>
        <v>NA</v>
      </c>
      <c r="N114" s="42">
        <f>IFERROR(IF(ISNUMBER(Sheet1!N114),Sheet1!N114,0),0)</f>
        <v>0</v>
      </c>
      <c r="O114" s="42">
        <f>IFERROR(IF(TRIM(F114)="Nhava Sheva",SUMPRODUCT((UPPER(TRIM('Origin Costs'!$A$5:$A$44))=UPPER(TRIM(J114)))*'Origin Costs'!$C$5:$C$44),IF(TRIM(F114)="ICD Tihi",SUMPRODUCT((UPPER(TRIM('Origin Costs'!$A$49:$A$88))=UPPER(TRIM(J114)))*'Origin Costs'!$C$49:$C$88),IF(TRIM(F114)="ICD Dhannad",SUMPRODUCT((UPPER(TRIM('Origin Costs'!$A$93:$A$132))=UPPER(TRIM(J114)))*'Origin Costs'!$C$93:$C$132),0))),0)</f>
        <v>0</v>
      </c>
      <c r="P114" s="42">
        <f t="shared" si="1"/>
        <v>0</v>
      </c>
      <c r="Q114" s="13" t="str">
        <f>IF(OR(Dashboard!$C$4="All Customers",$E114=Dashboard!$C$4),IF($E114="","",$P114+ROW()/10000000),"")</f>
        <v/>
      </c>
    </row>
    <row r="115" spans="1:17" ht="14.25" customHeight="1" x14ac:dyDescent="0.3">
      <c r="A115" s="43" t="str">
        <f>IFERROR("FY"&amp;TEXT(MOD(IF(MONTH(Sheet1!A115)&gt;=4,YEAR(Sheet1!A115),YEAR(Sheet1!A115)-1),100),"00")&amp;"-"&amp;TEXT(MOD(IF(MONTH(Sheet1!A115)&gt;=4,YEAR(Sheet1!A115),YEAR(Sheet1!A115)-1)+1,100),"00"),"")</f>
        <v>FY25-26</v>
      </c>
      <c r="B115" s="44" t="str">
        <f>IFERROR("Q"&amp;IF(MONTH(Sheet1!A115)&gt;=4,IF(MONTH(Sheet1!A115)&lt;=6,1,IF(MONTH(Sheet1!A115)&lt;=9,2,3)),4),"")</f>
        <v>Q2</v>
      </c>
      <c r="C115" s="43" t="str">
        <f>IFERROR(Sheet1!C115,0)</f>
        <v>CIS</v>
      </c>
      <c r="D115" s="43" t="str">
        <f>IFERROR(Sheet1!F115,0)</f>
        <v>Russia</v>
      </c>
      <c r="E115" s="43" t="str">
        <f>IFERROR(Sheet1!E115,0)</f>
        <v>West Lake Russia Co. Ltd.</v>
      </c>
      <c r="F115" s="43" t="str">
        <f>IFERROR(IF(UPPER(TRIM(Sheet1!J115))="NH","Nhava Sheva",IF(UPPER(TRIM(Sheet1!J115))="ICD","ICD Dhannad",IF(UPPER(TRIM(Sheet1!J115))="TIHI","ICD Tihi",Sheet1!J115))),0)</f>
        <v>Nhava Sheva</v>
      </c>
      <c r="G115" s="43" t="str">
        <f>IFERROR(Sheet1!M115,0)</f>
        <v>SAINT PETERSBURG</v>
      </c>
      <c r="H115" s="43" t="str">
        <f>IFERROR(Sheet1!H115,0)</f>
        <v>Hub&amp;Links</v>
      </c>
      <c r="I115" s="43" t="str">
        <f>IFERROR(Sheet1!G115,0)</f>
        <v>FOB</v>
      </c>
      <c r="J115" s="43" t="str">
        <f>IFERROR(Sheet1!K115,0)</f>
        <v>Honsin</v>
      </c>
      <c r="K115" s="45">
        <f>IFERROR(Sheet1!A115,0)</f>
        <v>45857</v>
      </c>
      <c r="L115" s="45">
        <f>IFERROR(Sheet1!I115,0)</f>
        <v>45856</v>
      </c>
      <c r="M115" s="47" t="str">
        <f>IFERROR(Sheet1!P115,0)</f>
        <v>NA</v>
      </c>
      <c r="N115" s="46">
        <f>IFERROR(IF(ISNUMBER(Sheet1!N115),Sheet1!N115,0),0)</f>
        <v>0</v>
      </c>
      <c r="O115" s="46">
        <f>IFERROR(IF(TRIM(F115)="Nhava Sheva",SUMPRODUCT((UPPER(TRIM('Origin Costs'!$A$5:$A$44))=UPPER(TRIM(J115)))*'Origin Costs'!$C$5:$C$44),IF(TRIM(F115)="ICD Tihi",SUMPRODUCT((UPPER(TRIM('Origin Costs'!$A$49:$A$88))=UPPER(TRIM(J115)))*'Origin Costs'!$C$49:$C$88),IF(TRIM(F115)="ICD Dhannad",SUMPRODUCT((UPPER(TRIM('Origin Costs'!$A$93:$A$132))=UPPER(TRIM(J115)))*'Origin Costs'!$C$93:$C$132),0))),0)</f>
        <v>0</v>
      </c>
      <c r="P115" s="46">
        <f t="shared" si="1"/>
        <v>0</v>
      </c>
      <c r="Q115" s="13" t="str">
        <f>IF(OR(Dashboard!$C$4="All Customers",$E115=Dashboard!$C$4),IF($E115="","",$P115+ROW()/10000000),"")</f>
        <v/>
      </c>
    </row>
    <row r="116" spans="1:17" ht="14.25" customHeight="1" x14ac:dyDescent="0.3">
      <c r="A116" s="39" t="str">
        <f>IFERROR("FY"&amp;TEXT(MOD(IF(MONTH(Sheet1!A116)&gt;=4,YEAR(Sheet1!A116),YEAR(Sheet1!A116)-1),100),"00")&amp;"-"&amp;TEXT(MOD(IF(MONTH(Sheet1!A116)&gt;=4,YEAR(Sheet1!A116),YEAR(Sheet1!A116)-1)+1,100),"00"),"")</f>
        <v>FY25-26</v>
      </c>
      <c r="B116" s="40" t="str">
        <f>IFERROR("Q"&amp;IF(MONTH(Sheet1!A116)&gt;=4,IF(MONTH(Sheet1!A116)&lt;=6,1,IF(MONTH(Sheet1!A116)&lt;=9,2,3)),4),"")</f>
        <v>Q2</v>
      </c>
      <c r="C116" s="39" t="str">
        <f>IFERROR(Sheet1!C116,0)</f>
        <v>CIS</v>
      </c>
      <c r="D116" s="39" t="str">
        <f>IFERROR(Sheet1!F116,0)</f>
        <v>Russia</v>
      </c>
      <c r="E116" s="39" t="str">
        <f>IFERROR(Sheet1!E116,0)</f>
        <v>West Lake Russia Co. Ltd.</v>
      </c>
      <c r="F116" s="39" t="str">
        <f>IFERROR(IF(UPPER(TRIM(Sheet1!J116))="NH","Nhava Sheva",IF(UPPER(TRIM(Sheet1!J116))="ICD","ICD Dhannad",IF(UPPER(TRIM(Sheet1!J116))="TIHI","ICD Tihi",Sheet1!J116))),0)</f>
        <v>Nhava Sheva</v>
      </c>
      <c r="G116" s="39" t="str">
        <f>IFERROR(Sheet1!M116,0)</f>
        <v>SAINT PETERSBURG</v>
      </c>
      <c r="H116" s="39" t="str">
        <f>IFERROR(Sheet1!H116,0)</f>
        <v>Hub&amp;Links</v>
      </c>
      <c r="I116" s="39" t="str">
        <f>IFERROR(Sheet1!G116,0)</f>
        <v>FOB</v>
      </c>
      <c r="J116" s="39" t="str">
        <f>IFERROR(Sheet1!K116,0)</f>
        <v>Honsin</v>
      </c>
      <c r="K116" s="41">
        <f>IFERROR(Sheet1!A116,0)</f>
        <v>45857</v>
      </c>
      <c r="L116" s="41">
        <f>IFERROR(Sheet1!I116,0)</f>
        <v>45856</v>
      </c>
      <c r="M116" s="47" t="str">
        <f>IFERROR(Sheet1!P116,0)</f>
        <v>NA</v>
      </c>
      <c r="N116" s="42">
        <f>IFERROR(IF(ISNUMBER(Sheet1!N116),Sheet1!N116,0),0)</f>
        <v>0</v>
      </c>
      <c r="O116" s="42">
        <f>IFERROR(IF(TRIM(F116)="Nhava Sheva",SUMPRODUCT((UPPER(TRIM('Origin Costs'!$A$5:$A$44))=UPPER(TRIM(J116)))*'Origin Costs'!$C$5:$C$44),IF(TRIM(F116)="ICD Tihi",SUMPRODUCT((UPPER(TRIM('Origin Costs'!$A$49:$A$88))=UPPER(TRIM(J116)))*'Origin Costs'!$C$49:$C$88),IF(TRIM(F116)="ICD Dhannad",SUMPRODUCT((UPPER(TRIM('Origin Costs'!$A$93:$A$132))=UPPER(TRIM(J116)))*'Origin Costs'!$C$93:$C$132),0))),0)</f>
        <v>0</v>
      </c>
      <c r="P116" s="42">
        <f t="shared" si="1"/>
        <v>0</v>
      </c>
      <c r="Q116" s="13" t="str">
        <f>IF(OR(Dashboard!$C$4="All Customers",$E116=Dashboard!$C$4),IF($E116="","",$P116+ROW()/10000000),"")</f>
        <v/>
      </c>
    </row>
    <row r="117" spans="1:17" ht="14.25" customHeight="1" x14ac:dyDescent="0.3">
      <c r="A117" s="43" t="str">
        <f>IFERROR("FY"&amp;TEXT(MOD(IF(MONTH(Sheet1!A117)&gt;=4,YEAR(Sheet1!A117),YEAR(Sheet1!A117)-1),100),"00")&amp;"-"&amp;TEXT(MOD(IF(MONTH(Sheet1!A117)&gt;=4,YEAR(Sheet1!A117),YEAR(Sheet1!A117)-1)+1,100),"00"),"")</f>
        <v>FY25-26</v>
      </c>
      <c r="B117" s="44" t="str">
        <f>IFERROR("Q"&amp;IF(MONTH(Sheet1!A117)&gt;=4,IF(MONTH(Sheet1!A117)&lt;=6,1,IF(MONTH(Sheet1!A117)&lt;=9,2,3)),4),"")</f>
        <v>Q2</v>
      </c>
      <c r="C117" s="43" t="str">
        <f>IFERROR(Sheet1!C117,0)</f>
        <v>S.A</v>
      </c>
      <c r="D117" s="43" t="str">
        <f>IFERROR(Sheet1!F117,0)</f>
        <v>Brazil</v>
      </c>
      <c r="E117" s="43" t="str">
        <f>IFERROR(Sheet1!E117,0)</f>
        <v>CPX DISTRIBUIDORA S/A-Navegantes</v>
      </c>
      <c r="F117" s="43" t="str">
        <f>IFERROR(IF(UPPER(TRIM(Sheet1!J117))="NH","Nhava Sheva",IF(UPPER(TRIM(Sheet1!J117))="ICD","ICD Dhannad",IF(UPPER(TRIM(Sheet1!J117))="TIHI","ICD Tihi",Sheet1!J117))),0)</f>
        <v>ICD Dhannad</v>
      </c>
      <c r="G117" s="43" t="str">
        <f>IFERROR(Sheet1!M117,0)</f>
        <v>Itajai</v>
      </c>
      <c r="H117" s="43" t="str">
        <f>IFERROR(Sheet1!H117,0)</f>
        <v>Asia Shipping</v>
      </c>
      <c r="I117" s="43" t="str">
        <f>IFERROR(Sheet1!G117,0)</f>
        <v>FOB</v>
      </c>
      <c r="J117" s="43" t="str">
        <f>IFERROR(Sheet1!K117,0)</f>
        <v>MSC</v>
      </c>
      <c r="K117" s="45">
        <f>IFERROR(Sheet1!A117,0)</f>
        <v>45859</v>
      </c>
      <c r="L117" s="45">
        <f>IFERROR(Sheet1!I117,0)</f>
        <v>45857</v>
      </c>
      <c r="M117" s="47" t="str">
        <f>IFERROR(Sheet1!P117,0)</f>
        <v>NA</v>
      </c>
      <c r="N117" s="46">
        <f>IFERROR(IF(ISNUMBER(Sheet1!N117),Sheet1!N117,0),0)</f>
        <v>0</v>
      </c>
      <c r="O117" s="46">
        <f>IFERROR(IF(TRIM(F117)="Nhava Sheva",SUMPRODUCT((UPPER(TRIM('Origin Costs'!$A$5:$A$44))=UPPER(TRIM(J117)))*'Origin Costs'!$C$5:$C$44),IF(TRIM(F117)="ICD Tihi",SUMPRODUCT((UPPER(TRIM('Origin Costs'!$A$49:$A$88))=UPPER(TRIM(J117)))*'Origin Costs'!$C$49:$C$88),IF(TRIM(F117)="ICD Dhannad",SUMPRODUCT((UPPER(TRIM('Origin Costs'!$A$93:$A$132))=UPPER(TRIM(J117)))*'Origin Costs'!$C$93:$C$132),0))),0)</f>
        <v>0</v>
      </c>
      <c r="P117" s="46">
        <f t="shared" si="1"/>
        <v>0</v>
      </c>
      <c r="Q117" s="13" t="str">
        <f>IF(OR(Dashboard!$C$4="All Customers",$E117=Dashboard!$C$4),IF($E117="","",$P117+ROW()/10000000),"")</f>
        <v/>
      </c>
    </row>
    <row r="118" spans="1:17" ht="14.25" customHeight="1" x14ac:dyDescent="0.3">
      <c r="A118" s="39" t="str">
        <f>IFERROR("FY"&amp;TEXT(MOD(IF(MONTH(Sheet1!A118)&gt;=4,YEAR(Sheet1!A118),YEAR(Sheet1!A118)-1),100),"00")&amp;"-"&amp;TEXT(MOD(IF(MONTH(Sheet1!A118)&gt;=4,YEAR(Sheet1!A118),YEAR(Sheet1!A118)-1)+1,100),"00"),"")</f>
        <v>FY25-26</v>
      </c>
      <c r="B118" s="40" t="str">
        <f>IFERROR("Q"&amp;IF(MONTH(Sheet1!A118)&gt;=4,IF(MONTH(Sheet1!A118)&lt;=6,1,IF(MONTH(Sheet1!A118)&lt;=9,2,3)),4),"")</f>
        <v>Q2</v>
      </c>
      <c r="C118" s="39" t="str">
        <f>IFERROR(Sheet1!C118,0)</f>
        <v>MEA</v>
      </c>
      <c r="D118" s="39" t="str">
        <f>IFERROR(Sheet1!F118,0)</f>
        <v>Iraq</v>
      </c>
      <c r="E118" s="39" t="str">
        <f>IFERROR(Sheet1!E118,0)</f>
        <v>AL-DYAR AL-KHADRAA TIRE AND BATTERY, Iraq</v>
      </c>
      <c r="F118" s="39" t="str">
        <f>IFERROR(IF(UPPER(TRIM(Sheet1!J118))="NH","Nhava Sheva",IF(UPPER(TRIM(Sheet1!J118))="ICD","ICD Dhannad",IF(UPPER(TRIM(Sheet1!J118))="TIHI","ICD Tihi",Sheet1!J118))),0)</f>
        <v>ICD Dhannad</v>
      </c>
      <c r="G118" s="39" t="str">
        <f>IFERROR(Sheet1!M118,0)</f>
        <v>Umm Qasr</v>
      </c>
      <c r="H118" s="39" t="str">
        <f>IFERROR(Sheet1!H118,0)</f>
        <v>Sevenseas Global</v>
      </c>
      <c r="I118" s="39" t="str">
        <f>IFERROR(Sheet1!G118,0)</f>
        <v>CIF</v>
      </c>
      <c r="J118" s="39" t="str">
        <f>IFERROR(Sheet1!K118,0)</f>
        <v>Hapag</v>
      </c>
      <c r="K118" s="41">
        <f>IFERROR(Sheet1!A118,0)</f>
        <v>45860</v>
      </c>
      <c r="L118" s="41">
        <f>IFERROR(Sheet1!I118,0)</f>
        <v>45855</v>
      </c>
      <c r="M118" s="47" t="str">
        <f>IFERROR(Sheet1!P118,0)</f>
        <v>NA</v>
      </c>
      <c r="N118" s="42">
        <f>IFERROR(IF(ISNUMBER(Sheet1!N118),Sheet1!N118,0),0)</f>
        <v>0</v>
      </c>
      <c r="O118" s="42">
        <f>IFERROR(IF(TRIM(F118)="Nhava Sheva",SUMPRODUCT((UPPER(TRIM('Origin Costs'!$A$5:$A$44))=UPPER(TRIM(J118)))*'Origin Costs'!$C$5:$C$44),IF(TRIM(F118)="ICD Tihi",SUMPRODUCT((UPPER(TRIM('Origin Costs'!$A$49:$A$88))=UPPER(TRIM(J118)))*'Origin Costs'!$C$49:$C$88),IF(TRIM(F118)="ICD Dhannad",SUMPRODUCT((UPPER(TRIM('Origin Costs'!$A$93:$A$132))=UPPER(TRIM(J118)))*'Origin Costs'!$C$93:$C$132),0))),0)</f>
        <v>1209.3888888888889</v>
      </c>
      <c r="P118" s="42">
        <f t="shared" si="1"/>
        <v>1209.3888888888889</v>
      </c>
      <c r="Q118" s="13" t="str">
        <f>IF(OR(Dashboard!$C$4="All Customers",$E118=Dashboard!$C$4),IF($E118="","",$P118+ROW()/10000000),"")</f>
        <v/>
      </c>
    </row>
    <row r="119" spans="1:17" ht="14.25" customHeight="1" x14ac:dyDescent="0.3">
      <c r="A119" s="43" t="str">
        <f>IFERROR("FY"&amp;TEXT(MOD(IF(MONTH(Sheet1!A119)&gt;=4,YEAR(Sheet1!A119),YEAR(Sheet1!A119)-1),100),"00")&amp;"-"&amp;TEXT(MOD(IF(MONTH(Sheet1!A119)&gt;=4,YEAR(Sheet1!A119),YEAR(Sheet1!A119)-1)+1,100),"00"),"")</f>
        <v>FY25-26</v>
      </c>
      <c r="B119" s="44" t="str">
        <f>IFERROR("Q"&amp;IF(MONTH(Sheet1!A119)&gt;=4,IF(MONTH(Sheet1!A119)&lt;=6,1,IF(MONTH(Sheet1!A119)&lt;=9,2,3)),4),"")</f>
        <v>Q2</v>
      </c>
      <c r="C119" s="43" t="str">
        <f>IFERROR(Sheet1!C119,0)</f>
        <v>S.A</v>
      </c>
      <c r="D119" s="43" t="str">
        <f>IFERROR(Sheet1!F119,0)</f>
        <v>Mexico</v>
      </c>
      <c r="E119" s="43" t="str">
        <f>IFERROR(Sheet1!E119,0)</f>
        <v>PC Tyres, Mexico</v>
      </c>
      <c r="F119" s="43" t="str">
        <f>IFERROR(IF(UPPER(TRIM(Sheet1!J119))="NH","Nhava Sheva",IF(UPPER(TRIM(Sheet1!J119))="ICD","ICD Dhannad",IF(UPPER(TRIM(Sheet1!J119))="TIHI","ICD Tihi",Sheet1!J119))),0)</f>
        <v>Nhava Sheva</v>
      </c>
      <c r="G119" s="43" t="str">
        <f>IFERROR(Sheet1!M119,0)</f>
        <v>Manzanillo</v>
      </c>
      <c r="H119" s="43" t="str">
        <f>IFERROR(Sheet1!H119,0)</f>
        <v>Sanjay Forwarder</v>
      </c>
      <c r="I119" s="43" t="str">
        <f>IFERROR(Sheet1!G119,0)</f>
        <v>CIF</v>
      </c>
      <c r="J119" s="43" t="str">
        <f>IFERROR(Sheet1!K119,0)</f>
        <v>Evergreen</v>
      </c>
      <c r="K119" s="45">
        <f>IFERROR(Sheet1!A119,0)</f>
        <v>45861</v>
      </c>
      <c r="L119" s="45">
        <f>IFERROR(Sheet1!I119,0)</f>
        <v>45861</v>
      </c>
      <c r="M119" s="47" t="str">
        <f>IFERROR(Sheet1!P119,0)</f>
        <v>NA</v>
      </c>
      <c r="N119" s="46">
        <f>IFERROR(IF(ISNUMBER(Sheet1!N119),Sheet1!N119,0),0)</f>
        <v>2650</v>
      </c>
      <c r="O119" s="46">
        <f>IFERROR(IF(TRIM(F119)="Nhava Sheva",SUMPRODUCT((UPPER(TRIM('Origin Costs'!$A$5:$A$44))=UPPER(TRIM(J119)))*'Origin Costs'!$C$5:$C$44),IF(TRIM(F119)="ICD Tihi",SUMPRODUCT((UPPER(TRIM('Origin Costs'!$A$49:$A$88))=UPPER(TRIM(J119)))*'Origin Costs'!$C$49:$C$88),IF(TRIM(F119)="ICD Dhannad",SUMPRODUCT((UPPER(TRIM('Origin Costs'!$A$93:$A$132))=UPPER(TRIM(J119)))*'Origin Costs'!$C$93:$C$132),0))),0)</f>
        <v>0</v>
      </c>
      <c r="P119" s="46">
        <f t="shared" si="1"/>
        <v>2650</v>
      </c>
      <c r="Q119" s="13" t="str">
        <f>IF(OR(Dashboard!$C$4="All Customers",$E119=Dashboard!$C$4),IF($E119="","",$P119+ROW()/10000000),"")</f>
        <v/>
      </c>
    </row>
    <row r="120" spans="1:17" ht="14.25" customHeight="1" x14ac:dyDescent="0.3">
      <c r="A120" s="39" t="str">
        <f>IFERROR("FY"&amp;TEXT(MOD(IF(MONTH(Sheet1!A120)&gt;=4,YEAR(Sheet1!A120),YEAR(Sheet1!A120)-1),100),"00")&amp;"-"&amp;TEXT(MOD(IF(MONTH(Sheet1!A120)&gt;=4,YEAR(Sheet1!A120),YEAR(Sheet1!A120)-1)+1,100),"00"),"")</f>
        <v>FY25-26</v>
      </c>
      <c r="B120" s="40" t="str">
        <f>IFERROR("Q"&amp;IF(MONTH(Sheet1!A120)&gt;=4,IF(MONTH(Sheet1!A120)&lt;=6,1,IF(MONTH(Sheet1!A120)&lt;=9,2,3)),4),"")</f>
        <v>Q2</v>
      </c>
      <c r="C120" s="39" t="str">
        <f>IFERROR(Sheet1!C120,0)</f>
        <v>Europe</v>
      </c>
      <c r="D120" s="39" t="str">
        <f>IFERROR(Sheet1!F120,0)</f>
        <v>Italy</v>
      </c>
      <c r="E120" s="39" t="str">
        <f>IFERROR(Sheet1!E120,0)</f>
        <v>Fintyre Spa, Italy</v>
      </c>
      <c r="F120" s="39" t="str">
        <f>IFERROR(IF(UPPER(TRIM(Sheet1!J120))="NH","Nhava Sheva",IF(UPPER(TRIM(Sheet1!J120))="ICD","ICD Dhannad",IF(UPPER(TRIM(Sheet1!J120))="TIHI","ICD Tihi",Sheet1!J120))),0)</f>
        <v>Nhava Sheva</v>
      </c>
      <c r="G120" s="39" t="str">
        <f>IFERROR(Sheet1!M120,0)</f>
        <v>GENOA</v>
      </c>
      <c r="H120" s="39" t="str">
        <f>IFERROR(Sheet1!H120,0)</f>
        <v>FEI Crgo</v>
      </c>
      <c r="I120" s="39" t="str">
        <f>IFERROR(Sheet1!G120,0)</f>
        <v>FOB</v>
      </c>
      <c r="J120" s="39" t="str">
        <f>IFERROR(Sheet1!K120,0)</f>
        <v>Hapag</v>
      </c>
      <c r="K120" s="41">
        <f>IFERROR(Sheet1!A120,0)</f>
        <v>45862</v>
      </c>
      <c r="L120" s="41">
        <f>IFERROR(Sheet1!I120,0)</f>
        <v>45860</v>
      </c>
      <c r="M120" s="47" t="str">
        <f>IFERROR(Sheet1!P120,0)</f>
        <v>NA</v>
      </c>
      <c r="N120" s="42">
        <f>IFERROR(IF(ISNUMBER(Sheet1!N120),Sheet1!N120,0),0)</f>
        <v>0</v>
      </c>
      <c r="O120" s="42">
        <f>IFERROR(IF(TRIM(F120)="Nhava Sheva",SUMPRODUCT((UPPER(TRIM('Origin Costs'!$A$5:$A$44))=UPPER(TRIM(J120)))*'Origin Costs'!$C$5:$C$44),IF(TRIM(F120)="ICD Tihi",SUMPRODUCT((UPPER(TRIM('Origin Costs'!$A$49:$A$88))=UPPER(TRIM(J120)))*'Origin Costs'!$C$49:$C$88),IF(TRIM(F120)="ICD Dhannad",SUMPRODUCT((UPPER(TRIM('Origin Costs'!$A$93:$A$132))=UPPER(TRIM(J120)))*'Origin Costs'!$C$93:$C$132),0))),0)</f>
        <v>1192.9777777777779</v>
      </c>
      <c r="P120" s="42">
        <f t="shared" si="1"/>
        <v>1192.9777777777779</v>
      </c>
      <c r="Q120" s="13" t="str">
        <f>IF(OR(Dashboard!$C$4="All Customers",$E120=Dashboard!$C$4),IF($E120="","",$P120+ROW()/10000000),"")</f>
        <v/>
      </c>
    </row>
    <row r="121" spans="1:17" ht="14.25" customHeight="1" x14ac:dyDescent="0.3">
      <c r="A121" s="43" t="str">
        <f>IFERROR("FY"&amp;TEXT(MOD(IF(MONTH(Sheet1!A121)&gt;=4,YEAR(Sheet1!A121),YEAR(Sheet1!A121)-1),100),"00")&amp;"-"&amp;TEXT(MOD(IF(MONTH(Sheet1!A121)&gt;=4,YEAR(Sheet1!A121),YEAR(Sheet1!A121)-1)+1,100),"00"),"")</f>
        <v>FY25-26</v>
      </c>
      <c r="B121" s="44" t="str">
        <f>IFERROR("Q"&amp;IF(MONTH(Sheet1!A121)&gt;=4,IF(MONTH(Sheet1!A121)&lt;=6,1,IF(MONTH(Sheet1!A121)&lt;=9,2,3)),4),"")</f>
        <v>Q2</v>
      </c>
      <c r="C121" s="43" t="str">
        <f>IFERROR(Sheet1!C121,0)</f>
        <v>Europe</v>
      </c>
      <c r="D121" s="43" t="str">
        <f>IFERROR(Sheet1!F121,0)</f>
        <v>Italy</v>
      </c>
      <c r="E121" s="43" t="str">
        <f>IFERROR(Sheet1!E121,0)</f>
        <v>Fintyre Spa, Italy</v>
      </c>
      <c r="F121" s="43" t="str">
        <f>IFERROR(IF(UPPER(TRIM(Sheet1!J121))="NH","Nhava Sheva",IF(UPPER(TRIM(Sheet1!J121))="ICD","ICD Dhannad",IF(UPPER(TRIM(Sheet1!J121))="TIHI","ICD Tihi",Sheet1!J121))),0)</f>
        <v>Nhava Sheva</v>
      </c>
      <c r="G121" s="43" t="str">
        <f>IFERROR(Sheet1!M121,0)</f>
        <v>GENOA</v>
      </c>
      <c r="H121" s="43" t="str">
        <f>IFERROR(Sheet1!H121,0)</f>
        <v>FEI Crgo</v>
      </c>
      <c r="I121" s="43" t="str">
        <f>IFERROR(Sheet1!G121,0)</f>
        <v>FOB</v>
      </c>
      <c r="J121" s="43" t="str">
        <f>IFERROR(Sheet1!K121,0)</f>
        <v>Hapag</v>
      </c>
      <c r="K121" s="45">
        <f>IFERROR(Sheet1!A121,0)</f>
        <v>45862</v>
      </c>
      <c r="L121" s="45">
        <f>IFERROR(Sheet1!I121,0)</f>
        <v>45860</v>
      </c>
      <c r="M121" s="47" t="str">
        <f>IFERROR(Sheet1!P121,0)</f>
        <v>NA</v>
      </c>
      <c r="N121" s="46">
        <f>IFERROR(IF(ISNUMBER(Sheet1!N121),Sheet1!N121,0),0)</f>
        <v>0</v>
      </c>
      <c r="O121" s="46">
        <f>IFERROR(IF(TRIM(F121)="Nhava Sheva",SUMPRODUCT((UPPER(TRIM('Origin Costs'!$A$5:$A$44))=UPPER(TRIM(J121)))*'Origin Costs'!$C$5:$C$44),IF(TRIM(F121)="ICD Tihi",SUMPRODUCT((UPPER(TRIM('Origin Costs'!$A$49:$A$88))=UPPER(TRIM(J121)))*'Origin Costs'!$C$49:$C$88),IF(TRIM(F121)="ICD Dhannad",SUMPRODUCT((UPPER(TRIM('Origin Costs'!$A$93:$A$132))=UPPER(TRIM(J121)))*'Origin Costs'!$C$93:$C$132),0))),0)</f>
        <v>1192.9777777777779</v>
      </c>
      <c r="P121" s="46">
        <f t="shared" si="1"/>
        <v>1192.9777777777779</v>
      </c>
      <c r="Q121" s="13" t="str">
        <f>IF(OR(Dashboard!$C$4="All Customers",$E121=Dashboard!$C$4),IF($E121="","",$P121+ROW()/10000000),"")</f>
        <v/>
      </c>
    </row>
    <row r="122" spans="1:17" ht="14.25" customHeight="1" x14ac:dyDescent="0.3">
      <c r="A122" s="39" t="str">
        <f>IFERROR("FY"&amp;TEXT(MOD(IF(MONTH(Sheet1!A122)&gt;=4,YEAR(Sheet1!A122),YEAR(Sheet1!A122)-1),100),"00")&amp;"-"&amp;TEXT(MOD(IF(MONTH(Sheet1!A122)&gt;=4,YEAR(Sheet1!A122),YEAR(Sheet1!A122)-1)+1,100),"00"),"")</f>
        <v>FY25-26</v>
      </c>
      <c r="B122" s="40" t="str">
        <f>IFERROR("Q"&amp;IF(MONTH(Sheet1!A122)&gt;=4,IF(MONTH(Sheet1!A122)&lt;=6,1,IF(MONTH(Sheet1!A122)&lt;=9,2,3)),4),"")</f>
        <v>Q2</v>
      </c>
      <c r="C122" s="39" t="str">
        <f>IFERROR(Sheet1!C122,0)</f>
        <v>MEA</v>
      </c>
      <c r="D122" s="39" t="str">
        <f>IFERROR(Sheet1!F122,0)</f>
        <v>South Africa</v>
      </c>
      <c r="E122" s="39" t="str">
        <f>IFERROR(Sheet1!E122,0)</f>
        <v>Vaal Tyre Centre Holdings (Pty) Ltd-S.A</v>
      </c>
      <c r="F122" s="39" t="str">
        <f>IFERROR(IF(UPPER(TRIM(Sheet1!J122))="NH","Nhava Sheva",IF(UPPER(TRIM(Sheet1!J122))="ICD","ICD Dhannad",IF(UPPER(TRIM(Sheet1!J122))="TIHI","ICD Tihi",Sheet1!J122))),0)</f>
        <v>ICD Dhannad</v>
      </c>
      <c r="G122" s="39" t="str">
        <f>IFERROR(Sheet1!M122,0)</f>
        <v>Durban</v>
      </c>
      <c r="H122" s="39" t="str">
        <f>IFERROR(Sheet1!H122,0)</f>
        <v>Sevenseas Global</v>
      </c>
      <c r="I122" s="39" t="str">
        <f>IFERROR(Sheet1!G122,0)</f>
        <v>FOB</v>
      </c>
      <c r="J122" s="39" t="str">
        <f>IFERROR(Sheet1!K122,0)</f>
        <v>Maersk</v>
      </c>
      <c r="K122" s="41">
        <f>IFERROR(Sheet1!A122,0)</f>
        <v>45862</v>
      </c>
      <c r="L122" s="41">
        <f>IFERROR(Sheet1!I122,0)</f>
        <v>45862</v>
      </c>
      <c r="M122" s="47" t="str">
        <f>IFERROR(Sheet1!P122,0)</f>
        <v>NA</v>
      </c>
      <c r="N122" s="42">
        <f>IFERROR(IF(ISNUMBER(Sheet1!N122),Sheet1!N122,0),0)</f>
        <v>675</v>
      </c>
      <c r="O122" s="42">
        <f>IFERROR(IF(TRIM(F122)="Nhava Sheva",SUMPRODUCT((UPPER(TRIM('Origin Costs'!$A$5:$A$44))=UPPER(TRIM(J122)))*'Origin Costs'!$C$5:$C$44),IF(TRIM(F122)="ICD Tihi",SUMPRODUCT((UPPER(TRIM('Origin Costs'!$A$49:$A$88))=UPPER(TRIM(J122)))*'Origin Costs'!$C$49:$C$88),IF(TRIM(F122)="ICD Dhannad",SUMPRODUCT((UPPER(TRIM('Origin Costs'!$A$93:$A$132))=UPPER(TRIM(J122)))*'Origin Costs'!$C$93:$C$132),0))),0)</f>
        <v>0</v>
      </c>
      <c r="P122" s="42">
        <f t="shared" si="1"/>
        <v>675</v>
      </c>
      <c r="Q122" s="13" t="str">
        <f>IF(OR(Dashboard!$C$4="All Customers",$E122=Dashboard!$C$4),IF($E122="","",$P122+ROW()/10000000),"")</f>
        <v/>
      </c>
    </row>
    <row r="123" spans="1:17" ht="14.25" customHeight="1" x14ac:dyDescent="0.3">
      <c r="A123" s="43" t="str">
        <f>IFERROR("FY"&amp;TEXT(MOD(IF(MONTH(Sheet1!A123)&gt;=4,YEAR(Sheet1!A123),YEAR(Sheet1!A123)-1),100),"00")&amp;"-"&amp;TEXT(MOD(IF(MONTH(Sheet1!A123)&gt;=4,YEAR(Sheet1!A123),YEAR(Sheet1!A123)-1)+1,100),"00"),"")</f>
        <v>FY25-26</v>
      </c>
      <c r="B123" s="44" t="str">
        <f>IFERROR("Q"&amp;IF(MONTH(Sheet1!A123)&gt;=4,IF(MONTH(Sheet1!A123)&lt;=6,1,IF(MONTH(Sheet1!A123)&lt;=9,2,3)),4),"")</f>
        <v>Q2</v>
      </c>
      <c r="C123" s="43" t="str">
        <f>IFERROR(Sheet1!C123,0)</f>
        <v>Europe</v>
      </c>
      <c r="D123" s="43" t="str">
        <f>IFERROR(Sheet1!F123,0)</f>
        <v>UK</v>
      </c>
      <c r="E123" s="43" t="str">
        <f>IFERROR(Sheet1!E123,0)</f>
        <v>BA Bush Tyres</v>
      </c>
      <c r="F123" s="43" t="str">
        <f>IFERROR(IF(UPPER(TRIM(Sheet1!J123))="NH","Nhava Sheva",IF(UPPER(TRIM(Sheet1!J123))="ICD","ICD Dhannad",IF(UPPER(TRIM(Sheet1!J123))="TIHI","ICD Tihi",Sheet1!J123))),0)</f>
        <v>Nhava Sheva</v>
      </c>
      <c r="G123" s="43" t="str">
        <f>IFERROR(Sheet1!M123,0)</f>
        <v>London Gateway</v>
      </c>
      <c r="H123" s="43" t="str">
        <f>IFERROR(Sheet1!H123,0)</f>
        <v>Hellmann</v>
      </c>
      <c r="I123" s="43" t="str">
        <f>IFERROR(Sheet1!G123,0)</f>
        <v>CIF</v>
      </c>
      <c r="J123" s="43" t="str">
        <f>IFERROR(Sheet1!K123,0)</f>
        <v>Hapag</v>
      </c>
      <c r="K123" s="45">
        <f>IFERROR(Sheet1!A123,0)</f>
        <v>45863</v>
      </c>
      <c r="L123" s="45">
        <f>IFERROR(Sheet1!I123,0)</f>
        <v>45861</v>
      </c>
      <c r="M123" s="47" t="str">
        <f>IFERROR(Sheet1!P123,0)</f>
        <v>NA</v>
      </c>
      <c r="N123" s="46">
        <f>IFERROR(IF(ISNUMBER(Sheet1!N123),Sheet1!N123,0),0)</f>
        <v>1640</v>
      </c>
      <c r="O123" s="46">
        <f>IFERROR(IF(TRIM(F123)="Nhava Sheva",SUMPRODUCT((UPPER(TRIM('Origin Costs'!$A$5:$A$44))=UPPER(TRIM(J123)))*'Origin Costs'!$C$5:$C$44),IF(TRIM(F123)="ICD Tihi",SUMPRODUCT((UPPER(TRIM('Origin Costs'!$A$49:$A$88))=UPPER(TRIM(J123)))*'Origin Costs'!$C$49:$C$88),IF(TRIM(F123)="ICD Dhannad",SUMPRODUCT((UPPER(TRIM('Origin Costs'!$A$93:$A$132))=UPPER(TRIM(J123)))*'Origin Costs'!$C$93:$C$132),0))),0)</f>
        <v>1192.9777777777779</v>
      </c>
      <c r="P123" s="46">
        <f t="shared" si="1"/>
        <v>2832.9777777777781</v>
      </c>
      <c r="Q123" s="13" t="str">
        <f>IF(OR(Dashboard!$C$4="All Customers",$E123=Dashboard!$C$4),IF($E123="","",$P123+ROW()/10000000),"")</f>
        <v/>
      </c>
    </row>
    <row r="124" spans="1:17" ht="14.25" customHeight="1" x14ac:dyDescent="0.3">
      <c r="A124" s="39" t="str">
        <f>IFERROR("FY"&amp;TEXT(MOD(IF(MONTH(Sheet1!A124)&gt;=4,YEAR(Sheet1!A124),YEAR(Sheet1!A124)-1),100),"00")&amp;"-"&amp;TEXT(MOD(IF(MONTH(Sheet1!A124)&gt;=4,YEAR(Sheet1!A124),YEAR(Sheet1!A124)-1)+1,100),"00"),"")</f>
        <v>FY25-26</v>
      </c>
      <c r="B124" s="40" t="str">
        <f>IFERROR("Q"&amp;IF(MONTH(Sheet1!A124)&gt;=4,IF(MONTH(Sheet1!A124)&lt;=6,1,IF(MONTH(Sheet1!A124)&lt;=9,2,3)),4),"")</f>
        <v>Q2</v>
      </c>
      <c r="C124" s="39" t="str">
        <f>IFERROR(Sheet1!C124,0)</f>
        <v>S.A</v>
      </c>
      <c r="D124" s="39" t="str">
        <f>IFERROR(Sheet1!F124,0)</f>
        <v>Argentina</v>
      </c>
      <c r="E124" s="39" t="str">
        <f>IFERROR(Sheet1!E124,0)</f>
        <v>Rappazzo Neumaticos S.A, Argentina</v>
      </c>
      <c r="F124" s="39" t="str">
        <f>IFERROR(IF(UPPER(TRIM(Sheet1!J124))="NH","Nhava Sheva",IF(UPPER(TRIM(Sheet1!J124))="ICD","ICD Dhannad",IF(UPPER(TRIM(Sheet1!J124))="TIHI","ICD Tihi",Sheet1!J124))),0)</f>
        <v>ICD Dhannad</v>
      </c>
      <c r="G124" s="39" t="str">
        <f>IFERROR(Sheet1!M124,0)</f>
        <v>BUENOS AIRES</v>
      </c>
      <c r="H124" s="39" t="str">
        <f>IFERROR(Sheet1!H124,0)</f>
        <v>Tulsidas Khimji</v>
      </c>
      <c r="I124" s="39" t="str">
        <f>IFERROR(Sheet1!G124,0)</f>
        <v>FOB</v>
      </c>
      <c r="J124" s="39" t="str">
        <f>IFERROR(Sheet1!K124,0)</f>
        <v>MSC</v>
      </c>
      <c r="K124" s="41">
        <f>IFERROR(Sheet1!A124,0)</f>
        <v>45863</v>
      </c>
      <c r="L124" s="41">
        <f>IFERROR(Sheet1!I124,0)</f>
        <v>45863</v>
      </c>
      <c r="M124" s="47" t="str">
        <f>IFERROR(Sheet1!P124,0)</f>
        <v>NA</v>
      </c>
      <c r="N124" s="42">
        <f>IFERROR(IF(ISNUMBER(Sheet1!N124),Sheet1!N124,0),0)</f>
        <v>0</v>
      </c>
      <c r="O124" s="42">
        <f>IFERROR(IF(TRIM(F124)="Nhava Sheva",SUMPRODUCT((UPPER(TRIM('Origin Costs'!$A$5:$A$44))=UPPER(TRIM(J124)))*'Origin Costs'!$C$5:$C$44),IF(TRIM(F124)="ICD Tihi",SUMPRODUCT((UPPER(TRIM('Origin Costs'!$A$49:$A$88))=UPPER(TRIM(J124)))*'Origin Costs'!$C$49:$C$88),IF(TRIM(F124)="ICD Dhannad",SUMPRODUCT((UPPER(TRIM('Origin Costs'!$A$93:$A$132))=UPPER(TRIM(J124)))*'Origin Costs'!$C$93:$C$132),0))),0)</f>
        <v>0</v>
      </c>
      <c r="P124" s="42">
        <f t="shared" si="1"/>
        <v>0</v>
      </c>
      <c r="Q124" s="13" t="str">
        <f>IF(OR(Dashboard!$C$4="All Customers",$E124=Dashboard!$C$4),IF($E124="","",$P124+ROW()/10000000),"")</f>
        <v/>
      </c>
    </row>
    <row r="125" spans="1:17" ht="14.25" customHeight="1" x14ac:dyDescent="0.3">
      <c r="A125" s="43" t="str">
        <f>IFERROR("FY"&amp;TEXT(MOD(IF(MONTH(Sheet1!A125)&gt;=4,YEAR(Sheet1!A125),YEAR(Sheet1!A125)-1),100),"00")&amp;"-"&amp;TEXT(MOD(IF(MONTH(Sheet1!A125)&gt;=4,YEAR(Sheet1!A125),YEAR(Sheet1!A125)-1)+1,100),"00"),"")</f>
        <v>FY25-26</v>
      </c>
      <c r="B125" s="44" t="str">
        <f>IFERROR("Q"&amp;IF(MONTH(Sheet1!A125)&gt;=4,IF(MONTH(Sheet1!A125)&lt;=6,1,IF(MONTH(Sheet1!A125)&lt;=9,2,3)),4),"")</f>
        <v>Q2</v>
      </c>
      <c r="C125" s="43" t="str">
        <f>IFERROR(Sheet1!C125,0)</f>
        <v>S.A</v>
      </c>
      <c r="D125" s="43" t="str">
        <f>IFERROR(Sheet1!F125,0)</f>
        <v>Argentina</v>
      </c>
      <c r="E125" s="43" t="str">
        <f>IFERROR(Sheet1!E125,0)</f>
        <v>Rappazzo Neumaticos S.A, Argentina</v>
      </c>
      <c r="F125" s="43" t="str">
        <f>IFERROR(IF(UPPER(TRIM(Sheet1!J125))="NH","Nhava Sheva",IF(UPPER(TRIM(Sheet1!J125))="ICD","ICD Dhannad",IF(UPPER(TRIM(Sheet1!J125))="TIHI","ICD Tihi",Sheet1!J125))),0)</f>
        <v>ICD Dhannad</v>
      </c>
      <c r="G125" s="43" t="str">
        <f>IFERROR(Sheet1!M125,0)</f>
        <v>BUENOS AIRES</v>
      </c>
      <c r="H125" s="43" t="str">
        <f>IFERROR(Sheet1!H125,0)</f>
        <v>Tulsidas Khimji</v>
      </c>
      <c r="I125" s="43" t="str">
        <f>IFERROR(Sheet1!G125,0)</f>
        <v>FOB</v>
      </c>
      <c r="J125" s="43" t="str">
        <f>IFERROR(Sheet1!K125,0)</f>
        <v>MSC</v>
      </c>
      <c r="K125" s="45">
        <f>IFERROR(Sheet1!A125,0)</f>
        <v>45863</v>
      </c>
      <c r="L125" s="45">
        <f>IFERROR(Sheet1!I125,0)</f>
        <v>45863</v>
      </c>
      <c r="M125" s="47" t="str">
        <f>IFERROR(Sheet1!P125,0)</f>
        <v>NA</v>
      </c>
      <c r="N125" s="46">
        <f>IFERROR(IF(ISNUMBER(Sheet1!N125),Sheet1!N125,0),0)</f>
        <v>0</v>
      </c>
      <c r="O125" s="46">
        <f>IFERROR(IF(TRIM(F125)="Nhava Sheva",SUMPRODUCT((UPPER(TRIM('Origin Costs'!$A$5:$A$44))=UPPER(TRIM(J125)))*'Origin Costs'!$C$5:$C$44),IF(TRIM(F125)="ICD Tihi",SUMPRODUCT((UPPER(TRIM('Origin Costs'!$A$49:$A$88))=UPPER(TRIM(J125)))*'Origin Costs'!$C$49:$C$88),IF(TRIM(F125)="ICD Dhannad",SUMPRODUCT((UPPER(TRIM('Origin Costs'!$A$93:$A$132))=UPPER(TRIM(J125)))*'Origin Costs'!$C$93:$C$132),0))),0)</f>
        <v>0</v>
      </c>
      <c r="P125" s="46">
        <f t="shared" si="1"/>
        <v>0</v>
      </c>
      <c r="Q125" s="13" t="str">
        <f>IF(OR(Dashboard!$C$4="All Customers",$E125=Dashboard!$C$4),IF($E125="","",$P125+ROW()/10000000),"")</f>
        <v/>
      </c>
    </row>
    <row r="126" spans="1:17" ht="14.25" customHeight="1" x14ac:dyDescent="0.3">
      <c r="A126" s="39" t="str">
        <f>IFERROR("FY"&amp;TEXT(MOD(IF(MONTH(Sheet1!A126)&gt;=4,YEAR(Sheet1!A126),YEAR(Sheet1!A126)-1),100),"00")&amp;"-"&amp;TEXT(MOD(IF(MONTH(Sheet1!A126)&gt;=4,YEAR(Sheet1!A126),YEAR(Sheet1!A126)-1)+1,100),"00"),"")</f>
        <v>FY25-26</v>
      </c>
      <c r="B126" s="40" t="str">
        <f>IFERROR("Q"&amp;IF(MONTH(Sheet1!A126)&gt;=4,IF(MONTH(Sheet1!A126)&lt;=6,1,IF(MONTH(Sheet1!A126)&lt;=9,2,3)),4),"")</f>
        <v>Q2</v>
      </c>
      <c r="C126" s="39" t="str">
        <f>IFERROR(Sheet1!C126,0)</f>
        <v>S.A</v>
      </c>
      <c r="D126" s="39" t="str">
        <f>IFERROR(Sheet1!F126,0)</f>
        <v>Argentina</v>
      </c>
      <c r="E126" s="39" t="str">
        <f>IFERROR(Sheet1!E126,0)</f>
        <v>Rappazzo Neumaticos S.A, Argentina</v>
      </c>
      <c r="F126" s="39" t="str">
        <f>IFERROR(IF(UPPER(TRIM(Sheet1!J126))="NH","Nhava Sheva",IF(UPPER(TRIM(Sheet1!J126))="ICD","ICD Dhannad",IF(UPPER(TRIM(Sheet1!J126))="TIHI","ICD Tihi",Sheet1!J126))),0)</f>
        <v>ICD Dhannad</v>
      </c>
      <c r="G126" s="39" t="str">
        <f>IFERROR(Sheet1!M126,0)</f>
        <v>BUENOS AIRES</v>
      </c>
      <c r="H126" s="39" t="str">
        <f>IFERROR(Sheet1!H126,0)</f>
        <v>Tulsidas Khimji</v>
      </c>
      <c r="I126" s="39" t="str">
        <f>IFERROR(Sheet1!G126,0)</f>
        <v>FOB</v>
      </c>
      <c r="J126" s="39" t="str">
        <f>IFERROR(Sheet1!K126,0)</f>
        <v>MSC</v>
      </c>
      <c r="K126" s="41">
        <f>IFERROR(Sheet1!A126,0)</f>
        <v>45863</v>
      </c>
      <c r="L126" s="41">
        <f>IFERROR(Sheet1!I126,0)</f>
        <v>45863</v>
      </c>
      <c r="M126" s="47" t="str">
        <f>IFERROR(Sheet1!P126,0)</f>
        <v>NA</v>
      </c>
      <c r="N126" s="42">
        <f>IFERROR(IF(ISNUMBER(Sheet1!N126),Sheet1!N126,0),0)</f>
        <v>0</v>
      </c>
      <c r="O126" s="42">
        <f>IFERROR(IF(TRIM(F126)="Nhava Sheva",SUMPRODUCT((UPPER(TRIM('Origin Costs'!$A$5:$A$44))=UPPER(TRIM(J126)))*'Origin Costs'!$C$5:$C$44),IF(TRIM(F126)="ICD Tihi",SUMPRODUCT((UPPER(TRIM('Origin Costs'!$A$49:$A$88))=UPPER(TRIM(J126)))*'Origin Costs'!$C$49:$C$88),IF(TRIM(F126)="ICD Dhannad",SUMPRODUCT((UPPER(TRIM('Origin Costs'!$A$93:$A$132))=UPPER(TRIM(J126)))*'Origin Costs'!$C$93:$C$132),0))),0)</f>
        <v>0</v>
      </c>
      <c r="P126" s="42">
        <f t="shared" si="1"/>
        <v>0</v>
      </c>
      <c r="Q126" s="13" t="str">
        <f>IF(OR(Dashboard!$C$4="All Customers",$E126=Dashboard!$C$4),IF($E126="","",$P126+ROW()/10000000),"")</f>
        <v/>
      </c>
    </row>
    <row r="127" spans="1:17" ht="14.25" customHeight="1" x14ac:dyDescent="0.3">
      <c r="A127" s="43" t="str">
        <f>IFERROR("FY"&amp;TEXT(MOD(IF(MONTH(Sheet1!A127)&gt;=4,YEAR(Sheet1!A127),YEAR(Sheet1!A127)-1),100),"00")&amp;"-"&amp;TEXT(MOD(IF(MONTH(Sheet1!A127)&gt;=4,YEAR(Sheet1!A127),YEAR(Sheet1!A127)-1)+1,100),"00"),"")</f>
        <v>FY25-26</v>
      </c>
      <c r="B127" s="44" t="str">
        <f>IFERROR("Q"&amp;IF(MONTH(Sheet1!A127)&gt;=4,IF(MONTH(Sheet1!A127)&lt;=6,1,IF(MONTH(Sheet1!A127)&lt;=9,2,3)),4),"")</f>
        <v>Q2</v>
      </c>
      <c r="C127" s="43" t="str">
        <f>IFERROR(Sheet1!C127,0)</f>
        <v>S.A</v>
      </c>
      <c r="D127" s="43" t="str">
        <f>IFERROR(Sheet1!F127,0)</f>
        <v>Argentina</v>
      </c>
      <c r="E127" s="43" t="str">
        <f>IFERROR(Sheet1!E127,0)</f>
        <v>Rappazzo Neumaticos S.A, Argentina</v>
      </c>
      <c r="F127" s="43" t="str">
        <f>IFERROR(IF(UPPER(TRIM(Sheet1!J127))="NH","Nhava Sheva",IF(UPPER(TRIM(Sheet1!J127))="ICD","ICD Dhannad",IF(UPPER(TRIM(Sheet1!J127))="TIHI","ICD Tihi",Sheet1!J127))),0)</f>
        <v>ICD Dhannad</v>
      </c>
      <c r="G127" s="43" t="str">
        <f>IFERROR(Sheet1!M127,0)</f>
        <v>BUENOS AIRES</v>
      </c>
      <c r="H127" s="43" t="str">
        <f>IFERROR(Sheet1!H127,0)</f>
        <v>Tulsidas Khimji</v>
      </c>
      <c r="I127" s="43" t="str">
        <f>IFERROR(Sheet1!G127,0)</f>
        <v>FOB</v>
      </c>
      <c r="J127" s="43" t="str">
        <f>IFERROR(Sheet1!K127,0)</f>
        <v>MSC</v>
      </c>
      <c r="K127" s="45">
        <f>IFERROR(Sheet1!A127,0)</f>
        <v>45863</v>
      </c>
      <c r="L127" s="45">
        <f>IFERROR(Sheet1!I127,0)</f>
        <v>45863</v>
      </c>
      <c r="M127" s="47" t="str">
        <f>IFERROR(Sheet1!P127,0)</f>
        <v>NA</v>
      </c>
      <c r="N127" s="46">
        <f>IFERROR(IF(ISNUMBER(Sheet1!N127),Sheet1!N127,0),0)</f>
        <v>0</v>
      </c>
      <c r="O127" s="46">
        <f>IFERROR(IF(TRIM(F127)="Nhava Sheva",SUMPRODUCT((UPPER(TRIM('Origin Costs'!$A$5:$A$44))=UPPER(TRIM(J127)))*'Origin Costs'!$C$5:$C$44),IF(TRIM(F127)="ICD Tihi",SUMPRODUCT((UPPER(TRIM('Origin Costs'!$A$49:$A$88))=UPPER(TRIM(J127)))*'Origin Costs'!$C$49:$C$88),IF(TRIM(F127)="ICD Dhannad",SUMPRODUCT((UPPER(TRIM('Origin Costs'!$A$93:$A$132))=UPPER(TRIM(J127)))*'Origin Costs'!$C$93:$C$132),0))),0)</f>
        <v>0</v>
      </c>
      <c r="P127" s="46">
        <f t="shared" si="1"/>
        <v>0</v>
      </c>
      <c r="Q127" s="13" t="str">
        <f>IF(OR(Dashboard!$C$4="All Customers",$E127=Dashboard!$C$4),IF($E127="","",$P127+ROW()/10000000),"")</f>
        <v/>
      </c>
    </row>
    <row r="128" spans="1:17" ht="14.25" customHeight="1" x14ac:dyDescent="0.3">
      <c r="A128" s="39" t="str">
        <f>IFERROR("FY"&amp;TEXT(MOD(IF(MONTH(Sheet1!A128)&gt;=4,YEAR(Sheet1!A128),YEAR(Sheet1!A128)-1),100),"00")&amp;"-"&amp;TEXT(MOD(IF(MONTH(Sheet1!A128)&gt;=4,YEAR(Sheet1!A128),YEAR(Sheet1!A128)-1)+1,100),"00"),"")</f>
        <v>FY25-26</v>
      </c>
      <c r="B128" s="40" t="str">
        <f>IFERROR("Q"&amp;IF(MONTH(Sheet1!A128)&gt;=4,IF(MONTH(Sheet1!A128)&lt;=6,1,IF(MONTH(Sheet1!A128)&lt;=9,2,3)),4),"")</f>
        <v>Q2</v>
      </c>
      <c r="C128" s="39" t="str">
        <f>IFERROR(Sheet1!C128,0)</f>
        <v>Europe</v>
      </c>
      <c r="D128" s="39" t="str">
        <f>IFERROR(Sheet1!F128,0)</f>
        <v>Ireland</v>
      </c>
      <c r="E128" s="39" t="str">
        <f>IFERROR(Sheet1!E128,0)</f>
        <v>Agrigear LTD, Ireland</v>
      </c>
      <c r="F128" s="39" t="str">
        <f>IFERROR(IF(UPPER(TRIM(Sheet1!J128))="NH","Nhava Sheva",IF(UPPER(TRIM(Sheet1!J128))="ICD","ICD Dhannad",IF(UPPER(TRIM(Sheet1!J128))="TIHI","ICD Tihi",Sheet1!J128))),0)</f>
        <v>Nhava Sheva</v>
      </c>
      <c r="G128" s="39" t="str">
        <f>IFERROR(Sheet1!M128,0)</f>
        <v>Dublin</v>
      </c>
      <c r="H128" s="39" t="str">
        <f>IFERROR(Sheet1!H128,0)</f>
        <v>Hellmann</v>
      </c>
      <c r="I128" s="39" t="str">
        <f>IFERROR(Sheet1!G128,0)</f>
        <v>CFR</v>
      </c>
      <c r="J128" s="39" t="str">
        <f>IFERROR(Sheet1!K128,0)</f>
        <v>Hapag</v>
      </c>
      <c r="K128" s="41">
        <f>IFERROR(Sheet1!A128,0)</f>
        <v>45864</v>
      </c>
      <c r="L128" s="41">
        <f>IFERROR(Sheet1!I128,0)</f>
        <v>45862</v>
      </c>
      <c r="M128" s="47" t="str">
        <f>IFERROR(Sheet1!P128,0)</f>
        <v>NA</v>
      </c>
      <c r="N128" s="42">
        <f>IFERROR(IF(ISNUMBER(Sheet1!N128),Sheet1!N128,0),0)</f>
        <v>1100</v>
      </c>
      <c r="O128" s="42">
        <f>IFERROR(IF(TRIM(F128)="Nhava Sheva",SUMPRODUCT((UPPER(TRIM('Origin Costs'!$A$5:$A$44))=UPPER(TRIM(J128)))*'Origin Costs'!$C$5:$C$44),IF(TRIM(F128)="ICD Tihi",SUMPRODUCT((UPPER(TRIM('Origin Costs'!$A$49:$A$88))=UPPER(TRIM(J128)))*'Origin Costs'!$C$49:$C$88),IF(TRIM(F128)="ICD Dhannad",SUMPRODUCT((UPPER(TRIM('Origin Costs'!$A$93:$A$132))=UPPER(TRIM(J128)))*'Origin Costs'!$C$93:$C$132),0))),0)</f>
        <v>1192.9777777777779</v>
      </c>
      <c r="P128" s="42">
        <f t="shared" si="1"/>
        <v>2292.9777777777781</v>
      </c>
      <c r="Q128" s="13" t="str">
        <f>IF(OR(Dashboard!$C$4="All Customers",$E128=Dashboard!$C$4),IF($E128="","",$P128+ROW()/10000000),"")</f>
        <v/>
      </c>
    </row>
    <row r="129" spans="1:17" ht="14.25" customHeight="1" x14ac:dyDescent="0.3">
      <c r="A129" s="43" t="str">
        <f>IFERROR("FY"&amp;TEXT(MOD(IF(MONTH(Sheet1!A129)&gt;=4,YEAR(Sheet1!A129),YEAR(Sheet1!A129)-1),100),"00")&amp;"-"&amp;TEXT(MOD(IF(MONTH(Sheet1!A129)&gt;=4,YEAR(Sheet1!A129),YEAR(Sheet1!A129)-1)+1,100),"00"),"")</f>
        <v>FY25-26</v>
      </c>
      <c r="B129" s="44" t="str">
        <f>IFERROR("Q"&amp;IF(MONTH(Sheet1!A129)&gt;=4,IF(MONTH(Sheet1!A129)&lt;=6,1,IF(MONTH(Sheet1!A129)&lt;=9,2,3)),4),"")</f>
        <v>Q2</v>
      </c>
      <c r="C129" s="43" t="str">
        <f>IFERROR(Sheet1!C129,0)</f>
        <v>S.A</v>
      </c>
      <c r="D129" s="43" t="str">
        <f>IFERROR(Sheet1!F129,0)</f>
        <v>Peru</v>
      </c>
      <c r="E129" s="43" t="str">
        <f>IFERROR(Sheet1!E129,0)</f>
        <v>INVERSIONES Y SERVICIOS BRIFABR  I E.</v>
      </c>
      <c r="F129" s="43" t="str">
        <f>IFERROR(IF(UPPER(TRIM(Sheet1!J129))="NH","Nhava Sheva",IF(UPPER(TRIM(Sheet1!J129))="ICD","ICD Dhannad",IF(UPPER(TRIM(Sheet1!J129))="TIHI","ICD Tihi",Sheet1!J129))),0)</f>
        <v>Nhava Sheva</v>
      </c>
      <c r="G129" s="43" t="str">
        <f>IFERROR(Sheet1!M129,0)</f>
        <v>CALLAO</v>
      </c>
      <c r="H129" s="43" t="str">
        <f>IFERROR(Sheet1!H129,0)</f>
        <v>Sevenseas Global</v>
      </c>
      <c r="I129" s="43" t="str">
        <f>IFERROR(Sheet1!G129,0)</f>
        <v>CFR</v>
      </c>
      <c r="J129" s="43" t="str">
        <f>IFERROR(Sheet1!K129,0)</f>
        <v>Evergreen</v>
      </c>
      <c r="K129" s="45">
        <f>IFERROR(Sheet1!A129,0)</f>
        <v>45864</v>
      </c>
      <c r="L129" s="45">
        <f>IFERROR(Sheet1!I129,0)</f>
        <v>45862</v>
      </c>
      <c r="M129" s="47" t="str">
        <f>IFERROR(Sheet1!P129,0)</f>
        <v>NA</v>
      </c>
      <c r="N129" s="46">
        <f>IFERROR(IF(ISNUMBER(Sheet1!N129),Sheet1!N129,0),0)</f>
        <v>2495</v>
      </c>
      <c r="O129" s="46">
        <f>IFERROR(IF(TRIM(F129)="Nhava Sheva",SUMPRODUCT((UPPER(TRIM('Origin Costs'!$A$5:$A$44))=UPPER(TRIM(J129)))*'Origin Costs'!$C$5:$C$44),IF(TRIM(F129)="ICD Tihi",SUMPRODUCT((UPPER(TRIM('Origin Costs'!$A$49:$A$88))=UPPER(TRIM(J129)))*'Origin Costs'!$C$49:$C$88),IF(TRIM(F129)="ICD Dhannad",SUMPRODUCT((UPPER(TRIM('Origin Costs'!$A$93:$A$132))=UPPER(TRIM(J129)))*'Origin Costs'!$C$93:$C$132),0))),0)</f>
        <v>0</v>
      </c>
      <c r="P129" s="46">
        <f t="shared" si="1"/>
        <v>2495</v>
      </c>
      <c r="Q129" s="13" t="str">
        <f>IF(OR(Dashboard!$C$4="All Customers",$E129=Dashboard!$C$4),IF($E129="","",$P129+ROW()/10000000),"")</f>
        <v/>
      </c>
    </row>
    <row r="130" spans="1:17" ht="14.25" customHeight="1" x14ac:dyDescent="0.3">
      <c r="A130" s="39" t="str">
        <f>IFERROR("FY"&amp;TEXT(MOD(IF(MONTH(Sheet1!A130)&gt;=4,YEAR(Sheet1!A130),YEAR(Sheet1!A130)-1),100),"00")&amp;"-"&amp;TEXT(MOD(IF(MONTH(Sheet1!A130)&gt;=4,YEAR(Sheet1!A130),YEAR(Sheet1!A130)-1)+1,100),"00"),"")</f>
        <v>FY25-26</v>
      </c>
      <c r="B130" s="40" t="str">
        <f>IFERROR("Q"&amp;IF(MONTH(Sheet1!A130)&gt;=4,IF(MONTH(Sheet1!A130)&lt;=6,1,IF(MONTH(Sheet1!A130)&lt;=9,2,3)),4),"")</f>
        <v>Q2</v>
      </c>
      <c r="C130" s="39" t="str">
        <f>IFERROR(Sheet1!C130,0)</f>
        <v>S.A</v>
      </c>
      <c r="D130" s="39" t="str">
        <f>IFERROR(Sheet1!F130,0)</f>
        <v>Peru</v>
      </c>
      <c r="E130" s="39" t="str">
        <f>IFERROR(Sheet1!E130,0)</f>
        <v>INVERSIONES Y SERVICIOS BRIFABRI E.</v>
      </c>
      <c r="F130" s="39" t="str">
        <f>IFERROR(IF(UPPER(TRIM(Sheet1!J130))="NH","Nhava Sheva",IF(UPPER(TRIM(Sheet1!J130))="ICD","ICD Dhannad",IF(UPPER(TRIM(Sheet1!J130))="TIHI","ICD Tihi",Sheet1!J130))),0)</f>
        <v>Nhava Sheva</v>
      </c>
      <c r="G130" s="39" t="str">
        <f>IFERROR(Sheet1!M130,0)</f>
        <v>CALLAO</v>
      </c>
      <c r="H130" s="39" t="str">
        <f>IFERROR(Sheet1!H130,0)</f>
        <v>Sevenseas Global</v>
      </c>
      <c r="I130" s="39" t="str">
        <f>IFERROR(Sheet1!G130,0)</f>
        <v>CFR</v>
      </c>
      <c r="J130" s="39" t="str">
        <f>IFERROR(Sheet1!K130,0)</f>
        <v>Evergreen</v>
      </c>
      <c r="K130" s="41">
        <f>IFERROR(Sheet1!A130,0)</f>
        <v>45864</v>
      </c>
      <c r="L130" s="41">
        <f>IFERROR(Sheet1!I130,0)</f>
        <v>45862</v>
      </c>
      <c r="M130" s="47" t="str">
        <f>IFERROR(Sheet1!P130,0)</f>
        <v>NA</v>
      </c>
      <c r="N130" s="42">
        <f>IFERROR(IF(ISNUMBER(Sheet1!N130),Sheet1!N130,0),0)</f>
        <v>2495</v>
      </c>
      <c r="O130" s="42">
        <f>IFERROR(IF(TRIM(F130)="Nhava Sheva",SUMPRODUCT((UPPER(TRIM('Origin Costs'!$A$5:$A$44))=UPPER(TRIM(J130)))*'Origin Costs'!$C$5:$C$44),IF(TRIM(F130)="ICD Tihi",SUMPRODUCT((UPPER(TRIM('Origin Costs'!$A$49:$A$88))=UPPER(TRIM(J130)))*'Origin Costs'!$C$49:$C$88),IF(TRIM(F130)="ICD Dhannad",SUMPRODUCT((UPPER(TRIM('Origin Costs'!$A$93:$A$132))=UPPER(TRIM(J130)))*'Origin Costs'!$C$93:$C$132),0))),0)</f>
        <v>0</v>
      </c>
      <c r="P130" s="42">
        <f t="shared" ref="P130:P193" si="2">N130+O130</f>
        <v>2495</v>
      </c>
      <c r="Q130" s="13" t="str">
        <f>IF(OR(Dashboard!$C$4="All Customers",$E130=Dashboard!$C$4),IF($E130="","",$P130+ROW()/10000000),"")</f>
        <v/>
      </c>
    </row>
    <row r="131" spans="1:17" ht="14.25" customHeight="1" x14ac:dyDescent="0.3">
      <c r="A131" s="43" t="str">
        <f>IFERROR("FY"&amp;TEXT(MOD(IF(MONTH(Sheet1!A131)&gt;=4,YEAR(Sheet1!A131),YEAR(Sheet1!A131)-1),100),"00")&amp;"-"&amp;TEXT(MOD(IF(MONTH(Sheet1!A131)&gt;=4,YEAR(Sheet1!A131),YEAR(Sheet1!A131)-1)+1,100),"00"),"")</f>
        <v>FY25-26</v>
      </c>
      <c r="B131" s="44" t="str">
        <f>IFERROR("Q"&amp;IF(MONTH(Sheet1!A131)&gt;=4,IF(MONTH(Sheet1!A131)&lt;=6,1,IF(MONTH(Sheet1!A131)&lt;=9,2,3)),4),"")</f>
        <v>Q2</v>
      </c>
      <c r="C131" s="43" t="str">
        <f>IFERROR(Sheet1!C131,0)</f>
        <v>MEA</v>
      </c>
      <c r="D131" s="43" t="str">
        <f>IFERROR(Sheet1!F131,0)</f>
        <v>Egypt</v>
      </c>
      <c r="E131" s="43" t="str">
        <f>IFERROR(Sheet1!E131,0)</f>
        <v>MSK Egypt For Import and Export</v>
      </c>
      <c r="F131" s="43" t="str">
        <f>IFERROR(IF(UPPER(TRIM(Sheet1!J131))="NH","Nhava Sheva",IF(UPPER(TRIM(Sheet1!J131))="ICD","ICD Dhannad",IF(UPPER(TRIM(Sheet1!J131))="TIHI","ICD Tihi",Sheet1!J131))),0)</f>
        <v>Nhava Sheva</v>
      </c>
      <c r="G131" s="43" t="str">
        <f>IFERROR(Sheet1!M131,0)</f>
        <v>Ain Sokhna</v>
      </c>
      <c r="H131" s="43" t="str">
        <f>IFERROR(Sheet1!H131,0)</f>
        <v>Aqua Air</v>
      </c>
      <c r="I131" s="43" t="str">
        <f>IFERROR(Sheet1!G131,0)</f>
        <v>FOB</v>
      </c>
      <c r="J131" s="43" t="str">
        <f>IFERROR(Sheet1!K131,0)</f>
        <v>CMA</v>
      </c>
      <c r="K131" s="45">
        <f>IFERROR(Sheet1!A131,0)</f>
        <v>45866</v>
      </c>
      <c r="L131" s="45">
        <f>IFERROR(Sheet1!I131,0)</f>
        <v>45864</v>
      </c>
      <c r="M131" s="47" t="str">
        <f>IFERROR(Sheet1!P131,0)</f>
        <v>NA</v>
      </c>
      <c r="N131" s="46">
        <f>IFERROR(IF(ISNUMBER(Sheet1!N131),Sheet1!N131,0),0)</f>
        <v>0</v>
      </c>
      <c r="O131" s="46">
        <f>IFERROR(IF(TRIM(F131)="Nhava Sheva",SUMPRODUCT((UPPER(TRIM('Origin Costs'!$A$5:$A$44))=UPPER(TRIM(J131)))*'Origin Costs'!$C$5:$C$44),IF(TRIM(F131)="ICD Tihi",SUMPRODUCT((UPPER(TRIM('Origin Costs'!$A$49:$A$88))=UPPER(TRIM(J131)))*'Origin Costs'!$C$49:$C$88),IF(TRIM(F131)="ICD Dhannad",SUMPRODUCT((UPPER(TRIM('Origin Costs'!$A$93:$A$132))=UPPER(TRIM(J131)))*'Origin Costs'!$C$93:$C$132),0))),0)</f>
        <v>0</v>
      </c>
      <c r="P131" s="46">
        <f t="shared" si="2"/>
        <v>0</v>
      </c>
      <c r="Q131" s="13" t="str">
        <f>IF(OR(Dashboard!$C$4="All Customers",$E131=Dashboard!$C$4),IF($E131="","",$P131+ROW()/10000000),"")</f>
        <v/>
      </c>
    </row>
    <row r="132" spans="1:17" ht="14.25" customHeight="1" x14ac:dyDescent="0.3">
      <c r="A132" s="39" t="str">
        <f>IFERROR("FY"&amp;TEXT(MOD(IF(MONTH(Sheet1!A132)&gt;=4,YEAR(Sheet1!A132),YEAR(Sheet1!A132)-1),100),"00")&amp;"-"&amp;TEXT(MOD(IF(MONTH(Sheet1!A132)&gt;=4,YEAR(Sheet1!A132),YEAR(Sheet1!A132)-1)+1,100),"00"),"")</f>
        <v>FY25-26</v>
      </c>
      <c r="B132" s="40" t="str">
        <f>IFERROR("Q"&amp;IF(MONTH(Sheet1!A132)&gt;=4,IF(MONTH(Sheet1!A132)&lt;=6,1,IF(MONTH(Sheet1!A132)&lt;=9,2,3)),4),"")</f>
        <v>Q2</v>
      </c>
      <c r="C132" s="39" t="str">
        <f>IFERROR(Sheet1!C132,0)</f>
        <v>MEA</v>
      </c>
      <c r="D132" s="39" t="str">
        <f>IFERROR(Sheet1!F132,0)</f>
        <v>Egypt</v>
      </c>
      <c r="E132" s="39" t="str">
        <f>IFERROR(Sheet1!E132,0)</f>
        <v>MSK Egypt For Import and Export</v>
      </c>
      <c r="F132" s="39" t="str">
        <f>IFERROR(IF(UPPER(TRIM(Sheet1!J132))="NH","Nhava Sheva",IF(UPPER(TRIM(Sheet1!J132))="ICD","ICD Dhannad",IF(UPPER(TRIM(Sheet1!J132))="TIHI","ICD Tihi",Sheet1!J132))),0)</f>
        <v>Nhava Sheva</v>
      </c>
      <c r="G132" s="39" t="str">
        <f>IFERROR(Sheet1!M132,0)</f>
        <v>Ain Sokhna</v>
      </c>
      <c r="H132" s="39" t="str">
        <f>IFERROR(Sheet1!H132,0)</f>
        <v>Aqua Air</v>
      </c>
      <c r="I132" s="39" t="str">
        <f>IFERROR(Sheet1!G132,0)</f>
        <v>FOB</v>
      </c>
      <c r="J132" s="39" t="str">
        <f>IFERROR(Sheet1!K132,0)</f>
        <v>CMA</v>
      </c>
      <c r="K132" s="41">
        <f>IFERROR(Sheet1!A132,0)</f>
        <v>45866</v>
      </c>
      <c r="L132" s="41">
        <f>IFERROR(Sheet1!I132,0)</f>
        <v>45864</v>
      </c>
      <c r="M132" s="47" t="str">
        <f>IFERROR(Sheet1!P132,0)</f>
        <v>NA</v>
      </c>
      <c r="N132" s="42">
        <f>IFERROR(IF(ISNUMBER(Sheet1!N132),Sheet1!N132,0),0)</f>
        <v>0</v>
      </c>
      <c r="O132" s="42">
        <f>IFERROR(IF(TRIM(F132)="Nhava Sheva",SUMPRODUCT((UPPER(TRIM('Origin Costs'!$A$5:$A$44))=UPPER(TRIM(J132)))*'Origin Costs'!$C$5:$C$44),IF(TRIM(F132)="ICD Tihi",SUMPRODUCT((UPPER(TRIM('Origin Costs'!$A$49:$A$88))=UPPER(TRIM(J132)))*'Origin Costs'!$C$49:$C$88),IF(TRIM(F132)="ICD Dhannad",SUMPRODUCT((UPPER(TRIM('Origin Costs'!$A$93:$A$132))=UPPER(TRIM(J132)))*'Origin Costs'!$C$93:$C$132),0))),0)</f>
        <v>0</v>
      </c>
      <c r="P132" s="42">
        <f t="shared" si="2"/>
        <v>0</v>
      </c>
      <c r="Q132" s="13" t="str">
        <f>IF(OR(Dashboard!$C$4="All Customers",$E132=Dashboard!$C$4),IF($E132="","",$P132+ROW()/10000000),"")</f>
        <v/>
      </c>
    </row>
    <row r="133" spans="1:17" ht="14.25" customHeight="1" x14ac:dyDescent="0.3">
      <c r="A133" s="43" t="str">
        <f>IFERROR("FY"&amp;TEXT(MOD(IF(MONTH(Sheet1!A133)&gt;=4,YEAR(Sheet1!A133),YEAR(Sheet1!A133)-1),100),"00")&amp;"-"&amp;TEXT(MOD(IF(MONTH(Sheet1!A133)&gt;=4,YEAR(Sheet1!A133),YEAR(Sheet1!A133)-1)+1,100),"00"),"")</f>
        <v>FY25-26</v>
      </c>
      <c r="B133" s="44" t="str">
        <f>IFERROR("Q"&amp;IF(MONTH(Sheet1!A133)&gt;=4,IF(MONTH(Sheet1!A133)&lt;=6,1,IF(MONTH(Sheet1!A133)&lt;=9,2,3)),4),"")</f>
        <v>Q2</v>
      </c>
      <c r="C133" s="43" t="str">
        <f>IFERROR(Sheet1!C133,0)</f>
        <v>S.A</v>
      </c>
      <c r="D133" s="43" t="str">
        <f>IFERROR(Sheet1!F133,0)</f>
        <v>Brazil</v>
      </c>
      <c r="E133" s="43" t="str">
        <f>IFERROR(Sheet1!E133,0)</f>
        <v>CPX DISTRIBUIDORA S/A-Navegantes</v>
      </c>
      <c r="F133" s="43" t="str">
        <f>IFERROR(IF(UPPER(TRIM(Sheet1!J133))="NH","Nhava Sheva",IF(UPPER(TRIM(Sheet1!J133))="ICD","ICD Dhannad",IF(UPPER(TRIM(Sheet1!J133))="TIHI","ICD Tihi",Sheet1!J133))),0)</f>
        <v>ICD Dhannad</v>
      </c>
      <c r="G133" s="43" t="str">
        <f>IFERROR(Sheet1!M133,0)</f>
        <v>Itajai</v>
      </c>
      <c r="H133" s="43" t="str">
        <f>IFERROR(Sheet1!H133,0)</f>
        <v>Asia Shipping</v>
      </c>
      <c r="I133" s="43" t="str">
        <f>IFERROR(Sheet1!G133,0)</f>
        <v>FOB</v>
      </c>
      <c r="J133" s="43" t="str">
        <f>IFERROR(Sheet1!K133,0)</f>
        <v>MSC</v>
      </c>
      <c r="K133" s="45">
        <f>IFERROR(Sheet1!A133,0)</f>
        <v>45867</v>
      </c>
      <c r="L133" s="45">
        <f>IFERROR(Sheet1!I133,0)</f>
        <v>45867</v>
      </c>
      <c r="M133" s="47" t="str">
        <f>IFERROR(Sheet1!P133,0)</f>
        <v>NA</v>
      </c>
      <c r="N133" s="46">
        <f>IFERROR(IF(ISNUMBER(Sheet1!N133),Sheet1!N133,0),0)</f>
        <v>0</v>
      </c>
      <c r="O133" s="46">
        <f>IFERROR(IF(TRIM(F133)="Nhava Sheva",SUMPRODUCT((UPPER(TRIM('Origin Costs'!$A$5:$A$44))=UPPER(TRIM(J133)))*'Origin Costs'!$C$5:$C$44),IF(TRIM(F133)="ICD Tihi",SUMPRODUCT((UPPER(TRIM('Origin Costs'!$A$49:$A$88))=UPPER(TRIM(J133)))*'Origin Costs'!$C$49:$C$88),IF(TRIM(F133)="ICD Dhannad",SUMPRODUCT((UPPER(TRIM('Origin Costs'!$A$93:$A$132))=UPPER(TRIM(J133)))*'Origin Costs'!$C$93:$C$132),0))),0)</f>
        <v>0</v>
      </c>
      <c r="P133" s="46">
        <f t="shared" si="2"/>
        <v>0</v>
      </c>
      <c r="Q133" s="13" t="str">
        <f>IF(OR(Dashboard!$C$4="All Customers",$E133=Dashboard!$C$4),IF($E133="","",$P133+ROW()/10000000),"")</f>
        <v/>
      </c>
    </row>
    <row r="134" spans="1:17" ht="14.25" customHeight="1" x14ac:dyDescent="0.3">
      <c r="A134" s="39" t="str">
        <f>IFERROR("FY"&amp;TEXT(MOD(IF(MONTH(Sheet1!A134)&gt;=4,YEAR(Sheet1!A134),YEAR(Sheet1!A134)-1),100),"00")&amp;"-"&amp;TEXT(MOD(IF(MONTH(Sheet1!A134)&gt;=4,YEAR(Sheet1!A134),YEAR(Sheet1!A134)-1)+1,100),"00"),"")</f>
        <v>FY25-26</v>
      </c>
      <c r="B134" s="40" t="str">
        <f>IFERROR("Q"&amp;IF(MONTH(Sheet1!A134)&gt;=4,IF(MONTH(Sheet1!A134)&lt;=6,1,IF(MONTH(Sheet1!A134)&lt;=9,2,3)),4),"")</f>
        <v>Q2</v>
      </c>
      <c r="C134" s="39" t="str">
        <f>IFERROR(Sheet1!C134,0)</f>
        <v>S.A</v>
      </c>
      <c r="D134" s="39" t="str">
        <f>IFERROR(Sheet1!F134,0)</f>
        <v>Brazil</v>
      </c>
      <c r="E134" s="39" t="str">
        <f>IFERROR(Sheet1!E134,0)</f>
        <v>CPX DISTRIBUIDORA S/A-Navegantes</v>
      </c>
      <c r="F134" s="39" t="str">
        <f>IFERROR(IF(UPPER(TRIM(Sheet1!J134))="NH","Nhava Sheva",IF(UPPER(TRIM(Sheet1!J134))="ICD","ICD Dhannad",IF(UPPER(TRIM(Sheet1!J134))="TIHI","ICD Tihi",Sheet1!J134))),0)</f>
        <v>ICD Dhannad</v>
      </c>
      <c r="G134" s="39" t="str">
        <f>IFERROR(Sheet1!M134,0)</f>
        <v>Itajai</v>
      </c>
      <c r="H134" s="39" t="str">
        <f>IFERROR(Sheet1!H134,0)</f>
        <v>Asia Shipping</v>
      </c>
      <c r="I134" s="39" t="str">
        <f>IFERROR(Sheet1!G134,0)</f>
        <v>FOB</v>
      </c>
      <c r="J134" s="39" t="str">
        <f>IFERROR(Sheet1!K134,0)</f>
        <v>MSC</v>
      </c>
      <c r="K134" s="41">
        <f>IFERROR(Sheet1!A134,0)</f>
        <v>45867</v>
      </c>
      <c r="L134" s="41">
        <f>IFERROR(Sheet1!I134,0)</f>
        <v>45867</v>
      </c>
      <c r="M134" s="47" t="str">
        <f>IFERROR(Sheet1!P134,0)</f>
        <v>NA</v>
      </c>
      <c r="N134" s="42">
        <f>IFERROR(IF(ISNUMBER(Sheet1!N134),Sheet1!N134,0),0)</f>
        <v>0</v>
      </c>
      <c r="O134" s="42">
        <f>IFERROR(IF(TRIM(F134)="Nhava Sheva",SUMPRODUCT((UPPER(TRIM('Origin Costs'!$A$5:$A$44))=UPPER(TRIM(J134)))*'Origin Costs'!$C$5:$C$44),IF(TRIM(F134)="ICD Tihi",SUMPRODUCT((UPPER(TRIM('Origin Costs'!$A$49:$A$88))=UPPER(TRIM(J134)))*'Origin Costs'!$C$49:$C$88),IF(TRIM(F134)="ICD Dhannad",SUMPRODUCT((UPPER(TRIM('Origin Costs'!$A$93:$A$132))=UPPER(TRIM(J134)))*'Origin Costs'!$C$93:$C$132),0))),0)</f>
        <v>0</v>
      </c>
      <c r="P134" s="42">
        <f t="shared" si="2"/>
        <v>0</v>
      </c>
      <c r="Q134" s="13" t="str">
        <f>IF(OR(Dashboard!$C$4="All Customers",$E134=Dashboard!$C$4),IF($E134="","",$P134+ROW()/10000000),"")</f>
        <v/>
      </c>
    </row>
    <row r="135" spans="1:17" ht="14.25" customHeight="1" x14ac:dyDescent="0.3">
      <c r="A135" s="43" t="str">
        <f>IFERROR("FY"&amp;TEXT(MOD(IF(MONTH(Sheet1!A135)&gt;=4,YEAR(Sheet1!A135),YEAR(Sheet1!A135)-1),100),"00")&amp;"-"&amp;TEXT(MOD(IF(MONTH(Sheet1!A135)&gt;=4,YEAR(Sheet1!A135),YEAR(Sheet1!A135)-1)+1,100),"00"),"")</f>
        <v>FY25-26</v>
      </c>
      <c r="B135" s="44" t="str">
        <f>IFERROR("Q"&amp;IF(MONTH(Sheet1!A135)&gt;=4,IF(MONTH(Sheet1!A135)&lt;=6,1,IF(MONTH(Sheet1!A135)&lt;=9,2,3)),4),"")</f>
        <v>Q2</v>
      </c>
      <c r="C135" s="43" t="str">
        <f>IFERROR(Sheet1!C135,0)</f>
        <v>S.A</v>
      </c>
      <c r="D135" s="43" t="str">
        <f>IFERROR(Sheet1!F135,0)</f>
        <v>Brazil</v>
      </c>
      <c r="E135" s="43" t="str">
        <f>IFERROR(Sheet1!E135,0)</f>
        <v>CPX DISTRIBUIDORA S/A-Navegantes</v>
      </c>
      <c r="F135" s="43" t="str">
        <f>IFERROR(IF(UPPER(TRIM(Sheet1!J135))="NH","Nhava Sheva",IF(UPPER(TRIM(Sheet1!J135))="ICD","ICD Dhannad",IF(UPPER(TRIM(Sheet1!J135))="TIHI","ICD Tihi",Sheet1!J135))),0)</f>
        <v>ICD Dhannad</v>
      </c>
      <c r="G135" s="43" t="str">
        <f>IFERROR(Sheet1!M135,0)</f>
        <v>Itajai</v>
      </c>
      <c r="H135" s="43" t="str">
        <f>IFERROR(Sheet1!H135,0)</f>
        <v>Asia Shipping</v>
      </c>
      <c r="I135" s="43" t="str">
        <f>IFERROR(Sheet1!G135,0)</f>
        <v>FOB</v>
      </c>
      <c r="J135" s="43" t="str">
        <f>IFERROR(Sheet1!K135,0)</f>
        <v>MSC</v>
      </c>
      <c r="K135" s="45">
        <f>IFERROR(Sheet1!A135,0)</f>
        <v>45867</v>
      </c>
      <c r="L135" s="45">
        <f>IFERROR(Sheet1!I135,0)</f>
        <v>45867</v>
      </c>
      <c r="M135" s="47" t="str">
        <f>IFERROR(Sheet1!P135,0)</f>
        <v>NA</v>
      </c>
      <c r="N135" s="46">
        <f>IFERROR(IF(ISNUMBER(Sheet1!N135),Sheet1!N135,0),0)</f>
        <v>0</v>
      </c>
      <c r="O135" s="46">
        <f>IFERROR(IF(TRIM(F135)="Nhava Sheva",SUMPRODUCT((UPPER(TRIM('Origin Costs'!$A$5:$A$44))=UPPER(TRIM(J135)))*'Origin Costs'!$C$5:$C$44),IF(TRIM(F135)="ICD Tihi",SUMPRODUCT((UPPER(TRIM('Origin Costs'!$A$49:$A$88))=UPPER(TRIM(J135)))*'Origin Costs'!$C$49:$C$88),IF(TRIM(F135)="ICD Dhannad",SUMPRODUCT((UPPER(TRIM('Origin Costs'!$A$93:$A$132))=UPPER(TRIM(J135)))*'Origin Costs'!$C$93:$C$132),0))),0)</f>
        <v>0</v>
      </c>
      <c r="P135" s="46">
        <f t="shared" si="2"/>
        <v>0</v>
      </c>
      <c r="Q135" s="13" t="str">
        <f>IF(OR(Dashboard!$C$4="All Customers",$E135=Dashboard!$C$4),IF($E135="","",$P135+ROW()/10000000),"")</f>
        <v/>
      </c>
    </row>
    <row r="136" spans="1:17" ht="14.25" customHeight="1" x14ac:dyDescent="0.3">
      <c r="A136" s="39" t="str">
        <f>IFERROR("FY"&amp;TEXT(MOD(IF(MONTH(Sheet1!A136)&gt;=4,YEAR(Sheet1!A136),YEAR(Sheet1!A136)-1),100),"00")&amp;"-"&amp;TEXT(MOD(IF(MONTH(Sheet1!A136)&gt;=4,YEAR(Sheet1!A136),YEAR(Sheet1!A136)-1)+1,100),"00"),"")</f>
        <v>FY25-26</v>
      </c>
      <c r="B136" s="40" t="str">
        <f>IFERROR("Q"&amp;IF(MONTH(Sheet1!A136)&gt;=4,IF(MONTH(Sheet1!A136)&lt;=6,1,IF(MONTH(Sheet1!A136)&lt;=9,2,3)),4),"")</f>
        <v>Q2</v>
      </c>
      <c r="C136" s="39" t="str">
        <f>IFERROR(Sheet1!C136,0)</f>
        <v>ISC</v>
      </c>
      <c r="D136" s="39" t="str">
        <f>IFERROR(Sheet1!F136,0)</f>
        <v>Srilanka</v>
      </c>
      <c r="E136" s="39" t="str">
        <f>IFERROR(Sheet1!E136,0)</f>
        <v>Supergrip International (Pvt) Ltd</v>
      </c>
      <c r="F136" s="39" t="str">
        <f>IFERROR(IF(UPPER(TRIM(Sheet1!J136))="NH","Nhava Sheva",IF(UPPER(TRIM(Sheet1!J136))="ICD","ICD Dhannad",IF(UPPER(TRIM(Sheet1!J136))="TIHI","ICD Tihi",Sheet1!J136))),0)</f>
        <v>Nhava Sheva</v>
      </c>
      <c r="G136" s="39" t="str">
        <f>IFERROR(Sheet1!M136,0)</f>
        <v>Colombo</v>
      </c>
      <c r="H136" s="39" t="str">
        <f>IFERROR(Sheet1!H136,0)</f>
        <v>MGX247 Logistics</v>
      </c>
      <c r="I136" s="39" t="str">
        <f>IFERROR(Sheet1!G136,0)</f>
        <v>FOB</v>
      </c>
      <c r="J136" s="39" t="str">
        <f>IFERROR(Sheet1!K136,0)</f>
        <v>Cosco</v>
      </c>
      <c r="K136" s="41">
        <f>IFERROR(Sheet1!A136,0)</f>
        <v>45867</v>
      </c>
      <c r="L136" s="41">
        <f>IFERROR(Sheet1!I136,0)</f>
        <v>45865</v>
      </c>
      <c r="M136" s="47" t="str">
        <f>IFERROR(Sheet1!P136,0)</f>
        <v>NA</v>
      </c>
      <c r="N136" s="42">
        <f>IFERROR(IF(ISNUMBER(Sheet1!N136),Sheet1!N136,0),0)</f>
        <v>0</v>
      </c>
      <c r="O136" s="42">
        <f>IFERROR(IF(TRIM(F136)="Nhava Sheva",SUMPRODUCT((UPPER(TRIM('Origin Costs'!$A$5:$A$44))=UPPER(TRIM(J136)))*'Origin Costs'!$C$5:$C$44),IF(TRIM(F136)="ICD Tihi",SUMPRODUCT((UPPER(TRIM('Origin Costs'!$A$49:$A$88))=UPPER(TRIM(J136)))*'Origin Costs'!$C$49:$C$88),IF(TRIM(F136)="ICD Dhannad",SUMPRODUCT((UPPER(TRIM('Origin Costs'!$A$93:$A$132))=UPPER(TRIM(J136)))*'Origin Costs'!$C$93:$C$132),0))),0)</f>
        <v>0</v>
      </c>
      <c r="P136" s="42">
        <f t="shared" si="2"/>
        <v>0</v>
      </c>
      <c r="Q136" s="13" t="str">
        <f>IF(OR(Dashboard!$C$4="All Customers",$E136=Dashboard!$C$4),IF($E136="","",$P136+ROW()/10000000),"")</f>
        <v/>
      </c>
    </row>
    <row r="137" spans="1:17" ht="14.25" customHeight="1" x14ac:dyDescent="0.3">
      <c r="A137" s="43" t="str">
        <f>IFERROR("FY"&amp;TEXT(MOD(IF(MONTH(Sheet1!A137)&gt;=4,YEAR(Sheet1!A137),YEAR(Sheet1!A137)-1),100),"00")&amp;"-"&amp;TEXT(MOD(IF(MONTH(Sheet1!A137)&gt;=4,YEAR(Sheet1!A137),YEAR(Sheet1!A137)-1)+1,100),"00"),"")</f>
        <v>FY25-26</v>
      </c>
      <c r="B137" s="44" t="str">
        <f>IFERROR("Q"&amp;IF(MONTH(Sheet1!A137)&gt;=4,IF(MONTH(Sheet1!A137)&lt;=6,1,IF(MONTH(Sheet1!A137)&lt;=9,2,3)),4),"")</f>
        <v>Q2</v>
      </c>
      <c r="C137" s="43" t="str">
        <f>IFERROR(Sheet1!C137,0)</f>
        <v>S.A</v>
      </c>
      <c r="D137" s="43" t="str">
        <f>IFERROR(Sheet1!F137,0)</f>
        <v>Brazil</v>
      </c>
      <c r="E137" s="43" t="str">
        <f>IFERROR(Sheet1!E137,0)</f>
        <v>Intess International, Brazil</v>
      </c>
      <c r="F137" s="43" t="str">
        <f>IFERROR(IF(UPPER(TRIM(Sheet1!J137))="NH","Nhava Sheva",IF(UPPER(TRIM(Sheet1!J137))="ICD","ICD Dhannad",IF(UPPER(TRIM(Sheet1!J137))="TIHI","ICD Tihi",Sheet1!J137))),0)</f>
        <v>ICD Dhannad</v>
      </c>
      <c r="G137" s="43" t="str">
        <f>IFERROR(Sheet1!M137,0)</f>
        <v>Paranagua</v>
      </c>
      <c r="H137" s="43" t="str">
        <f>IFERROR(Sheet1!H137,0)</f>
        <v>Transbox</v>
      </c>
      <c r="I137" s="43" t="str">
        <f>IFERROR(Sheet1!G137,0)</f>
        <v>CIF</v>
      </c>
      <c r="J137" s="43" t="str">
        <f>IFERROR(Sheet1!K137,0)</f>
        <v>CMA</v>
      </c>
      <c r="K137" s="45">
        <f>IFERROR(Sheet1!A137,0)</f>
        <v>45868</v>
      </c>
      <c r="L137" s="45">
        <f>IFERROR(Sheet1!I137,0)</f>
        <v>45867</v>
      </c>
      <c r="M137" s="47" t="str">
        <f>IFERROR(Sheet1!P137,0)</f>
        <v>NA</v>
      </c>
      <c r="N137" s="46">
        <f>IFERROR(IF(ISNUMBER(Sheet1!N137),Sheet1!N137,0),0)</f>
        <v>2100</v>
      </c>
      <c r="O137" s="46">
        <f>IFERROR(IF(TRIM(F137)="Nhava Sheva",SUMPRODUCT((UPPER(TRIM('Origin Costs'!$A$5:$A$44))=UPPER(TRIM(J137)))*'Origin Costs'!$C$5:$C$44),IF(TRIM(F137)="ICD Tihi",SUMPRODUCT((UPPER(TRIM('Origin Costs'!$A$49:$A$88))=UPPER(TRIM(J137)))*'Origin Costs'!$C$49:$C$88),IF(TRIM(F137)="ICD Dhannad",SUMPRODUCT((UPPER(TRIM('Origin Costs'!$A$93:$A$132))=UPPER(TRIM(J137)))*'Origin Costs'!$C$93:$C$132),0))),0)</f>
        <v>0</v>
      </c>
      <c r="P137" s="46">
        <f t="shared" si="2"/>
        <v>2100</v>
      </c>
      <c r="Q137" s="13" t="str">
        <f>IF(OR(Dashboard!$C$4="All Customers",$E137=Dashboard!$C$4),IF($E137="","",$P137+ROW()/10000000),"")</f>
        <v/>
      </c>
    </row>
    <row r="138" spans="1:17" ht="14.25" customHeight="1" x14ac:dyDescent="0.3">
      <c r="A138" s="39" t="str">
        <f>IFERROR("FY"&amp;TEXT(MOD(IF(MONTH(Sheet1!A138)&gt;=4,YEAR(Sheet1!A138),YEAR(Sheet1!A138)-1),100),"00")&amp;"-"&amp;TEXT(MOD(IF(MONTH(Sheet1!A138)&gt;=4,YEAR(Sheet1!A138),YEAR(Sheet1!A138)-1)+1,100),"00"),"")</f>
        <v>FY25-26</v>
      </c>
      <c r="B138" s="40" t="str">
        <f>IFERROR("Q"&amp;IF(MONTH(Sheet1!A138)&gt;=4,IF(MONTH(Sheet1!A138)&lt;=6,1,IF(MONTH(Sheet1!A138)&lt;=9,2,3)),4),"")</f>
        <v>Q2</v>
      </c>
      <c r="C138" s="39" t="str">
        <f>IFERROR(Sheet1!C138,0)</f>
        <v>S.A</v>
      </c>
      <c r="D138" s="39" t="str">
        <f>IFERROR(Sheet1!F138,0)</f>
        <v>Brazil</v>
      </c>
      <c r="E138" s="39" t="str">
        <f>IFERROR(Sheet1!E138,0)</f>
        <v>Unus Holding Ltda., Brazil</v>
      </c>
      <c r="F138" s="39" t="str">
        <f>IFERROR(IF(UPPER(TRIM(Sheet1!J138))="NH","Nhava Sheva",IF(UPPER(TRIM(Sheet1!J138))="ICD","ICD Dhannad",IF(UPPER(TRIM(Sheet1!J138))="TIHI","ICD Tihi",Sheet1!J138))),0)</f>
        <v>ICD Dhannad</v>
      </c>
      <c r="G138" s="39" t="str">
        <f>IFERROR(Sheet1!M138,0)</f>
        <v>Paranagua</v>
      </c>
      <c r="H138" s="39" t="str">
        <f>IFERROR(Sheet1!H138,0)</f>
        <v>Transbox</v>
      </c>
      <c r="I138" s="39" t="str">
        <f>IFERROR(Sheet1!G138,0)</f>
        <v>CIF</v>
      </c>
      <c r="J138" s="39" t="str">
        <f>IFERROR(Sheet1!K138,0)</f>
        <v>CMA</v>
      </c>
      <c r="K138" s="41">
        <f>IFERROR(Sheet1!A138,0)</f>
        <v>45868</v>
      </c>
      <c r="L138" s="41">
        <f>IFERROR(Sheet1!I138,0)</f>
        <v>45867</v>
      </c>
      <c r="M138" s="47" t="str">
        <f>IFERROR(Sheet1!P138,0)</f>
        <v>NA</v>
      </c>
      <c r="N138" s="42">
        <f>IFERROR(IF(ISNUMBER(Sheet1!N138),Sheet1!N138,0),0)</f>
        <v>2100</v>
      </c>
      <c r="O138" s="42">
        <f>IFERROR(IF(TRIM(F138)="Nhava Sheva",SUMPRODUCT((UPPER(TRIM('Origin Costs'!$A$5:$A$44))=UPPER(TRIM(J138)))*'Origin Costs'!$C$5:$C$44),IF(TRIM(F138)="ICD Tihi",SUMPRODUCT((UPPER(TRIM('Origin Costs'!$A$49:$A$88))=UPPER(TRIM(J138)))*'Origin Costs'!$C$49:$C$88),IF(TRIM(F138)="ICD Dhannad",SUMPRODUCT((UPPER(TRIM('Origin Costs'!$A$93:$A$132))=UPPER(TRIM(J138)))*'Origin Costs'!$C$93:$C$132),0))),0)</f>
        <v>0</v>
      </c>
      <c r="P138" s="42">
        <f t="shared" si="2"/>
        <v>2100</v>
      </c>
      <c r="Q138" s="13" t="str">
        <f>IF(OR(Dashboard!$C$4="All Customers",$E138=Dashboard!$C$4),IF($E138="","",$P138+ROW()/10000000),"")</f>
        <v/>
      </c>
    </row>
    <row r="139" spans="1:17" ht="14.25" customHeight="1" x14ac:dyDescent="0.3">
      <c r="A139" s="43" t="str">
        <f>IFERROR("FY"&amp;TEXT(MOD(IF(MONTH(Sheet1!A139)&gt;=4,YEAR(Sheet1!A139),YEAR(Sheet1!A139)-1),100),"00")&amp;"-"&amp;TEXT(MOD(IF(MONTH(Sheet1!A139)&gt;=4,YEAR(Sheet1!A139),YEAR(Sheet1!A139)-1)+1,100),"00"),"")</f>
        <v>FY25-26</v>
      </c>
      <c r="B139" s="44" t="str">
        <f>IFERROR("Q"&amp;IF(MONTH(Sheet1!A139)&gt;=4,IF(MONTH(Sheet1!A139)&lt;=6,1,IF(MONTH(Sheet1!A139)&lt;=9,2,3)),4),"")</f>
        <v>Q2</v>
      </c>
      <c r="C139" s="43" t="str">
        <f>IFERROR(Sheet1!C139,0)</f>
        <v>S.A</v>
      </c>
      <c r="D139" s="43" t="str">
        <f>IFERROR(Sheet1!F139,0)</f>
        <v>Brazil</v>
      </c>
      <c r="E139" s="43" t="str">
        <f>IFERROR(Sheet1!E139,0)</f>
        <v>Unus Holding Ltda., Brazil</v>
      </c>
      <c r="F139" s="43" t="str">
        <f>IFERROR(IF(UPPER(TRIM(Sheet1!J139))="NH","Nhava Sheva",IF(UPPER(TRIM(Sheet1!J139))="ICD","ICD Dhannad",IF(UPPER(TRIM(Sheet1!J139))="TIHI","ICD Tihi",Sheet1!J139))),0)</f>
        <v>ICD Dhannad</v>
      </c>
      <c r="G139" s="43" t="str">
        <f>IFERROR(Sheet1!M139,0)</f>
        <v>Paranagua</v>
      </c>
      <c r="H139" s="43" t="str">
        <f>IFERROR(Sheet1!H139,0)</f>
        <v>Transbox</v>
      </c>
      <c r="I139" s="43" t="str">
        <f>IFERROR(Sheet1!G139,0)</f>
        <v>CIF</v>
      </c>
      <c r="J139" s="43" t="str">
        <f>IFERROR(Sheet1!K139,0)</f>
        <v>CMA</v>
      </c>
      <c r="K139" s="45">
        <f>IFERROR(Sheet1!A139,0)</f>
        <v>45868</v>
      </c>
      <c r="L139" s="45">
        <f>IFERROR(Sheet1!I139,0)</f>
        <v>45867</v>
      </c>
      <c r="M139" s="47" t="str">
        <f>IFERROR(Sheet1!P139,0)</f>
        <v>NA</v>
      </c>
      <c r="N139" s="46">
        <f>IFERROR(IF(ISNUMBER(Sheet1!N139),Sheet1!N139,0),0)</f>
        <v>2100</v>
      </c>
      <c r="O139" s="46">
        <f>IFERROR(IF(TRIM(F139)="Nhava Sheva",SUMPRODUCT((UPPER(TRIM('Origin Costs'!$A$5:$A$44))=UPPER(TRIM(J139)))*'Origin Costs'!$C$5:$C$44),IF(TRIM(F139)="ICD Tihi",SUMPRODUCT((UPPER(TRIM('Origin Costs'!$A$49:$A$88))=UPPER(TRIM(J139)))*'Origin Costs'!$C$49:$C$88),IF(TRIM(F139)="ICD Dhannad",SUMPRODUCT((UPPER(TRIM('Origin Costs'!$A$93:$A$132))=UPPER(TRIM(J139)))*'Origin Costs'!$C$93:$C$132),0))),0)</f>
        <v>0</v>
      </c>
      <c r="P139" s="46">
        <f t="shared" si="2"/>
        <v>2100</v>
      </c>
      <c r="Q139" s="13" t="str">
        <f>IF(OR(Dashboard!$C$4="All Customers",$E139=Dashboard!$C$4),IF($E139="","",$P139+ROW()/10000000),"")</f>
        <v/>
      </c>
    </row>
    <row r="140" spans="1:17" ht="14.25" customHeight="1" x14ac:dyDescent="0.3">
      <c r="A140" s="39" t="str">
        <f>IFERROR("FY"&amp;TEXT(MOD(IF(MONTH(Sheet1!A140)&gt;=4,YEAR(Sheet1!A140),YEAR(Sheet1!A140)-1),100),"00")&amp;"-"&amp;TEXT(MOD(IF(MONTH(Sheet1!A140)&gt;=4,YEAR(Sheet1!A140),YEAR(Sheet1!A140)-1)+1,100),"00"),"")</f>
        <v>FY25-26</v>
      </c>
      <c r="B140" s="40" t="str">
        <f>IFERROR("Q"&amp;IF(MONTH(Sheet1!A140)&gt;=4,IF(MONTH(Sheet1!A140)&lt;=6,1,IF(MONTH(Sheet1!A140)&lt;=9,2,3)),4),"")</f>
        <v>Q2</v>
      </c>
      <c r="C140" s="39" t="str">
        <f>IFERROR(Sheet1!C140,0)</f>
        <v>S.A</v>
      </c>
      <c r="D140" s="39" t="str">
        <f>IFERROR(Sheet1!F140,0)</f>
        <v>Brazil</v>
      </c>
      <c r="E140" s="39" t="str">
        <f>IFERROR(Sheet1!E140,0)</f>
        <v>Unus Holding Ltda., Brazil</v>
      </c>
      <c r="F140" s="39" t="str">
        <f>IFERROR(IF(UPPER(TRIM(Sheet1!J140))="NH","Nhava Sheva",IF(UPPER(TRIM(Sheet1!J140))="ICD","ICD Dhannad",IF(UPPER(TRIM(Sheet1!J140))="TIHI","ICD Tihi",Sheet1!J140))),0)</f>
        <v>ICD Dhannad</v>
      </c>
      <c r="G140" s="39" t="str">
        <f>IFERROR(Sheet1!M140,0)</f>
        <v>Paranagua</v>
      </c>
      <c r="H140" s="39" t="str">
        <f>IFERROR(Sheet1!H140,0)</f>
        <v>Transbox</v>
      </c>
      <c r="I140" s="39" t="str">
        <f>IFERROR(Sheet1!G140,0)</f>
        <v>CIF</v>
      </c>
      <c r="J140" s="39" t="str">
        <f>IFERROR(Sheet1!K140,0)</f>
        <v>CMA</v>
      </c>
      <c r="K140" s="41">
        <f>IFERROR(Sheet1!A140,0)</f>
        <v>45868</v>
      </c>
      <c r="L140" s="41">
        <f>IFERROR(Sheet1!I140,0)</f>
        <v>45867</v>
      </c>
      <c r="M140" s="47" t="str">
        <f>IFERROR(Sheet1!P140,0)</f>
        <v>NA</v>
      </c>
      <c r="N140" s="42">
        <f>IFERROR(IF(ISNUMBER(Sheet1!N140),Sheet1!N140,0),0)</f>
        <v>2100</v>
      </c>
      <c r="O140" s="42">
        <f>IFERROR(IF(TRIM(F140)="Nhava Sheva",SUMPRODUCT((UPPER(TRIM('Origin Costs'!$A$5:$A$44))=UPPER(TRIM(J140)))*'Origin Costs'!$C$5:$C$44),IF(TRIM(F140)="ICD Tihi",SUMPRODUCT((UPPER(TRIM('Origin Costs'!$A$49:$A$88))=UPPER(TRIM(J140)))*'Origin Costs'!$C$49:$C$88),IF(TRIM(F140)="ICD Dhannad",SUMPRODUCT((UPPER(TRIM('Origin Costs'!$A$93:$A$132))=UPPER(TRIM(J140)))*'Origin Costs'!$C$93:$C$132),0))),0)</f>
        <v>0</v>
      </c>
      <c r="P140" s="42">
        <f t="shared" si="2"/>
        <v>2100</v>
      </c>
      <c r="Q140" s="13" t="str">
        <f>IF(OR(Dashboard!$C$4="All Customers",$E140=Dashboard!$C$4),IF($E140="","",$P140+ROW()/10000000),"")</f>
        <v/>
      </c>
    </row>
    <row r="141" spans="1:17" ht="14.25" customHeight="1" x14ac:dyDescent="0.3">
      <c r="A141" s="43" t="str">
        <f>IFERROR("FY"&amp;TEXT(MOD(IF(MONTH(Sheet1!A141)&gt;=4,YEAR(Sheet1!A141),YEAR(Sheet1!A141)-1),100),"00")&amp;"-"&amp;TEXT(MOD(IF(MONTH(Sheet1!A141)&gt;=4,YEAR(Sheet1!A141),YEAR(Sheet1!A141)-1)+1,100),"00"),"")</f>
        <v>FY25-26</v>
      </c>
      <c r="B141" s="44" t="str">
        <f>IFERROR("Q"&amp;IF(MONTH(Sheet1!A141)&gt;=4,IF(MONTH(Sheet1!A141)&lt;=6,1,IF(MONTH(Sheet1!A141)&lt;=9,2,3)),4),"")</f>
        <v>Q2</v>
      </c>
      <c r="C141" s="43" t="str">
        <f>IFERROR(Sheet1!C141,0)</f>
        <v>Europe</v>
      </c>
      <c r="D141" s="43" t="str">
        <f>IFERROR(Sheet1!F141,0)</f>
        <v>Poland</v>
      </c>
      <c r="E141" s="43" t="str">
        <f>IFERROR(Sheet1!E141,0)</f>
        <v>Inter Cars S.A., Poland</v>
      </c>
      <c r="F141" s="43" t="str">
        <f>IFERROR(IF(UPPER(TRIM(Sheet1!J141))="NH","Nhava Sheva",IF(UPPER(TRIM(Sheet1!J141))="ICD","ICD Dhannad",IF(UPPER(TRIM(Sheet1!J141))="TIHI","ICD Tihi",Sheet1!J141))),0)</f>
        <v>Nhava Sheva</v>
      </c>
      <c r="G141" s="43" t="str">
        <f>IFERROR(Sheet1!M141,0)</f>
        <v>GDYNIA</v>
      </c>
      <c r="H141" s="43" t="str">
        <f>IFERROR(Sheet1!H141,0)</f>
        <v>Mastermarine</v>
      </c>
      <c r="I141" s="43" t="str">
        <f>IFERROR(Sheet1!G141,0)</f>
        <v>FOB</v>
      </c>
      <c r="J141" s="43" t="str">
        <f>IFERROR(Sheet1!K141,0)</f>
        <v>Yangming</v>
      </c>
      <c r="K141" s="45">
        <f>IFERROR(Sheet1!A141,0)</f>
        <v>45869</v>
      </c>
      <c r="L141" s="45">
        <f>IFERROR(Sheet1!I141,0)</f>
        <v>45866</v>
      </c>
      <c r="M141" s="47" t="str">
        <f>IFERROR(Sheet1!P141,0)</f>
        <v>NA</v>
      </c>
      <c r="N141" s="46">
        <f>IFERROR(IF(ISNUMBER(Sheet1!N141),Sheet1!N141,0),0)</f>
        <v>0</v>
      </c>
      <c r="O141" s="46">
        <f>IFERROR(IF(TRIM(F141)="Nhava Sheva",SUMPRODUCT((UPPER(TRIM('Origin Costs'!$A$5:$A$44))=UPPER(TRIM(J141)))*'Origin Costs'!$C$5:$C$44),IF(TRIM(F141)="ICD Tihi",SUMPRODUCT((UPPER(TRIM('Origin Costs'!$A$49:$A$88))=UPPER(TRIM(J141)))*'Origin Costs'!$C$49:$C$88),IF(TRIM(F141)="ICD Dhannad",SUMPRODUCT((UPPER(TRIM('Origin Costs'!$A$93:$A$132))=UPPER(TRIM(J141)))*'Origin Costs'!$C$93:$C$132),0))),0)</f>
        <v>0</v>
      </c>
      <c r="P141" s="46">
        <f t="shared" si="2"/>
        <v>0</v>
      </c>
      <c r="Q141" s="13" t="str">
        <f>IF(OR(Dashboard!$C$4="All Customers",$E141=Dashboard!$C$4),IF($E141="","",$P141+ROW()/10000000),"")</f>
        <v/>
      </c>
    </row>
    <row r="142" spans="1:17" ht="14.25" customHeight="1" x14ac:dyDescent="0.3">
      <c r="A142" s="39" t="str">
        <f>IFERROR("FY"&amp;TEXT(MOD(IF(MONTH(Sheet1!A142)&gt;=4,YEAR(Sheet1!A142),YEAR(Sheet1!A142)-1),100),"00")&amp;"-"&amp;TEXT(MOD(IF(MONTH(Sheet1!A142)&gt;=4,YEAR(Sheet1!A142),YEAR(Sheet1!A142)-1)+1,100),"00"),"")</f>
        <v>FY25-26</v>
      </c>
      <c r="B142" s="40" t="str">
        <f>IFERROR("Q"&amp;IF(MONTH(Sheet1!A142)&gt;=4,IF(MONTH(Sheet1!A142)&lt;=6,1,IF(MONTH(Sheet1!A142)&lt;=9,2,3)),4),"")</f>
        <v>Q2</v>
      </c>
      <c r="C142" s="39" t="str">
        <f>IFERROR(Sheet1!C142,0)</f>
        <v>Europe</v>
      </c>
      <c r="D142" s="39" t="str">
        <f>IFERROR(Sheet1!F142,0)</f>
        <v>Poland</v>
      </c>
      <c r="E142" s="39" t="str">
        <f>IFERROR(Sheet1!E142,0)</f>
        <v>Inter Cars S.A., Poland</v>
      </c>
      <c r="F142" s="39" t="str">
        <f>IFERROR(IF(UPPER(TRIM(Sheet1!J142))="NH","Nhava Sheva",IF(UPPER(TRIM(Sheet1!J142))="ICD","ICD Dhannad",IF(UPPER(TRIM(Sheet1!J142))="TIHI","ICD Tihi",Sheet1!J142))),0)</f>
        <v>Nhava Sheva</v>
      </c>
      <c r="G142" s="39" t="str">
        <f>IFERROR(Sheet1!M142,0)</f>
        <v>GDYNIA</v>
      </c>
      <c r="H142" s="39" t="str">
        <f>IFERROR(Sheet1!H142,0)</f>
        <v>Mastermarine</v>
      </c>
      <c r="I142" s="39" t="str">
        <f>IFERROR(Sheet1!G142,0)</f>
        <v>FOB</v>
      </c>
      <c r="J142" s="39" t="str">
        <f>IFERROR(Sheet1!K142,0)</f>
        <v>Yangming</v>
      </c>
      <c r="K142" s="41">
        <f>IFERROR(Sheet1!A142,0)</f>
        <v>45869</v>
      </c>
      <c r="L142" s="41">
        <f>IFERROR(Sheet1!I142,0)</f>
        <v>45866</v>
      </c>
      <c r="M142" s="47" t="str">
        <f>IFERROR(Sheet1!P142,0)</f>
        <v>NA</v>
      </c>
      <c r="N142" s="42">
        <f>IFERROR(IF(ISNUMBER(Sheet1!N142),Sheet1!N142,0),0)</f>
        <v>0</v>
      </c>
      <c r="O142" s="42">
        <f>IFERROR(IF(TRIM(F142)="Nhava Sheva",SUMPRODUCT((UPPER(TRIM('Origin Costs'!$A$5:$A$44))=UPPER(TRIM(J142)))*'Origin Costs'!$C$5:$C$44),IF(TRIM(F142)="ICD Tihi",SUMPRODUCT((UPPER(TRIM('Origin Costs'!$A$49:$A$88))=UPPER(TRIM(J142)))*'Origin Costs'!$C$49:$C$88),IF(TRIM(F142)="ICD Dhannad",SUMPRODUCT((UPPER(TRIM('Origin Costs'!$A$93:$A$132))=UPPER(TRIM(J142)))*'Origin Costs'!$C$93:$C$132),0))),0)</f>
        <v>0</v>
      </c>
      <c r="P142" s="42">
        <f t="shared" si="2"/>
        <v>0</v>
      </c>
      <c r="Q142" s="13" t="str">
        <f>IF(OR(Dashboard!$C$4="All Customers",$E142=Dashboard!$C$4),IF($E142="","",$P142+ROW()/10000000),"")</f>
        <v/>
      </c>
    </row>
    <row r="143" spans="1:17" ht="14.25" customHeight="1" x14ac:dyDescent="0.3">
      <c r="A143" s="43" t="str">
        <f>IFERROR("FY"&amp;TEXT(MOD(IF(MONTH(Sheet1!A143)&gt;=4,YEAR(Sheet1!A143),YEAR(Sheet1!A143)-1),100),"00")&amp;"-"&amp;TEXT(MOD(IF(MONTH(Sheet1!A143)&gt;=4,YEAR(Sheet1!A143),YEAR(Sheet1!A143)-1)+1,100),"00"),"")</f>
        <v>FY25-26</v>
      </c>
      <c r="B143" s="44" t="str">
        <f>IFERROR("Q"&amp;IF(MONTH(Sheet1!A143)&gt;=4,IF(MONTH(Sheet1!A143)&lt;=6,1,IF(MONTH(Sheet1!A143)&lt;=9,2,3)),4),"")</f>
        <v>Q2</v>
      </c>
      <c r="C143" s="43" t="str">
        <f>IFERROR(Sheet1!C143,0)</f>
        <v>Europe</v>
      </c>
      <c r="D143" s="43" t="str">
        <f>IFERROR(Sheet1!F143,0)</f>
        <v>Poland</v>
      </c>
      <c r="E143" s="43" t="str">
        <f>IFERROR(Sheet1!E143,0)</f>
        <v>Inter Cars S.A., Poland</v>
      </c>
      <c r="F143" s="43" t="str">
        <f>IFERROR(IF(UPPER(TRIM(Sheet1!J143))="NH","Nhava Sheva",IF(UPPER(TRIM(Sheet1!J143))="ICD","ICD Dhannad",IF(UPPER(TRIM(Sheet1!J143))="TIHI","ICD Tihi",Sheet1!J143))),0)</f>
        <v>Nhava Sheva</v>
      </c>
      <c r="G143" s="43" t="str">
        <f>IFERROR(Sheet1!M143,0)</f>
        <v>GDYNIA</v>
      </c>
      <c r="H143" s="43" t="str">
        <f>IFERROR(Sheet1!H143,0)</f>
        <v>Mastermarine</v>
      </c>
      <c r="I143" s="43" t="str">
        <f>IFERROR(Sheet1!G143,0)</f>
        <v>FOB</v>
      </c>
      <c r="J143" s="43" t="str">
        <f>IFERROR(Sheet1!K143,0)</f>
        <v>Yangming</v>
      </c>
      <c r="K143" s="45">
        <f>IFERROR(Sheet1!A143,0)</f>
        <v>45869</v>
      </c>
      <c r="L143" s="45">
        <f>IFERROR(Sheet1!I143,0)</f>
        <v>45866</v>
      </c>
      <c r="M143" s="47" t="str">
        <f>IFERROR(Sheet1!P143,0)</f>
        <v>NA</v>
      </c>
      <c r="N143" s="46">
        <f>IFERROR(IF(ISNUMBER(Sheet1!N143),Sheet1!N143,0),0)</f>
        <v>0</v>
      </c>
      <c r="O143" s="46">
        <f>IFERROR(IF(TRIM(F143)="Nhava Sheva",SUMPRODUCT((UPPER(TRIM('Origin Costs'!$A$5:$A$44))=UPPER(TRIM(J143)))*'Origin Costs'!$C$5:$C$44),IF(TRIM(F143)="ICD Tihi",SUMPRODUCT((UPPER(TRIM('Origin Costs'!$A$49:$A$88))=UPPER(TRIM(J143)))*'Origin Costs'!$C$49:$C$88),IF(TRIM(F143)="ICD Dhannad",SUMPRODUCT((UPPER(TRIM('Origin Costs'!$A$93:$A$132))=UPPER(TRIM(J143)))*'Origin Costs'!$C$93:$C$132),0))),0)</f>
        <v>0</v>
      </c>
      <c r="P143" s="46">
        <f t="shared" si="2"/>
        <v>0</v>
      </c>
      <c r="Q143" s="13" t="str">
        <f>IF(OR(Dashboard!$C$4="All Customers",$E143=Dashboard!$C$4),IF($E143="","",$P143+ROW()/10000000),"")</f>
        <v/>
      </c>
    </row>
    <row r="144" spans="1:17" ht="14.25" customHeight="1" x14ac:dyDescent="0.3">
      <c r="A144" s="39" t="str">
        <f>IFERROR("FY"&amp;TEXT(MOD(IF(MONTH(Sheet1!A144)&gt;=4,YEAR(Sheet1!A144),YEAR(Sheet1!A144)-1),100),"00")&amp;"-"&amp;TEXT(MOD(IF(MONTH(Sheet1!A144)&gt;=4,YEAR(Sheet1!A144),YEAR(Sheet1!A144)-1)+1,100),"00"),"")</f>
        <v>FY25-26</v>
      </c>
      <c r="B144" s="40" t="str">
        <f>IFERROR("Q"&amp;IF(MONTH(Sheet1!A144)&gt;=4,IF(MONTH(Sheet1!A144)&lt;=6,1,IF(MONTH(Sheet1!A144)&lt;=9,2,3)),4),"")</f>
        <v>Q2</v>
      </c>
      <c r="C144" s="39" t="str">
        <f>IFERROR(Sheet1!C144,0)</f>
        <v>MEA</v>
      </c>
      <c r="D144" s="39" t="str">
        <f>IFERROR(Sheet1!F144,0)</f>
        <v>South Africa</v>
      </c>
      <c r="E144" s="39" t="str">
        <f>IFERROR(Sheet1!E144,0)</f>
        <v>Vaal Tyre Centre Holdings (Pty) Ltd-S.A</v>
      </c>
      <c r="F144" s="39" t="str">
        <f>IFERROR(IF(UPPER(TRIM(Sheet1!J144))="NH","Nhava Sheva",IF(UPPER(TRIM(Sheet1!J144))="ICD","ICD Dhannad",IF(UPPER(TRIM(Sheet1!J144))="TIHI","ICD Tihi",Sheet1!J144))),0)</f>
        <v>Nhava Sheva</v>
      </c>
      <c r="G144" s="39" t="str">
        <f>IFERROR(Sheet1!M144,0)</f>
        <v>Durban</v>
      </c>
      <c r="H144" s="39" t="str">
        <f>IFERROR(Sheet1!H144,0)</f>
        <v>Sevenseas Global</v>
      </c>
      <c r="I144" s="39" t="str">
        <f>IFERROR(Sheet1!G144,0)</f>
        <v>CIF</v>
      </c>
      <c r="J144" s="39" t="str">
        <f>IFERROR(Sheet1!K144,0)</f>
        <v>Maersk</v>
      </c>
      <c r="K144" s="41">
        <f>IFERROR(Sheet1!A144,0)</f>
        <v>45869</v>
      </c>
      <c r="L144" s="41">
        <f>IFERROR(Sheet1!I144,0)</f>
        <v>45867</v>
      </c>
      <c r="M144" s="47" t="str">
        <f>IFERROR(Sheet1!P144,0)</f>
        <v>NA</v>
      </c>
      <c r="N144" s="42">
        <f>IFERROR(IF(ISNUMBER(Sheet1!N144),Sheet1!N144,0),0)</f>
        <v>1100</v>
      </c>
      <c r="O144" s="42">
        <f>IFERROR(IF(TRIM(F144)="Nhava Sheva",SUMPRODUCT((UPPER(TRIM('Origin Costs'!$A$5:$A$44))=UPPER(TRIM(J144)))*'Origin Costs'!$C$5:$C$44),IF(TRIM(F144)="ICD Tihi",SUMPRODUCT((UPPER(TRIM('Origin Costs'!$A$49:$A$88))=UPPER(TRIM(J144)))*'Origin Costs'!$C$49:$C$88),IF(TRIM(F144)="ICD Dhannad",SUMPRODUCT((UPPER(TRIM('Origin Costs'!$A$93:$A$132))=UPPER(TRIM(J144)))*'Origin Costs'!$C$93:$C$132),0))),0)</f>
        <v>1148.588888888889</v>
      </c>
      <c r="P144" s="42">
        <f t="shared" si="2"/>
        <v>2248.588888888889</v>
      </c>
      <c r="Q144" s="13" t="str">
        <f>IF(OR(Dashboard!$C$4="All Customers",$E144=Dashboard!$C$4),IF($E144="","",$P144+ROW()/10000000),"")</f>
        <v/>
      </c>
    </row>
    <row r="145" spans="1:17" ht="14.25" customHeight="1" x14ac:dyDescent="0.3">
      <c r="A145" s="43" t="str">
        <f>IFERROR("FY"&amp;TEXT(MOD(IF(MONTH(Sheet1!A145)&gt;=4,YEAR(Sheet1!A145),YEAR(Sheet1!A145)-1),100),"00")&amp;"-"&amp;TEXT(MOD(IF(MONTH(Sheet1!A145)&gt;=4,YEAR(Sheet1!A145),YEAR(Sheet1!A145)-1)+1,100),"00"),"")</f>
        <v>FY25-26</v>
      </c>
      <c r="B145" s="44" t="str">
        <f>IFERROR("Q"&amp;IF(MONTH(Sheet1!A145)&gt;=4,IF(MONTH(Sheet1!A145)&lt;=6,1,IF(MONTH(Sheet1!A145)&lt;=9,2,3)),4),"")</f>
        <v>Q2</v>
      </c>
      <c r="C145" s="43" t="str">
        <f>IFERROR(Sheet1!C145,0)</f>
        <v>MEA</v>
      </c>
      <c r="D145" s="43" t="str">
        <f>IFERROR(Sheet1!F145,0)</f>
        <v>South Africa</v>
      </c>
      <c r="E145" s="43" t="str">
        <f>IFERROR(Sheet1!E145,0)</f>
        <v>Vaal Tyre Centre Holdings (Pty) Ltd-S.A</v>
      </c>
      <c r="F145" s="43" t="str">
        <f>IFERROR(IF(UPPER(TRIM(Sheet1!J145))="NH","Nhava Sheva",IF(UPPER(TRIM(Sheet1!J145))="ICD","ICD Dhannad",IF(UPPER(TRIM(Sheet1!J145))="TIHI","ICD Tihi",Sheet1!J145))),0)</f>
        <v>Nhava Sheva</v>
      </c>
      <c r="G145" s="43" t="str">
        <f>IFERROR(Sheet1!M145,0)</f>
        <v>Durban</v>
      </c>
      <c r="H145" s="43" t="str">
        <f>IFERROR(Sheet1!H145,0)</f>
        <v>Sevenseas Global</v>
      </c>
      <c r="I145" s="43" t="str">
        <f>IFERROR(Sheet1!G145,0)</f>
        <v>CIF</v>
      </c>
      <c r="J145" s="43" t="str">
        <f>IFERROR(Sheet1!K145,0)</f>
        <v>Maersk</v>
      </c>
      <c r="K145" s="45">
        <f>IFERROR(Sheet1!A145,0)</f>
        <v>45869</v>
      </c>
      <c r="L145" s="45">
        <f>IFERROR(Sheet1!I145,0)</f>
        <v>45867</v>
      </c>
      <c r="M145" s="47" t="str">
        <f>IFERROR(Sheet1!P145,0)</f>
        <v>NA</v>
      </c>
      <c r="N145" s="46">
        <f>IFERROR(IF(ISNUMBER(Sheet1!N145),Sheet1!N145,0),0)</f>
        <v>1100</v>
      </c>
      <c r="O145" s="46">
        <f>IFERROR(IF(TRIM(F145)="Nhava Sheva",SUMPRODUCT((UPPER(TRIM('Origin Costs'!$A$5:$A$44))=UPPER(TRIM(J145)))*'Origin Costs'!$C$5:$C$44),IF(TRIM(F145)="ICD Tihi",SUMPRODUCT((UPPER(TRIM('Origin Costs'!$A$49:$A$88))=UPPER(TRIM(J145)))*'Origin Costs'!$C$49:$C$88),IF(TRIM(F145)="ICD Dhannad",SUMPRODUCT((UPPER(TRIM('Origin Costs'!$A$93:$A$132))=UPPER(TRIM(J145)))*'Origin Costs'!$C$93:$C$132),0))),0)</f>
        <v>1148.588888888889</v>
      </c>
      <c r="P145" s="46">
        <f t="shared" si="2"/>
        <v>2248.588888888889</v>
      </c>
      <c r="Q145" s="13" t="str">
        <f>IF(OR(Dashboard!$C$4="All Customers",$E145=Dashboard!$C$4),IF($E145="","",$P145+ROW()/10000000),"")</f>
        <v/>
      </c>
    </row>
    <row r="146" spans="1:17" ht="14.25" customHeight="1" x14ac:dyDescent="0.3">
      <c r="A146" s="39" t="str">
        <f>IFERROR("FY"&amp;TEXT(MOD(IF(MONTH(Sheet1!A146)&gt;=4,YEAR(Sheet1!A146),YEAR(Sheet1!A146)-1),100),"00")&amp;"-"&amp;TEXT(MOD(IF(MONTH(Sheet1!A146)&gt;=4,YEAR(Sheet1!A146),YEAR(Sheet1!A146)-1)+1,100),"00"),"")</f>
        <v>FY25-26</v>
      </c>
      <c r="B146" s="40" t="str">
        <f>IFERROR("Q"&amp;IF(MONTH(Sheet1!A146)&gt;=4,IF(MONTH(Sheet1!A146)&lt;=6,1,IF(MONTH(Sheet1!A146)&lt;=9,2,3)),4),"")</f>
        <v>Q2</v>
      </c>
      <c r="C146" s="39" t="str">
        <f>IFERROR(Sheet1!C146,0)</f>
        <v>MEA</v>
      </c>
      <c r="D146" s="39" t="str">
        <f>IFERROR(Sheet1!F146,0)</f>
        <v>South Africa</v>
      </c>
      <c r="E146" s="39" t="str">
        <f>IFERROR(Sheet1!E146,0)</f>
        <v>Vaal Tyre Centre Holdings (Pty) Ltd-S.A</v>
      </c>
      <c r="F146" s="39" t="str">
        <f>IFERROR(IF(UPPER(TRIM(Sheet1!J146))="NH","Nhava Sheva",IF(UPPER(TRIM(Sheet1!J146))="ICD","ICD Dhannad",IF(UPPER(TRIM(Sheet1!J146))="TIHI","ICD Tihi",Sheet1!J146))),0)</f>
        <v>Nhava Sheva</v>
      </c>
      <c r="G146" s="39" t="str">
        <f>IFERROR(Sheet1!M146,0)</f>
        <v>Durban</v>
      </c>
      <c r="H146" s="39" t="str">
        <f>IFERROR(Sheet1!H146,0)</f>
        <v>Sevenseas Global</v>
      </c>
      <c r="I146" s="39" t="str">
        <f>IFERROR(Sheet1!G146,0)</f>
        <v>CIF</v>
      </c>
      <c r="J146" s="39" t="str">
        <f>IFERROR(Sheet1!K146,0)</f>
        <v>Maersk</v>
      </c>
      <c r="K146" s="41">
        <f>IFERROR(Sheet1!A146,0)</f>
        <v>45869</v>
      </c>
      <c r="L146" s="41">
        <f>IFERROR(Sheet1!I146,0)</f>
        <v>45867</v>
      </c>
      <c r="M146" s="47" t="str">
        <f>IFERROR(Sheet1!P146,0)</f>
        <v>NA</v>
      </c>
      <c r="N146" s="42">
        <f>IFERROR(IF(ISNUMBER(Sheet1!N146),Sheet1!N146,0),0)</f>
        <v>1100</v>
      </c>
      <c r="O146" s="42">
        <f>IFERROR(IF(TRIM(F146)="Nhava Sheva",SUMPRODUCT((UPPER(TRIM('Origin Costs'!$A$5:$A$44))=UPPER(TRIM(J146)))*'Origin Costs'!$C$5:$C$44),IF(TRIM(F146)="ICD Tihi",SUMPRODUCT((UPPER(TRIM('Origin Costs'!$A$49:$A$88))=UPPER(TRIM(J146)))*'Origin Costs'!$C$49:$C$88),IF(TRIM(F146)="ICD Dhannad",SUMPRODUCT((UPPER(TRIM('Origin Costs'!$A$93:$A$132))=UPPER(TRIM(J146)))*'Origin Costs'!$C$93:$C$132),0))),0)</f>
        <v>1148.588888888889</v>
      </c>
      <c r="P146" s="42">
        <f t="shared" si="2"/>
        <v>2248.588888888889</v>
      </c>
      <c r="Q146" s="13" t="str">
        <f>IF(OR(Dashboard!$C$4="All Customers",$E146=Dashboard!$C$4),IF($E146="","",$P146+ROW()/10000000),"")</f>
        <v/>
      </c>
    </row>
    <row r="147" spans="1:17" ht="14.25" customHeight="1" x14ac:dyDescent="0.3">
      <c r="A147" s="43" t="str">
        <f>IFERROR("FY"&amp;TEXT(MOD(IF(MONTH(Sheet1!A147)&gt;=4,YEAR(Sheet1!A147),YEAR(Sheet1!A147)-1),100),"00")&amp;"-"&amp;TEXT(MOD(IF(MONTH(Sheet1!A147)&gt;=4,YEAR(Sheet1!A147),YEAR(Sheet1!A147)-1)+1,100),"00"),"")</f>
        <v>FY25-26</v>
      </c>
      <c r="B147" s="44" t="str">
        <f>IFERROR("Q"&amp;IF(MONTH(Sheet1!A147)&gt;=4,IF(MONTH(Sheet1!A147)&lt;=6,1,IF(MONTH(Sheet1!A147)&lt;=9,2,3)),4),"")</f>
        <v>Q2</v>
      </c>
      <c r="C147" s="43" t="str">
        <f>IFERROR(Sheet1!C147,0)</f>
        <v>Europe</v>
      </c>
      <c r="D147" s="43" t="str">
        <f>IFERROR(Sheet1!F147,0)</f>
        <v>UK</v>
      </c>
      <c r="E147" s="43" t="str">
        <f>IFERROR(Sheet1!E147,0)</f>
        <v>BA Bush Tyres</v>
      </c>
      <c r="F147" s="43" t="str">
        <f>IFERROR(IF(UPPER(TRIM(Sheet1!J147))="NH","Nhava Sheva",IF(UPPER(TRIM(Sheet1!J147))="ICD","ICD Dhannad",IF(UPPER(TRIM(Sheet1!J147))="TIHI","ICD Tihi",Sheet1!J147))),0)</f>
        <v>Nhava Sheva</v>
      </c>
      <c r="G147" s="43" t="str">
        <f>IFERROR(Sheet1!M147,0)</f>
        <v>London Gateway</v>
      </c>
      <c r="H147" s="43" t="str">
        <f>IFERROR(Sheet1!H147,0)</f>
        <v>Transbox</v>
      </c>
      <c r="I147" s="43" t="str">
        <f>IFERROR(Sheet1!G147,0)</f>
        <v>CIF</v>
      </c>
      <c r="J147" s="43" t="str">
        <f>IFERROR(Sheet1!K147,0)</f>
        <v>Maersk</v>
      </c>
      <c r="K147" s="45">
        <f>IFERROR(Sheet1!A147,0)</f>
        <v>45869</v>
      </c>
      <c r="L147" s="45">
        <f>IFERROR(Sheet1!I147,0)</f>
        <v>45867</v>
      </c>
      <c r="M147" s="47" t="str">
        <f>IFERROR(Sheet1!P147,0)</f>
        <v>NA</v>
      </c>
      <c r="N147" s="46">
        <f>IFERROR(IF(ISNUMBER(Sheet1!N147),Sheet1!N147,0),0)</f>
        <v>2070</v>
      </c>
      <c r="O147" s="46">
        <f>IFERROR(IF(TRIM(F147)="Nhava Sheva",SUMPRODUCT((UPPER(TRIM('Origin Costs'!$A$5:$A$44))=UPPER(TRIM(J147)))*'Origin Costs'!$C$5:$C$44),IF(TRIM(F147)="ICD Tihi",SUMPRODUCT((UPPER(TRIM('Origin Costs'!$A$49:$A$88))=UPPER(TRIM(J147)))*'Origin Costs'!$C$49:$C$88),IF(TRIM(F147)="ICD Dhannad",SUMPRODUCT((UPPER(TRIM('Origin Costs'!$A$93:$A$132))=UPPER(TRIM(J147)))*'Origin Costs'!$C$93:$C$132),0))),0)</f>
        <v>1148.588888888889</v>
      </c>
      <c r="P147" s="46">
        <f t="shared" si="2"/>
        <v>3218.588888888889</v>
      </c>
      <c r="Q147" s="13" t="str">
        <f>IF(OR(Dashboard!$C$4="All Customers",$E147=Dashboard!$C$4),IF($E147="","",$P147+ROW()/10000000),"")</f>
        <v/>
      </c>
    </row>
    <row r="148" spans="1:17" ht="14.25" customHeight="1" x14ac:dyDescent="0.3">
      <c r="A148" s="39" t="str">
        <f>IFERROR("FY"&amp;TEXT(MOD(IF(MONTH(Sheet1!A148)&gt;=4,YEAR(Sheet1!A148),YEAR(Sheet1!A148)-1),100),"00")&amp;"-"&amp;TEXT(MOD(IF(MONTH(Sheet1!A148)&gt;=4,YEAR(Sheet1!A148),YEAR(Sheet1!A148)-1)+1,100),"00"),"")</f>
        <v>FY25-26</v>
      </c>
      <c r="B148" s="40" t="str">
        <f>IFERROR("Q"&amp;IF(MONTH(Sheet1!A148)&gt;=4,IF(MONTH(Sheet1!A148)&lt;=6,1,IF(MONTH(Sheet1!A148)&lt;=9,2,3)),4),"")</f>
        <v>Q2</v>
      </c>
      <c r="C148" s="39" t="str">
        <f>IFERROR(Sheet1!C148,0)</f>
        <v>Europe</v>
      </c>
      <c r="D148" s="39" t="str">
        <f>IFERROR(Sheet1!F148,0)</f>
        <v>UK</v>
      </c>
      <c r="E148" s="39" t="str">
        <f>IFERROR(Sheet1!E148,0)</f>
        <v>BA Bush Tyres</v>
      </c>
      <c r="F148" s="39" t="str">
        <f>IFERROR(IF(UPPER(TRIM(Sheet1!J148))="NH","Nhava Sheva",IF(UPPER(TRIM(Sheet1!J148))="ICD","ICD Dhannad",IF(UPPER(TRIM(Sheet1!J148))="TIHI","ICD Tihi",Sheet1!J148))),0)</f>
        <v>Nhava Sheva</v>
      </c>
      <c r="G148" s="39" t="str">
        <f>IFERROR(Sheet1!M148,0)</f>
        <v>London Gateway</v>
      </c>
      <c r="H148" s="39" t="str">
        <f>IFERROR(Sheet1!H148,0)</f>
        <v>Transbox</v>
      </c>
      <c r="I148" s="39" t="str">
        <f>IFERROR(Sheet1!G148,0)</f>
        <v>CIF</v>
      </c>
      <c r="J148" s="39" t="str">
        <f>IFERROR(Sheet1!K148,0)</f>
        <v>Maersk</v>
      </c>
      <c r="K148" s="41">
        <f>IFERROR(Sheet1!A148,0)</f>
        <v>45869</v>
      </c>
      <c r="L148" s="41">
        <f>IFERROR(Sheet1!I148,0)</f>
        <v>45867</v>
      </c>
      <c r="M148" s="47" t="str">
        <f>IFERROR(Sheet1!P148,0)</f>
        <v>NA</v>
      </c>
      <c r="N148" s="42">
        <f>IFERROR(IF(ISNUMBER(Sheet1!N148),Sheet1!N148,0),0)</f>
        <v>2070</v>
      </c>
      <c r="O148" s="42">
        <f>IFERROR(IF(TRIM(F148)="Nhava Sheva",SUMPRODUCT((UPPER(TRIM('Origin Costs'!$A$5:$A$44))=UPPER(TRIM(J148)))*'Origin Costs'!$C$5:$C$44),IF(TRIM(F148)="ICD Tihi",SUMPRODUCT((UPPER(TRIM('Origin Costs'!$A$49:$A$88))=UPPER(TRIM(J148)))*'Origin Costs'!$C$49:$C$88),IF(TRIM(F148)="ICD Dhannad",SUMPRODUCT((UPPER(TRIM('Origin Costs'!$A$93:$A$132))=UPPER(TRIM(J148)))*'Origin Costs'!$C$93:$C$132),0))),0)</f>
        <v>1148.588888888889</v>
      </c>
      <c r="P148" s="42">
        <f t="shared" si="2"/>
        <v>3218.588888888889</v>
      </c>
      <c r="Q148" s="13" t="str">
        <f>IF(OR(Dashboard!$C$4="All Customers",$E148=Dashboard!$C$4),IF($E148="","",$P148+ROW()/10000000),"")</f>
        <v/>
      </c>
    </row>
    <row r="149" spans="1:17" ht="14.25" customHeight="1" x14ac:dyDescent="0.3">
      <c r="A149" s="43" t="str">
        <f>IFERROR("FY"&amp;TEXT(MOD(IF(MONTH(Sheet1!A149)&gt;=4,YEAR(Sheet1!A149),YEAR(Sheet1!A149)-1),100),"00")&amp;"-"&amp;TEXT(MOD(IF(MONTH(Sheet1!A149)&gt;=4,YEAR(Sheet1!A149),YEAR(Sheet1!A149)-1)+1,100),"00"),"")</f>
        <v>FY25-26</v>
      </c>
      <c r="B149" s="44" t="str">
        <f>IFERROR("Q"&amp;IF(MONTH(Sheet1!A149)&gt;=4,IF(MONTH(Sheet1!A149)&lt;=6,1,IF(MONTH(Sheet1!A149)&lt;=9,2,3)),4),"")</f>
        <v>Q2</v>
      </c>
      <c r="C149" s="43" t="str">
        <f>IFERROR(Sheet1!C149,0)</f>
        <v>Europe</v>
      </c>
      <c r="D149" s="43" t="str">
        <f>IFERROR(Sheet1!F149,0)</f>
        <v>UK</v>
      </c>
      <c r="E149" s="43" t="str">
        <f>IFERROR(Sheet1!E149,0)</f>
        <v>BA Bush Tyres</v>
      </c>
      <c r="F149" s="43" t="str">
        <f>IFERROR(IF(UPPER(TRIM(Sheet1!J149))="NH","Nhava Sheva",IF(UPPER(TRIM(Sheet1!J149))="ICD","ICD Dhannad",IF(UPPER(TRIM(Sheet1!J149))="TIHI","ICD Tihi",Sheet1!J149))),0)</f>
        <v>Nhava Sheva</v>
      </c>
      <c r="G149" s="43" t="str">
        <f>IFERROR(Sheet1!M149,0)</f>
        <v>London Gateway</v>
      </c>
      <c r="H149" s="43" t="str">
        <f>IFERROR(Sheet1!H149,0)</f>
        <v>Transbox</v>
      </c>
      <c r="I149" s="43" t="str">
        <f>IFERROR(Sheet1!G149,0)</f>
        <v>CIF</v>
      </c>
      <c r="J149" s="43" t="str">
        <f>IFERROR(Sheet1!K149,0)</f>
        <v>Maersk</v>
      </c>
      <c r="K149" s="45">
        <f>IFERROR(Sheet1!A149,0)</f>
        <v>45869</v>
      </c>
      <c r="L149" s="45">
        <f>IFERROR(Sheet1!I149,0)</f>
        <v>45867</v>
      </c>
      <c r="M149" s="47" t="str">
        <f>IFERROR(Sheet1!P149,0)</f>
        <v>NA</v>
      </c>
      <c r="N149" s="46">
        <f>IFERROR(IF(ISNUMBER(Sheet1!N149),Sheet1!N149,0),0)</f>
        <v>2070</v>
      </c>
      <c r="O149" s="46">
        <f>IFERROR(IF(TRIM(F149)="Nhava Sheva",SUMPRODUCT((UPPER(TRIM('Origin Costs'!$A$5:$A$44))=UPPER(TRIM(J149)))*'Origin Costs'!$C$5:$C$44),IF(TRIM(F149)="ICD Tihi",SUMPRODUCT((UPPER(TRIM('Origin Costs'!$A$49:$A$88))=UPPER(TRIM(J149)))*'Origin Costs'!$C$49:$C$88),IF(TRIM(F149)="ICD Dhannad",SUMPRODUCT((UPPER(TRIM('Origin Costs'!$A$93:$A$132))=UPPER(TRIM(J149)))*'Origin Costs'!$C$93:$C$132),0))),0)</f>
        <v>1148.588888888889</v>
      </c>
      <c r="P149" s="46">
        <f t="shared" si="2"/>
        <v>3218.588888888889</v>
      </c>
      <c r="Q149" s="13" t="str">
        <f>IF(OR(Dashboard!$C$4="All Customers",$E149=Dashboard!$C$4),IF($E149="","",$P149+ROW()/10000000),"")</f>
        <v/>
      </c>
    </row>
    <row r="150" spans="1:17" ht="14.25" customHeight="1" x14ac:dyDescent="0.3">
      <c r="A150" s="39" t="str">
        <f>IFERROR("FY"&amp;TEXT(MOD(IF(MONTH(Sheet1!A150)&gt;=4,YEAR(Sheet1!A150),YEAR(Sheet1!A150)-1),100),"00")&amp;"-"&amp;TEXT(MOD(IF(MONTH(Sheet1!A150)&gt;=4,YEAR(Sheet1!A150),YEAR(Sheet1!A150)-1)+1,100),"00"),"")</f>
        <v>FY25-26</v>
      </c>
      <c r="B150" s="40" t="str">
        <f>IFERROR("Q"&amp;IF(MONTH(Sheet1!A150)&gt;=4,IF(MONTH(Sheet1!A150)&lt;=6,1,IF(MONTH(Sheet1!A150)&lt;=9,2,3)),4),"")</f>
        <v>Q2</v>
      </c>
      <c r="C150" s="39" t="str">
        <f>IFERROR(Sheet1!C150,0)</f>
        <v>Europe</v>
      </c>
      <c r="D150" s="39" t="str">
        <f>IFERROR(Sheet1!F150,0)</f>
        <v>Poland</v>
      </c>
      <c r="E150" s="39" t="str">
        <f>IFERROR(Sheet1!E150,0)</f>
        <v>Inter Cars S.A., Poland</v>
      </c>
      <c r="F150" s="39" t="str">
        <f>IFERROR(IF(UPPER(TRIM(Sheet1!J150))="NH","Nhava Sheva",IF(UPPER(TRIM(Sheet1!J150))="ICD","ICD Dhannad",IF(UPPER(TRIM(Sheet1!J150))="TIHI","ICD Tihi",Sheet1!J150))),0)</f>
        <v>Nhava Sheva</v>
      </c>
      <c r="G150" s="39" t="str">
        <f>IFERROR(Sheet1!M150,0)</f>
        <v>GDYNIA</v>
      </c>
      <c r="H150" s="39" t="str">
        <f>IFERROR(Sheet1!H150,0)</f>
        <v>Mastermarine</v>
      </c>
      <c r="I150" s="39" t="str">
        <f>IFERROR(Sheet1!G150,0)</f>
        <v>FOB</v>
      </c>
      <c r="J150" s="39" t="str">
        <f>IFERROR(Sheet1!K150,0)</f>
        <v>Yangming</v>
      </c>
      <c r="K150" s="41">
        <f>IFERROR(Sheet1!A150,0)</f>
        <v>45869</v>
      </c>
      <c r="L150" s="41">
        <f>IFERROR(Sheet1!I150,0)</f>
        <v>45866</v>
      </c>
      <c r="M150" s="47" t="str">
        <f>IFERROR(Sheet1!P150,0)</f>
        <v>NA</v>
      </c>
      <c r="N150" s="42">
        <f>IFERROR(IF(ISNUMBER(Sheet1!N150),Sheet1!N150,0),0)</f>
        <v>0</v>
      </c>
      <c r="O150" s="42">
        <f>IFERROR(IF(TRIM(F150)="Nhava Sheva",SUMPRODUCT((UPPER(TRIM('Origin Costs'!$A$5:$A$44))=UPPER(TRIM(J150)))*'Origin Costs'!$C$5:$C$44),IF(TRIM(F150)="ICD Tihi",SUMPRODUCT((UPPER(TRIM('Origin Costs'!$A$49:$A$88))=UPPER(TRIM(J150)))*'Origin Costs'!$C$49:$C$88),IF(TRIM(F150)="ICD Dhannad",SUMPRODUCT((UPPER(TRIM('Origin Costs'!$A$93:$A$132))=UPPER(TRIM(J150)))*'Origin Costs'!$C$93:$C$132),0))),0)</f>
        <v>0</v>
      </c>
      <c r="P150" s="42">
        <f t="shared" si="2"/>
        <v>0</v>
      </c>
      <c r="Q150" s="13" t="str">
        <f>IF(OR(Dashboard!$C$4="All Customers",$E150=Dashboard!$C$4),IF($E150="","",$P150+ROW()/10000000),"")</f>
        <v/>
      </c>
    </row>
    <row r="151" spans="1:17" ht="14.25" customHeight="1" x14ac:dyDescent="0.3">
      <c r="A151" s="43" t="str">
        <f>IFERROR("FY"&amp;TEXT(MOD(IF(MONTH(Sheet1!A151)&gt;=4,YEAR(Sheet1!A151),YEAR(Sheet1!A151)-1),100),"00")&amp;"-"&amp;TEXT(MOD(IF(MONTH(Sheet1!A151)&gt;=4,YEAR(Sheet1!A151),YEAR(Sheet1!A151)-1)+1,100),"00"),"")</f>
        <v>FY25-26</v>
      </c>
      <c r="B151" s="44" t="str">
        <f>IFERROR("Q"&amp;IF(MONTH(Sheet1!A151)&gt;=4,IF(MONTH(Sheet1!A151)&lt;=6,1,IF(MONTH(Sheet1!A151)&lt;=9,2,3)),4),"")</f>
        <v>Q2</v>
      </c>
      <c r="C151" s="43" t="str">
        <f>IFERROR(Sheet1!C151,0)</f>
        <v>Europe</v>
      </c>
      <c r="D151" s="43" t="str">
        <f>IFERROR(Sheet1!F151,0)</f>
        <v>Poland</v>
      </c>
      <c r="E151" s="43" t="str">
        <f>IFERROR(Sheet1!E151,0)</f>
        <v>Inter Cars S.A., Poland</v>
      </c>
      <c r="F151" s="43" t="str">
        <f>IFERROR(IF(UPPER(TRIM(Sheet1!J151))="NH","Nhava Sheva",IF(UPPER(TRIM(Sheet1!J151))="ICD","ICD Dhannad",IF(UPPER(TRIM(Sheet1!J151))="TIHI","ICD Tihi",Sheet1!J151))),0)</f>
        <v>Nhava Sheva</v>
      </c>
      <c r="G151" s="43" t="str">
        <f>IFERROR(Sheet1!M151,0)</f>
        <v>GDYNIA</v>
      </c>
      <c r="H151" s="43" t="str">
        <f>IFERROR(Sheet1!H151,0)</f>
        <v>Mastermarine</v>
      </c>
      <c r="I151" s="43" t="str">
        <f>IFERROR(Sheet1!G151,0)</f>
        <v>FOB</v>
      </c>
      <c r="J151" s="43" t="str">
        <f>IFERROR(Sheet1!K151,0)</f>
        <v>Yangming</v>
      </c>
      <c r="K151" s="45">
        <f>IFERROR(Sheet1!A151,0)</f>
        <v>45869</v>
      </c>
      <c r="L151" s="45">
        <f>IFERROR(Sheet1!I151,0)</f>
        <v>45866</v>
      </c>
      <c r="M151" s="47" t="str">
        <f>IFERROR(Sheet1!P151,0)</f>
        <v>NA</v>
      </c>
      <c r="N151" s="46">
        <f>IFERROR(IF(ISNUMBER(Sheet1!N151),Sheet1!N151,0),0)</f>
        <v>0</v>
      </c>
      <c r="O151" s="46">
        <f>IFERROR(IF(TRIM(F151)="Nhava Sheva",SUMPRODUCT((UPPER(TRIM('Origin Costs'!$A$5:$A$44))=UPPER(TRIM(J151)))*'Origin Costs'!$C$5:$C$44),IF(TRIM(F151)="ICD Tihi",SUMPRODUCT((UPPER(TRIM('Origin Costs'!$A$49:$A$88))=UPPER(TRIM(J151)))*'Origin Costs'!$C$49:$C$88),IF(TRIM(F151)="ICD Dhannad",SUMPRODUCT((UPPER(TRIM('Origin Costs'!$A$93:$A$132))=UPPER(TRIM(J151)))*'Origin Costs'!$C$93:$C$132),0))),0)</f>
        <v>0</v>
      </c>
      <c r="P151" s="46">
        <f t="shared" si="2"/>
        <v>0</v>
      </c>
      <c r="Q151" s="13" t="str">
        <f>IF(OR(Dashboard!$C$4="All Customers",$E151=Dashboard!$C$4),IF($E151="","",$P151+ROW()/10000000),"")</f>
        <v/>
      </c>
    </row>
    <row r="152" spans="1:17" ht="14.25" customHeight="1" x14ac:dyDescent="0.3">
      <c r="A152" s="39" t="str">
        <f>IFERROR("FY"&amp;TEXT(MOD(IF(MONTH(Sheet1!A152)&gt;=4,YEAR(Sheet1!A152),YEAR(Sheet1!A152)-1),100),"00")&amp;"-"&amp;TEXT(MOD(IF(MONTH(Sheet1!A152)&gt;=4,YEAR(Sheet1!A152),YEAR(Sheet1!A152)-1)+1,100),"00"),"")</f>
        <v>FY25-26</v>
      </c>
      <c r="B152" s="40" t="str">
        <f>IFERROR("Q"&amp;IF(MONTH(Sheet1!A152)&gt;=4,IF(MONTH(Sheet1!A152)&lt;=6,1,IF(MONTH(Sheet1!A152)&lt;=9,2,3)),4),"")</f>
        <v>Q2</v>
      </c>
      <c r="C152" s="39" t="str">
        <f>IFERROR(Sheet1!C152,0)</f>
        <v>MEA</v>
      </c>
      <c r="D152" s="39" t="str">
        <f>IFERROR(Sheet1!F152,0)</f>
        <v>DI</v>
      </c>
      <c r="E152" s="39" t="str">
        <f>IFERROR(Sheet1!E152,0)</f>
        <v>Nahar Al Ajnas Auto Spre Prts Tradi, Dubai (In)</v>
      </c>
      <c r="F152" s="39" t="str">
        <f>IFERROR(IF(UPPER(TRIM(Sheet1!J152))="NH","Nhava Sheva",IF(UPPER(TRIM(Sheet1!J152))="ICD","ICD Dhannad",IF(UPPER(TRIM(Sheet1!J152))="TIHI","ICD Tihi",Sheet1!J152))),0)</f>
        <v>Nhava Sheva</v>
      </c>
      <c r="G152" s="39" t="str">
        <f>IFERROR(Sheet1!M152,0)</f>
        <v>Jebel Ali</v>
      </c>
      <c r="H152" s="39" t="str">
        <f>IFERROR(Sheet1!H152,0)</f>
        <v>Maxim Shipping</v>
      </c>
      <c r="I152" s="39" t="str">
        <f>IFERROR(Sheet1!G152,0)</f>
        <v>FOB</v>
      </c>
      <c r="J152" s="39" t="str">
        <f>IFERROR(Sheet1!K152,0)</f>
        <v>Blue Marlin</v>
      </c>
      <c r="K152" s="41">
        <f>IFERROR(Sheet1!A152,0)</f>
        <v>45870</v>
      </c>
      <c r="L152" s="41">
        <f>IFERROR(Sheet1!I152,0)</f>
        <v>45867</v>
      </c>
      <c r="M152" s="47" t="str">
        <f>IFERROR(Sheet1!P152,0)</f>
        <v>NA</v>
      </c>
      <c r="N152" s="42">
        <f>IFERROR(IF(ISNUMBER(Sheet1!N152),Sheet1!N152,0),0)</f>
        <v>0</v>
      </c>
      <c r="O152" s="42">
        <f>IFERROR(IF(TRIM(F152)="Nhava Sheva",SUMPRODUCT((UPPER(TRIM('Origin Costs'!$A$5:$A$44))=UPPER(TRIM(J152)))*'Origin Costs'!$C$5:$C$44),IF(TRIM(F152)="ICD Tihi",SUMPRODUCT((UPPER(TRIM('Origin Costs'!$A$49:$A$88))=UPPER(TRIM(J152)))*'Origin Costs'!$C$49:$C$88),IF(TRIM(F152)="ICD Dhannad",SUMPRODUCT((UPPER(TRIM('Origin Costs'!$A$93:$A$132))=UPPER(TRIM(J152)))*'Origin Costs'!$C$93:$C$132),0))),0)</f>
        <v>0</v>
      </c>
      <c r="P152" s="42">
        <f t="shared" si="2"/>
        <v>0</v>
      </c>
      <c r="Q152" s="13" t="str">
        <f>IF(OR(Dashboard!$C$4="All Customers",$E152=Dashboard!$C$4),IF($E152="","",$P152+ROW()/10000000),"")</f>
        <v/>
      </c>
    </row>
    <row r="153" spans="1:17" ht="14.25" customHeight="1" x14ac:dyDescent="0.3">
      <c r="A153" s="43" t="str">
        <f>IFERROR("FY"&amp;TEXT(MOD(IF(MONTH(Sheet1!A153)&gt;=4,YEAR(Sheet1!A153),YEAR(Sheet1!A153)-1),100),"00")&amp;"-"&amp;TEXT(MOD(IF(MONTH(Sheet1!A153)&gt;=4,YEAR(Sheet1!A153),YEAR(Sheet1!A153)-1)+1,100),"00"),"")</f>
        <v>FY25-26</v>
      </c>
      <c r="B153" s="44" t="str">
        <f>IFERROR("Q"&amp;IF(MONTH(Sheet1!A153)&gt;=4,IF(MONTH(Sheet1!A153)&lt;=6,1,IF(MONTH(Sheet1!A153)&lt;=9,2,3)),4),"")</f>
        <v>Q2</v>
      </c>
      <c r="C153" s="43" t="str">
        <f>IFERROR(Sheet1!C153,0)</f>
        <v>MEA</v>
      </c>
      <c r="D153" s="43" t="str">
        <f>IFERROR(Sheet1!F153,0)</f>
        <v>DI</v>
      </c>
      <c r="E153" s="43" t="str">
        <f>IFERROR(Sheet1!E153,0)</f>
        <v>Nahar Al Ajnas Auto Spre Prts Tradi, Dubai (In)</v>
      </c>
      <c r="F153" s="43" t="str">
        <f>IFERROR(IF(UPPER(TRIM(Sheet1!J153))="NH","Nhava Sheva",IF(UPPER(TRIM(Sheet1!J153))="ICD","ICD Dhannad",IF(UPPER(TRIM(Sheet1!J153))="TIHI","ICD Tihi",Sheet1!J153))),0)</f>
        <v>Nhava Sheva</v>
      </c>
      <c r="G153" s="43" t="str">
        <f>IFERROR(Sheet1!M153,0)</f>
        <v>Jebel Ali</v>
      </c>
      <c r="H153" s="43" t="str">
        <f>IFERROR(Sheet1!H153,0)</f>
        <v>Maxim Shipping</v>
      </c>
      <c r="I153" s="43" t="str">
        <f>IFERROR(Sheet1!G153,0)</f>
        <v>FOB</v>
      </c>
      <c r="J153" s="43" t="str">
        <f>IFERROR(Sheet1!K153,0)</f>
        <v>Blue Marlin</v>
      </c>
      <c r="K153" s="45">
        <f>IFERROR(Sheet1!A153,0)</f>
        <v>45870</v>
      </c>
      <c r="L153" s="45">
        <f>IFERROR(Sheet1!I153,0)</f>
        <v>45867</v>
      </c>
      <c r="M153" s="47" t="str">
        <f>IFERROR(Sheet1!P153,0)</f>
        <v>NA</v>
      </c>
      <c r="N153" s="46">
        <f>IFERROR(IF(ISNUMBER(Sheet1!N153),Sheet1!N153,0),0)</f>
        <v>0</v>
      </c>
      <c r="O153" s="46">
        <f>IFERROR(IF(TRIM(F153)="Nhava Sheva",SUMPRODUCT((UPPER(TRIM('Origin Costs'!$A$5:$A$44))=UPPER(TRIM(J153)))*'Origin Costs'!$C$5:$C$44),IF(TRIM(F153)="ICD Tihi",SUMPRODUCT((UPPER(TRIM('Origin Costs'!$A$49:$A$88))=UPPER(TRIM(J153)))*'Origin Costs'!$C$49:$C$88),IF(TRIM(F153)="ICD Dhannad",SUMPRODUCT((UPPER(TRIM('Origin Costs'!$A$93:$A$132))=UPPER(TRIM(J153)))*'Origin Costs'!$C$93:$C$132),0))),0)</f>
        <v>0</v>
      </c>
      <c r="P153" s="46">
        <f t="shared" si="2"/>
        <v>0</v>
      </c>
      <c r="Q153" s="13" t="str">
        <f>IF(OR(Dashboard!$C$4="All Customers",$E153=Dashboard!$C$4),IF($E153="","",$P153+ROW()/10000000),"")</f>
        <v/>
      </c>
    </row>
    <row r="154" spans="1:17" ht="14.25" customHeight="1" x14ac:dyDescent="0.3">
      <c r="A154" s="39" t="str">
        <f>IFERROR("FY"&amp;TEXT(MOD(IF(MONTH(Sheet1!A154)&gt;=4,YEAR(Sheet1!A154),YEAR(Sheet1!A154)-1),100),"00")&amp;"-"&amp;TEXT(MOD(IF(MONTH(Sheet1!A154)&gt;=4,YEAR(Sheet1!A154),YEAR(Sheet1!A154)-1)+1,100),"00"),"")</f>
        <v>FY25-26</v>
      </c>
      <c r="B154" s="40" t="str">
        <f>IFERROR("Q"&amp;IF(MONTH(Sheet1!A154)&gt;=4,IF(MONTH(Sheet1!A154)&lt;=6,1,IF(MONTH(Sheet1!A154)&lt;=9,2,3)),4),"")</f>
        <v>Q2</v>
      </c>
      <c r="C154" s="39" t="str">
        <f>IFERROR(Sheet1!C154,0)</f>
        <v>MEA</v>
      </c>
      <c r="D154" s="39" t="str">
        <f>IFERROR(Sheet1!F154,0)</f>
        <v>DI</v>
      </c>
      <c r="E154" s="39" t="str">
        <f>IFERROR(Sheet1!E154,0)</f>
        <v>Nahar Al Ajnas Auto Spre Prts Tradi, Dubai (In)</v>
      </c>
      <c r="F154" s="39" t="str">
        <f>IFERROR(IF(UPPER(TRIM(Sheet1!J154))="NH","Nhava Sheva",IF(UPPER(TRIM(Sheet1!J154))="ICD","ICD Dhannad",IF(UPPER(TRIM(Sheet1!J154))="TIHI","ICD Tihi",Sheet1!J154))),0)</f>
        <v>Nhava Sheva</v>
      </c>
      <c r="G154" s="39" t="str">
        <f>IFERROR(Sheet1!M154,0)</f>
        <v>Jebel Ali</v>
      </c>
      <c r="H154" s="39" t="str">
        <f>IFERROR(Sheet1!H154,0)</f>
        <v>Maxim Shipping</v>
      </c>
      <c r="I154" s="39" t="str">
        <f>IFERROR(Sheet1!G154,0)</f>
        <v>FOB</v>
      </c>
      <c r="J154" s="39" t="str">
        <f>IFERROR(Sheet1!K154,0)</f>
        <v>Blue Marlin</v>
      </c>
      <c r="K154" s="41">
        <f>IFERROR(Sheet1!A154,0)</f>
        <v>45870</v>
      </c>
      <c r="L154" s="41">
        <f>IFERROR(Sheet1!I154,0)</f>
        <v>45867</v>
      </c>
      <c r="M154" s="47" t="str">
        <f>IFERROR(Sheet1!P154,0)</f>
        <v>NA</v>
      </c>
      <c r="N154" s="42">
        <f>IFERROR(IF(ISNUMBER(Sheet1!N154),Sheet1!N154,0),0)</f>
        <v>0</v>
      </c>
      <c r="O154" s="42">
        <f>IFERROR(IF(TRIM(F154)="Nhava Sheva",SUMPRODUCT((UPPER(TRIM('Origin Costs'!$A$5:$A$44))=UPPER(TRIM(J154)))*'Origin Costs'!$C$5:$C$44),IF(TRIM(F154)="ICD Tihi",SUMPRODUCT((UPPER(TRIM('Origin Costs'!$A$49:$A$88))=UPPER(TRIM(J154)))*'Origin Costs'!$C$49:$C$88),IF(TRIM(F154)="ICD Dhannad",SUMPRODUCT((UPPER(TRIM('Origin Costs'!$A$93:$A$132))=UPPER(TRIM(J154)))*'Origin Costs'!$C$93:$C$132),0))),0)</f>
        <v>0</v>
      </c>
      <c r="P154" s="42">
        <f t="shared" si="2"/>
        <v>0</v>
      </c>
      <c r="Q154" s="13" t="str">
        <f>IF(OR(Dashboard!$C$4="All Customers",$E154=Dashboard!$C$4),IF($E154="","",$P154+ROW()/10000000),"")</f>
        <v/>
      </c>
    </row>
    <row r="155" spans="1:17" ht="14.25" customHeight="1" x14ac:dyDescent="0.3">
      <c r="A155" s="43" t="str">
        <f>IFERROR("FY"&amp;TEXT(MOD(IF(MONTH(Sheet1!A155)&gt;=4,YEAR(Sheet1!A155),YEAR(Sheet1!A155)-1),100),"00")&amp;"-"&amp;TEXT(MOD(IF(MONTH(Sheet1!A155)&gt;=4,YEAR(Sheet1!A155),YEAR(Sheet1!A155)-1)+1,100),"00"),"")</f>
        <v>FY25-26</v>
      </c>
      <c r="B155" s="44" t="str">
        <f>IFERROR("Q"&amp;IF(MONTH(Sheet1!A155)&gt;=4,IF(MONTH(Sheet1!A155)&lt;=6,1,IF(MONTH(Sheet1!A155)&lt;=9,2,3)),4),"")</f>
        <v>Q2</v>
      </c>
      <c r="C155" s="43" t="str">
        <f>IFERROR(Sheet1!C155,0)</f>
        <v>MEA</v>
      </c>
      <c r="D155" s="43" t="str">
        <f>IFERROR(Sheet1!F155,0)</f>
        <v>DI</v>
      </c>
      <c r="E155" s="43" t="str">
        <f>IFERROR(Sheet1!E155,0)</f>
        <v>Nahar Al Ajnas Auto Spre Prts Tradi, Dubai (In)</v>
      </c>
      <c r="F155" s="43" t="str">
        <f>IFERROR(IF(UPPER(TRIM(Sheet1!J155))="NH","Nhava Sheva",IF(UPPER(TRIM(Sheet1!J155))="ICD","ICD Dhannad",IF(UPPER(TRIM(Sheet1!J155))="TIHI","ICD Tihi",Sheet1!J155))),0)</f>
        <v>Nhava Sheva</v>
      </c>
      <c r="G155" s="43" t="str">
        <f>IFERROR(Sheet1!M155,0)</f>
        <v>Jebel Ali</v>
      </c>
      <c r="H155" s="43" t="str">
        <f>IFERROR(Sheet1!H155,0)</f>
        <v>Maxim Shipping</v>
      </c>
      <c r="I155" s="43" t="str">
        <f>IFERROR(Sheet1!G155,0)</f>
        <v>FOB</v>
      </c>
      <c r="J155" s="43" t="str">
        <f>IFERROR(Sheet1!K155,0)</f>
        <v>Blue Marlin</v>
      </c>
      <c r="K155" s="45">
        <f>IFERROR(Sheet1!A155,0)</f>
        <v>45870</v>
      </c>
      <c r="L155" s="45">
        <f>IFERROR(Sheet1!I155,0)</f>
        <v>45867</v>
      </c>
      <c r="M155" s="47" t="str">
        <f>IFERROR(Sheet1!P155,0)</f>
        <v>NA</v>
      </c>
      <c r="N155" s="46">
        <f>IFERROR(IF(ISNUMBER(Sheet1!N155),Sheet1!N155,0),0)</f>
        <v>0</v>
      </c>
      <c r="O155" s="46">
        <f>IFERROR(IF(TRIM(F155)="Nhava Sheva",SUMPRODUCT((UPPER(TRIM('Origin Costs'!$A$5:$A$44))=UPPER(TRIM(J155)))*'Origin Costs'!$C$5:$C$44),IF(TRIM(F155)="ICD Tihi",SUMPRODUCT((UPPER(TRIM('Origin Costs'!$A$49:$A$88))=UPPER(TRIM(J155)))*'Origin Costs'!$C$49:$C$88),IF(TRIM(F155)="ICD Dhannad",SUMPRODUCT((UPPER(TRIM('Origin Costs'!$A$93:$A$132))=UPPER(TRIM(J155)))*'Origin Costs'!$C$93:$C$132),0))),0)</f>
        <v>0</v>
      </c>
      <c r="P155" s="46">
        <f t="shared" si="2"/>
        <v>0</v>
      </c>
      <c r="Q155" s="13" t="str">
        <f>IF(OR(Dashboard!$C$4="All Customers",$E155=Dashboard!$C$4),IF($E155="","",$P155+ROW()/10000000),"")</f>
        <v/>
      </c>
    </row>
    <row r="156" spans="1:17" ht="14.25" customHeight="1" x14ac:dyDescent="0.3">
      <c r="A156" s="39" t="str">
        <f>IFERROR("FY"&amp;TEXT(MOD(IF(MONTH(Sheet1!A156)&gt;=4,YEAR(Sheet1!A156),YEAR(Sheet1!A156)-1),100),"00")&amp;"-"&amp;TEXT(MOD(IF(MONTH(Sheet1!A156)&gt;=4,YEAR(Sheet1!A156),YEAR(Sheet1!A156)-1)+1,100),"00"),"")</f>
        <v>FY25-26</v>
      </c>
      <c r="B156" s="40" t="str">
        <f>IFERROR("Q"&amp;IF(MONTH(Sheet1!A156)&gt;=4,IF(MONTH(Sheet1!A156)&lt;=6,1,IF(MONTH(Sheet1!A156)&lt;=9,2,3)),4),"")</f>
        <v>Q2</v>
      </c>
      <c r="C156" s="39" t="str">
        <f>IFERROR(Sheet1!C156,0)</f>
        <v>Europe</v>
      </c>
      <c r="D156" s="39" t="str">
        <f>IFERROR(Sheet1!F156,0)</f>
        <v>Ireland</v>
      </c>
      <c r="E156" s="39" t="str">
        <f>IFERROR(Sheet1!E156,0)</f>
        <v>Agrigear LTD, Ireland</v>
      </c>
      <c r="F156" s="39" t="str">
        <f>IFERROR(IF(UPPER(TRIM(Sheet1!J156))="NH","Nhava Sheva",IF(UPPER(TRIM(Sheet1!J156))="ICD","ICD Dhannad",IF(UPPER(TRIM(Sheet1!J156))="TIHI","ICD Tihi",Sheet1!J156))),0)</f>
        <v>ICD Dhannad</v>
      </c>
      <c r="G156" s="39" t="str">
        <f>IFERROR(Sheet1!M156,0)</f>
        <v>Dublin</v>
      </c>
      <c r="H156" s="39" t="str">
        <f>IFERROR(Sheet1!H156,0)</f>
        <v>Sevenseas Global</v>
      </c>
      <c r="I156" s="39" t="str">
        <f>IFERROR(Sheet1!G156,0)</f>
        <v>CIF</v>
      </c>
      <c r="J156" s="39" t="str">
        <f>IFERROR(Sheet1!K156,0)</f>
        <v>MSC</v>
      </c>
      <c r="K156" s="41">
        <f>IFERROR(Sheet1!A156,0)</f>
        <v>45875</v>
      </c>
      <c r="L156" s="41">
        <f>IFERROR(Sheet1!I156,0)</f>
        <v>45874</v>
      </c>
      <c r="M156" s="47" t="str">
        <f>IFERROR(Sheet1!P156,0)</f>
        <v>NA</v>
      </c>
      <c r="N156" s="42">
        <f>IFERROR(IF(ISNUMBER(Sheet1!N156),Sheet1!N156,0),0)</f>
        <v>2400</v>
      </c>
      <c r="O156" s="42">
        <f>IFERROR(IF(TRIM(F156)="Nhava Sheva",SUMPRODUCT((UPPER(TRIM('Origin Costs'!$A$5:$A$44))=UPPER(TRIM(J156)))*'Origin Costs'!$C$5:$C$44),IF(TRIM(F156)="ICD Tihi",SUMPRODUCT((UPPER(TRIM('Origin Costs'!$A$49:$A$88))=UPPER(TRIM(J156)))*'Origin Costs'!$C$49:$C$88),IF(TRIM(F156)="ICD Dhannad",SUMPRODUCT((UPPER(TRIM('Origin Costs'!$A$93:$A$132))=UPPER(TRIM(J156)))*'Origin Costs'!$C$93:$C$132),0))),0)</f>
        <v>0</v>
      </c>
      <c r="P156" s="42">
        <f t="shared" si="2"/>
        <v>2400</v>
      </c>
      <c r="Q156" s="13" t="str">
        <f>IF(OR(Dashboard!$C$4="All Customers",$E156=Dashboard!$C$4),IF($E156="","",$P156+ROW()/10000000),"")</f>
        <v/>
      </c>
    </row>
    <row r="157" spans="1:17" ht="14.25" customHeight="1" x14ac:dyDescent="0.3">
      <c r="A157" s="43" t="str">
        <f>IFERROR("FY"&amp;TEXT(MOD(IF(MONTH(Sheet1!A157)&gt;=4,YEAR(Sheet1!A157),YEAR(Sheet1!A157)-1),100),"00")&amp;"-"&amp;TEXT(MOD(IF(MONTH(Sheet1!A157)&gt;=4,YEAR(Sheet1!A157),YEAR(Sheet1!A157)-1)+1,100),"00"),"")</f>
        <v>FY25-26</v>
      </c>
      <c r="B157" s="44" t="str">
        <f>IFERROR("Q"&amp;IF(MONTH(Sheet1!A157)&gt;=4,IF(MONTH(Sheet1!A157)&lt;=6,1,IF(MONTH(Sheet1!A157)&lt;=9,2,3)),4),"")</f>
        <v>Q2</v>
      </c>
      <c r="C157" s="43" t="str">
        <f>IFERROR(Sheet1!C157,0)</f>
        <v>Europe</v>
      </c>
      <c r="D157" s="43" t="str">
        <f>IFERROR(Sheet1!F157,0)</f>
        <v>Ireland</v>
      </c>
      <c r="E157" s="43" t="str">
        <f>IFERROR(Sheet1!E157,0)</f>
        <v>Agrigear LTD, Ireland</v>
      </c>
      <c r="F157" s="43" t="str">
        <f>IFERROR(IF(UPPER(TRIM(Sheet1!J157))="NH","Nhava Sheva",IF(UPPER(TRIM(Sheet1!J157))="ICD","ICD Dhannad",IF(UPPER(TRIM(Sheet1!J157))="TIHI","ICD Tihi",Sheet1!J157))),0)</f>
        <v>ICD Dhannad</v>
      </c>
      <c r="G157" s="43" t="str">
        <f>IFERROR(Sheet1!M157,0)</f>
        <v>Dublin</v>
      </c>
      <c r="H157" s="43" t="str">
        <f>IFERROR(Sheet1!H157,0)</f>
        <v>Sevenseas Global</v>
      </c>
      <c r="I157" s="43" t="str">
        <f>IFERROR(Sheet1!G157,0)</f>
        <v>CIF</v>
      </c>
      <c r="J157" s="43" t="str">
        <f>IFERROR(Sheet1!K157,0)</f>
        <v>MSC</v>
      </c>
      <c r="K157" s="45">
        <f>IFERROR(Sheet1!A157,0)</f>
        <v>45875</v>
      </c>
      <c r="L157" s="45">
        <f>IFERROR(Sheet1!I157,0)</f>
        <v>45874</v>
      </c>
      <c r="M157" s="47" t="str">
        <f>IFERROR(Sheet1!P157,0)</f>
        <v>NA</v>
      </c>
      <c r="N157" s="46">
        <f>IFERROR(IF(ISNUMBER(Sheet1!N157),Sheet1!N157,0),0)</f>
        <v>2400</v>
      </c>
      <c r="O157" s="46">
        <f>IFERROR(IF(TRIM(F157)="Nhava Sheva",SUMPRODUCT((UPPER(TRIM('Origin Costs'!$A$5:$A$44))=UPPER(TRIM(J157)))*'Origin Costs'!$C$5:$C$44),IF(TRIM(F157)="ICD Tihi",SUMPRODUCT((UPPER(TRIM('Origin Costs'!$A$49:$A$88))=UPPER(TRIM(J157)))*'Origin Costs'!$C$49:$C$88),IF(TRIM(F157)="ICD Dhannad",SUMPRODUCT((UPPER(TRIM('Origin Costs'!$A$93:$A$132))=UPPER(TRIM(J157)))*'Origin Costs'!$C$93:$C$132),0))),0)</f>
        <v>0</v>
      </c>
      <c r="P157" s="46">
        <f t="shared" si="2"/>
        <v>2400</v>
      </c>
      <c r="Q157" s="13" t="str">
        <f>IF(OR(Dashboard!$C$4="All Customers",$E157=Dashboard!$C$4),IF($E157="","",$P157+ROW()/10000000),"")</f>
        <v/>
      </c>
    </row>
    <row r="158" spans="1:17" ht="14.25" customHeight="1" x14ac:dyDescent="0.3">
      <c r="A158" s="39" t="str">
        <f>IFERROR("FY"&amp;TEXT(MOD(IF(MONTH(Sheet1!A158)&gt;=4,YEAR(Sheet1!A158),YEAR(Sheet1!A158)-1),100),"00")&amp;"-"&amp;TEXT(MOD(IF(MONTH(Sheet1!A158)&gt;=4,YEAR(Sheet1!A158),YEAR(Sheet1!A158)-1)+1,100),"00"),"")</f>
        <v>FY25-26</v>
      </c>
      <c r="B158" s="40" t="str">
        <f>IFERROR("Q"&amp;IF(MONTH(Sheet1!A158)&gt;=4,IF(MONTH(Sheet1!A158)&lt;=6,1,IF(MONTH(Sheet1!A158)&lt;=9,2,3)),4),"")</f>
        <v>Q2</v>
      </c>
      <c r="C158" s="39" t="str">
        <f>IFERROR(Sheet1!C158,0)</f>
        <v>S.A</v>
      </c>
      <c r="D158" s="39" t="str">
        <f>IFERROR(Sheet1!F158,0)</f>
        <v>Brazil</v>
      </c>
      <c r="E158" s="39" t="str">
        <f>IFERROR(Sheet1!E158,0)</f>
        <v>Unus Holding Ltda., Brazil</v>
      </c>
      <c r="F158" s="39" t="str">
        <f>IFERROR(IF(UPPER(TRIM(Sheet1!J158))="NH","Nhava Sheva",IF(UPPER(TRIM(Sheet1!J158))="ICD","ICD Dhannad",IF(UPPER(TRIM(Sheet1!J158))="TIHI","ICD Tihi",Sheet1!J158))),0)</f>
        <v>Nhava Sheva</v>
      </c>
      <c r="G158" s="39" t="str">
        <f>IFERROR(Sheet1!M158,0)</f>
        <v>Paranagua</v>
      </c>
      <c r="H158" s="39" t="str">
        <f>IFERROR(Sheet1!H158,0)</f>
        <v>Sanjay Forwarder</v>
      </c>
      <c r="I158" s="39" t="str">
        <f>IFERROR(Sheet1!G158,0)</f>
        <v>CIF</v>
      </c>
      <c r="J158" s="39" t="str">
        <f>IFERROR(Sheet1!K158,0)</f>
        <v>CMA</v>
      </c>
      <c r="K158" s="41">
        <f>IFERROR(Sheet1!A158,0)</f>
        <v>45876</v>
      </c>
      <c r="L158" s="41">
        <f>IFERROR(Sheet1!I158,0)</f>
        <v>45871</v>
      </c>
      <c r="M158" s="47" t="str">
        <f>IFERROR(Sheet1!P158,0)</f>
        <v>NA</v>
      </c>
      <c r="N158" s="42">
        <f>IFERROR(IF(ISNUMBER(Sheet1!N158),Sheet1!N158,0),0)</f>
        <v>2100</v>
      </c>
      <c r="O158" s="42">
        <f>IFERROR(IF(TRIM(F158)="Nhava Sheva",SUMPRODUCT((UPPER(TRIM('Origin Costs'!$A$5:$A$44))=UPPER(TRIM(J158)))*'Origin Costs'!$C$5:$C$44),IF(TRIM(F158)="ICD Tihi",SUMPRODUCT((UPPER(TRIM('Origin Costs'!$A$49:$A$88))=UPPER(TRIM(J158)))*'Origin Costs'!$C$49:$C$88),IF(TRIM(F158)="ICD Dhannad",SUMPRODUCT((UPPER(TRIM('Origin Costs'!$A$93:$A$132))=UPPER(TRIM(J158)))*'Origin Costs'!$C$93:$C$132),0))),0)</f>
        <v>0</v>
      </c>
      <c r="P158" s="42">
        <f t="shared" si="2"/>
        <v>2100</v>
      </c>
      <c r="Q158" s="13" t="str">
        <f>IF(OR(Dashboard!$C$4="All Customers",$E158=Dashboard!$C$4),IF($E158="","",$P158+ROW()/10000000),"")</f>
        <v/>
      </c>
    </row>
    <row r="159" spans="1:17" ht="14.25" customHeight="1" x14ac:dyDescent="0.3">
      <c r="A159" s="43" t="str">
        <f>IFERROR("FY"&amp;TEXT(MOD(IF(MONTH(Sheet1!A159)&gt;=4,YEAR(Sheet1!A159),YEAR(Sheet1!A159)-1),100),"00")&amp;"-"&amp;TEXT(MOD(IF(MONTH(Sheet1!A159)&gt;=4,YEAR(Sheet1!A159),YEAR(Sheet1!A159)-1)+1,100),"00"),"")</f>
        <v>FY25-26</v>
      </c>
      <c r="B159" s="44" t="str">
        <f>IFERROR("Q"&amp;IF(MONTH(Sheet1!A159)&gt;=4,IF(MONTH(Sheet1!A159)&lt;=6,1,IF(MONTH(Sheet1!A159)&lt;=9,2,3)),4),"")</f>
        <v>Q2</v>
      </c>
      <c r="C159" s="43" t="str">
        <f>IFERROR(Sheet1!C159,0)</f>
        <v>S.A</v>
      </c>
      <c r="D159" s="43" t="str">
        <f>IFERROR(Sheet1!F159,0)</f>
        <v>Brazil</v>
      </c>
      <c r="E159" s="43" t="str">
        <f>IFERROR(Sheet1!E159,0)</f>
        <v>Unus Holding Ltda., Brazil</v>
      </c>
      <c r="F159" s="43" t="str">
        <f>IFERROR(IF(UPPER(TRIM(Sheet1!J159))="NH","Nhava Sheva",IF(UPPER(TRIM(Sheet1!J159))="ICD","ICD Dhannad",IF(UPPER(TRIM(Sheet1!J159))="TIHI","ICD Tihi",Sheet1!J159))),0)</f>
        <v>Nhava Sheva</v>
      </c>
      <c r="G159" s="43" t="str">
        <f>IFERROR(Sheet1!M159,0)</f>
        <v>Paranagua</v>
      </c>
      <c r="H159" s="43" t="str">
        <f>IFERROR(Sheet1!H159,0)</f>
        <v>Sanjay Forwarder</v>
      </c>
      <c r="I159" s="43" t="str">
        <f>IFERROR(Sheet1!G159,0)</f>
        <v>CIF</v>
      </c>
      <c r="J159" s="43" t="str">
        <f>IFERROR(Sheet1!K159,0)</f>
        <v>CMA</v>
      </c>
      <c r="K159" s="45">
        <f>IFERROR(Sheet1!A159,0)</f>
        <v>45876</v>
      </c>
      <c r="L159" s="45">
        <f>IFERROR(Sheet1!I159,0)</f>
        <v>45871</v>
      </c>
      <c r="M159" s="47" t="str">
        <f>IFERROR(Sheet1!P159,0)</f>
        <v>NA</v>
      </c>
      <c r="N159" s="46">
        <f>IFERROR(IF(ISNUMBER(Sheet1!N159),Sheet1!N159,0),0)</f>
        <v>2100</v>
      </c>
      <c r="O159" s="46">
        <f>IFERROR(IF(TRIM(F159)="Nhava Sheva",SUMPRODUCT((UPPER(TRIM('Origin Costs'!$A$5:$A$44))=UPPER(TRIM(J159)))*'Origin Costs'!$C$5:$C$44),IF(TRIM(F159)="ICD Tihi",SUMPRODUCT((UPPER(TRIM('Origin Costs'!$A$49:$A$88))=UPPER(TRIM(J159)))*'Origin Costs'!$C$49:$C$88),IF(TRIM(F159)="ICD Dhannad",SUMPRODUCT((UPPER(TRIM('Origin Costs'!$A$93:$A$132))=UPPER(TRIM(J159)))*'Origin Costs'!$C$93:$C$132),0))),0)</f>
        <v>0</v>
      </c>
      <c r="P159" s="46">
        <f t="shared" si="2"/>
        <v>2100</v>
      </c>
      <c r="Q159" s="13" t="str">
        <f>IF(OR(Dashboard!$C$4="All Customers",$E159=Dashboard!$C$4),IF($E159="","",$P159+ROW()/10000000),"")</f>
        <v/>
      </c>
    </row>
    <row r="160" spans="1:17" ht="14.25" customHeight="1" x14ac:dyDescent="0.3">
      <c r="A160" s="39" t="str">
        <f>IFERROR("FY"&amp;TEXT(MOD(IF(MONTH(Sheet1!A160)&gt;=4,YEAR(Sheet1!A160),YEAR(Sheet1!A160)-1),100),"00")&amp;"-"&amp;TEXT(MOD(IF(MONTH(Sheet1!A160)&gt;=4,YEAR(Sheet1!A160),YEAR(Sheet1!A160)-1)+1,100),"00"),"")</f>
        <v>FY25-26</v>
      </c>
      <c r="B160" s="40" t="str">
        <f>IFERROR("Q"&amp;IF(MONTH(Sheet1!A160)&gt;=4,IF(MONTH(Sheet1!A160)&lt;=6,1,IF(MONTH(Sheet1!A160)&lt;=9,2,3)),4),"")</f>
        <v>Q2</v>
      </c>
      <c r="C160" s="39" t="str">
        <f>IFERROR(Sheet1!C160,0)</f>
        <v>S.A</v>
      </c>
      <c r="D160" s="39" t="str">
        <f>IFERROR(Sheet1!F160,0)</f>
        <v>Colombia</v>
      </c>
      <c r="E160" s="39" t="str">
        <f>IFERROR(Sheet1!E160,0)</f>
        <v>REDLLANTAS S.A</v>
      </c>
      <c r="F160" s="39" t="str">
        <f>IFERROR(IF(UPPER(TRIM(Sheet1!J160))="NH","Nhava Sheva",IF(UPPER(TRIM(Sheet1!J160))="ICD","ICD Dhannad",IF(UPPER(TRIM(Sheet1!J160))="TIHI","ICD Tihi",Sheet1!J160))),0)</f>
        <v>Nhava Sheva</v>
      </c>
      <c r="G160" s="39" t="str">
        <f>IFERROR(Sheet1!M160,0)</f>
        <v>Buenaventura</v>
      </c>
      <c r="H160" s="39" t="str">
        <f>IFERROR(Sheet1!H160,0)</f>
        <v>Asia Shipping</v>
      </c>
      <c r="I160" s="39" t="str">
        <f>IFERROR(Sheet1!G160,0)</f>
        <v>FOB</v>
      </c>
      <c r="J160" s="39" t="str">
        <f>IFERROR(Sheet1!K160,0)</f>
        <v>MSC</v>
      </c>
      <c r="K160" s="41">
        <f>IFERROR(Sheet1!A160,0)</f>
        <v>45877</v>
      </c>
      <c r="L160" s="41">
        <f>IFERROR(Sheet1!I160,0)</f>
        <v>45875</v>
      </c>
      <c r="M160" s="47" t="str">
        <f>IFERROR(Sheet1!P160,0)</f>
        <v>NA</v>
      </c>
      <c r="N160" s="42">
        <f>IFERROR(IF(ISNUMBER(Sheet1!N160),Sheet1!N160,0),0)</f>
        <v>0</v>
      </c>
      <c r="O160" s="42">
        <f>IFERROR(IF(TRIM(F160)="Nhava Sheva",SUMPRODUCT((UPPER(TRIM('Origin Costs'!$A$5:$A$44))=UPPER(TRIM(J160)))*'Origin Costs'!$C$5:$C$44),IF(TRIM(F160)="ICD Tihi",SUMPRODUCT((UPPER(TRIM('Origin Costs'!$A$49:$A$88))=UPPER(TRIM(J160)))*'Origin Costs'!$C$49:$C$88),IF(TRIM(F160)="ICD Dhannad",SUMPRODUCT((UPPER(TRIM('Origin Costs'!$A$93:$A$132))=UPPER(TRIM(J160)))*'Origin Costs'!$C$93:$C$132),0))),0)</f>
        <v>1168.8222222222223</v>
      </c>
      <c r="P160" s="42">
        <f t="shared" si="2"/>
        <v>1168.8222222222223</v>
      </c>
      <c r="Q160" s="13" t="str">
        <f>IF(OR(Dashboard!$C$4="All Customers",$E160=Dashboard!$C$4),IF($E160="","",$P160+ROW()/10000000),"")</f>
        <v/>
      </c>
    </row>
    <row r="161" spans="1:17" ht="14.25" customHeight="1" x14ac:dyDescent="0.3">
      <c r="A161" s="43" t="str">
        <f>IFERROR("FY"&amp;TEXT(MOD(IF(MONTH(Sheet1!A161)&gt;=4,YEAR(Sheet1!A161),YEAR(Sheet1!A161)-1),100),"00")&amp;"-"&amp;TEXT(MOD(IF(MONTH(Sheet1!A161)&gt;=4,YEAR(Sheet1!A161),YEAR(Sheet1!A161)-1)+1,100),"00"),"")</f>
        <v>FY25-26</v>
      </c>
      <c r="B161" s="44" t="str">
        <f>IFERROR("Q"&amp;IF(MONTH(Sheet1!A161)&gt;=4,IF(MONTH(Sheet1!A161)&lt;=6,1,IF(MONTH(Sheet1!A161)&lt;=9,2,3)),4),"")</f>
        <v>Q2</v>
      </c>
      <c r="C161" s="43" t="str">
        <f>IFERROR(Sheet1!C161,0)</f>
        <v>Europe</v>
      </c>
      <c r="D161" s="43" t="str">
        <f>IFERROR(Sheet1!F161,0)</f>
        <v>Ireland</v>
      </c>
      <c r="E161" s="43" t="str">
        <f>IFERROR(Sheet1!E161,0)</f>
        <v>Agrigear LTD, Ireland</v>
      </c>
      <c r="F161" s="43" t="str">
        <f>IFERROR(IF(UPPER(TRIM(Sheet1!J161))="NH","Nhava Sheva",IF(UPPER(TRIM(Sheet1!J161))="ICD","ICD Dhannad",IF(UPPER(TRIM(Sheet1!J161))="TIHI","ICD Tihi",Sheet1!J161))),0)</f>
        <v>ICD Dhannad</v>
      </c>
      <c r="G161" s="43" t="str">
        <f>IFERROR(Sheet1!M161,0)</f>
        <v>Dublin</v>
      </c>
      <c r="H161" s="43" t="str">
        <f>IFERROR(Sheet1!H161,0)</f>
        <v>Sevenseas Global</v>
      </c>
      <c r="I161" s="43" t="str">
        <f>IFERROR(Sheet1!G161,0)</f>
        <v>CIF</v>
      </c>
      <c r="J161" s="43" t="str">
        <f>IFERROR(Sheet1!K161,0)</f>
        <v>Maersk</v>
      </c>
      <c r="K161" s="45">
        <f>IFERROR(Sheet1!A161,0)</f>
        <v>45880</v>
      </c>
      <c r="L161" s="45">
        <f>IFERROR(Sheet1!I161,0)</f>
        <v>45878</v>
      </c>
      <c r="M161" s="47" t="str">
        <f>IFERROR(Sheet1!P161,0)</f>
        <v>NA</v>
      </c>
      <c r="N161" s="46">
        <f>IFERROR(IF(ISNUMBER(Sheet1!N161),Sheet1!N161,0),0)</f>
        <v>2400</v>
      </c>
      <c r="O161" s="46">
        <f>IFERROR(IF(TRIM(F161)="Nhava Sheva",SUMPRODUCT((UPPER(TRIM('Origin Costs'!$A$5:$A$44))=UPPER(TRIM(J161)))*'Origin Costs'!$C$5:$C$44),IF(TRIM(F161)="ICD Tihi",SUMPRODUCT((UPPER(TRIM('Origin Costs'!$A$49:$A$88))=UPPER(TRIM(J161)))*'Origin Costs'!$C$49:$C$88),IF(TRIM(F161)="ICD Dhannad",SUMPRODUCT((UPPER(TRIM('Origin Costs'!$A$93:$A$132))=UPPER(TRIM(J161)))*'Origin Costs'!$C$93:$C$132),0))),0)</f>
        <v>0</v>
      </c>
      <c r="P161" s="46">
        <f t="shared" si="2"/>
        <v>2400</v>
      </c>
      <c r="Q161" s="13" t="str">
        <f>IF(OR(Dashboard!$C$4="All Customers",$E161=Dashboard!$C$4),IF($E161="","",$P161+ROW()/10000000),"")</f>
        <v/>
      </c>
    </row>
    <row r="162" spans="1:17" ht="14.25" customHeight="1" x14ac:dyDescent="0.3">
      <c r="A162" s="39" t="str">
        <f>IFERROR("FY"&amp;TEXT(MOD(IF(MONTH(Sheet1!A162)&gt;=4,YEAR(Sheet1!A162),YEAR(Sheet1!A162)-1),100),"00")&amp;"-"&amp;TEXT(MOD(IF(MONTH(Sheet1!A162)&gt;=4,YEAR(Sheet1!A162),YEAR(Sheet1!A162)-1)+1,100),"00"),"")</f>
        <v>FY25-26</v>
      </c>
      <c r="B162" s="40" t="str">
        <f>IFERROR("Q"&amp;IF(MONTH(Sheet1!A162)&gt;=4,IF(MONTH(Sheet1!A162)&lt;=6,1,IF(MONTH(Sheet1!A162)&lt;=9,2,3)),4),"")</f>
        <v>Q2</v>
      </c>
      <c r="C162" s="39" t="str">
        <f>IFERROR(Sheet1!C162,0)</f>
        <v>Europe</v>
      </c>
      <c r="D162" s="39" t="str">
        <f>IFERROR(Sheet1!F162,0)</f>
        <v>Hungary</v>
      </c>
      <c r="E162" s="39" t="str">
        <f>IFERROR(Sheet1!E162,0)</f>
        <v>Inter Cars Hungaria Kft</v>
      </c>
      <c r="F162" s="39" t="str">
        <f>IFERROR(IF(UPPER(TRIM(Sheet1!J162))="NH","Nhava Sheva",IF(UPPER(TRIM(Sheet1!J162))="ICD","ICD Dhannad",IF(UPPER(TRIM(Sheet1!J162))="TIHI","ICD Tihi",Sheet1!J162))),0)</f>
        <v>ICD Dhannad</v>
      </c>
      <c r="G162" s="39" t="str">
        <f>IFERROR(Sheet1!M162,0)</f>
        <v>Budapest</v>
      </c>
      <c r="H162" s="39" t="str">
        <f>IFERROR(Sheet1!H162,0)</f>
        <v>AF Freighter</v>
      </c>
      <c r="I162" s="39" t="str">
        <f>IFERROR(Sheet1!G162,0)</f>
        <v>FOB</v>
      </c>
      <c r="J162" s="39" t="str">
        <f>IFERROR(Sheet1!K162,0)</f>
        <v>Maersk</v>
      </c>
      <c r="K162" s="41">
        <f>IFERROR(Sheet1!A162,0)</f>
        <v>45881</v>
      </c>
      <c r="L162" s="41">
        <f>IFERROR(Sheet1!I162,0)</f>
        <v>45884</v>
      </c>
      <c r="M162" s="47" t="str">
        <f>IFERROR(Sheet1!P162,0)</f>
        <v>NA</v>
      </c>
      <c r="N162" s="42">
        <f>IFERROR(IF(ISNUMBER(Sheet1!N162),Sheet1!N162,0),0)</f>
        <v>0</v>
      </c>
      <c r="O162" s="42">
        <f>IFERROR(IF(TRIM(F162)="Nhava Sheva",SUMPRODUCT((UPPER(TRIM('Origin Costs'!$A$5:$A$44))=UPPER(TRIM(J162)))*'Origin Costs'!$C$5:$C$44),IF(TRIM(F162)="ICD Tihi",SUMPRODUCT((UPPER(TRIM('Origin Costs'!$A$49:$A$88))=UPPER(TRIM(J162)))*'Origin Costs'!$C$49:$C$88),IF(TRIM(F162)="ICD Dhannad",SUMPRODUCT((UPPER(TRIM('Origin Costs'!$A$93:$A$132))=UPPER(TRIM(J162)))*'Origin Costs'!$C$93:$C$132),0))),0)</f>
        <v>0</v>
      </c>
      <c r="P162" s="42">
        <f t="shared" si="2"/>
        <v>0</v>
      </c>
      <c r="Q162" s="13" t="str">
        <f>IF(OR(Dashboard!$C$4="All Customers",$E162=Dashboard!$C$4),IF($E162="","",$P162+ROW()/10000000),"")</f>
        <v/>
      </c>
    </row>
    <row r="163" spans="1:17" ht="14.25" customHeight="1" x14ac:dyDescent="0.3">
      <c r="A163" s="43" t="str">
        <f>IFERROR("FY"&amp;TEXT(MOD(IF(MONTH(Sheet1!A163)&gt;=4,YEAR(Sheet1!A163),YEAR(Sheet1!A163)-1),100),"00")&amp;"-"&amp;TEXT(MOD(IF(MONTH(Sheet1!A163)&gt;=4,YEAR(Sheet1!A163),YEAR(Sheet1!A163)-1)+1,100),"00"),"")</f>
        <v>FY25-26</v>
      </c>
      <c r="B163" s="44" t="str">
        <f>IFERROR("Q"&amp;IF(MONTH(Sheet1!A163)&gt;=4,IF(MONTH(Sheet1!A163)&lt;=6,1,IF(MONTH(Sheet1!A163)&lt;=9,2,3)),4),"")</f>
        <v>Q2</v>
      </c>
      <c r="C163" s="43" t="str">
        <f>IFERROR(Sheet1!C163,0)</f>
        <v>Europe</v>
      </c>
      <c r="D163" s="43" t="str">
        <f>IFERROR(Sheet1!F163,0)</f>
        <v>Poland</v>
      </c>
      <c r="E163" s="43" t="str">
        <f>IFERROR(Sheet1!E163,0)</f>
        <v>Inter Cars S.A., Poland</v>
      </c>
      <c r="F163" s="43" t="str">
        <f>IFERROR(IF(UPPER(TRIM(Sheet1!J163))="NH","Nhava Sheva",IF(UPPER(TRIM(Sheet1!J163))="ICD","ICD Dhannad",IF(UPPER(TRIM(Sheet1!J163))="TIHI","ICD Tihi",Sheet1!J163))),0)</f>
        <v>Nhava Sheva</v>
      </c>
      <c r="G163" s="43" t="str">
        <f>IFERROR(Sheet1!M163,0)</f>
        <v>GDYNIA</v>
      </c>
      <c r="H163" s="43" t="str">
        <f>IFERROR(Sheet1!H163,0)</f>
        <v>VR Logistics</v>
      </c>
      <c r="I163" s="43" t="str">
        <f>IFERROR(Sheet1!G163,0)</f>
        <v>FOB</v>
      </c>
      <c r="J163" s="43" t="str">
        <f>IFERROR(Sheet1!K163,0)</f>
        <v>Yangming</v>
      </c>
      <c r="K163" s="45">
        <f>IFERROR(Sheet1!A163,0)</f>
        <v>45882</v>
      </c>
      <c r="L163" s="45">
        <f>IFERROR(Sheet1!I163,0)</f>
        <v>45880</v>
      </c>
      <c r="M163" s="47" t="str">
        <f>IFERROR(Sheet1!P163,0)</f>
        <v>NA</v>
      </c>
      <c r="N163" s="46">
        <f>IFERROR(IF(ISNUMBER(Sheet1!N163),Sheet1!N163,0),0)</f>
        <v>0</v>
      </c>
      <c r="O163" s="46">
        <f>IFERROR(IF(TRIM(F163)="Nhava Sheva",SUMPRODUCT((UPPER(TRIM('Origin Costs'!$A$5:$A$44))=UPPER(TRIM(J163)))*'Origin Costs'!$C$5:$C$44),IF(TRIM(F163)="ICD Tihi",SUMPRODUCT((UPPER(TRIM('Origin Costs'!$A$49:$A$88))=UPPER(TRIM(J163)))*'Origin Costs'!$C$49:$C$88),IF(TRIM(F163)="ICD Dhannad",SUMPRODUCT((UPPER(TRIM('Origin Costs'!$A$93:$A$132))=UPPER(TRIM(J163)))*'Origin Costs'!$C$93:$C$132),0))),0)</f>
        <v>0</v>
      </c>
      <c r="P163" s="46">
        <f t="shared" si="2"/>
        <v>0</v>
      </c>
      <c r="Q163" s="13" t="str">
        <f>IF(OR(Dashboard!$C$4="All Customers",$E163=Dashboard!$C$4),IF($E163="","",$P163+ROW()/10000000),"")</f>
        <v/>
      </c>
    </row>
    <row r="164" spans="1:17" ht="14.25" customHeight="1" x14ac:dyDescent="0.3">
      <c r="A164" s="39" t="str">
        <f>IFERROR("FY"&amp;TEXT(MOD(IF(MONTH(Sheet1!A164)&gt;=4,YEAR(Sheet1!A164),YEAR(Sheet1!A164)-1),100),"00")&amp;"-"&amp;TEXT(MOD(IF(MONTH(Sheet1!A164)&gt;=4,YEAR(Sheet1!A164),YEAR(Sheet1!A164)-1)+1,100),"00"),"")</f>
        <v>FY25-26</v>
      </c>
      <c r="B164" s="40" t="str">
        <f>IFERROR("Q"&amp;IF(MONTH(Sheet1!A164)&gt;=4,IF(MONTH(Sheet1!A164)&lt;=6,1,IF(MONTH(Sheet1!A164)&lt;=9,2,3)),4),"")</f>
        <v>Q2</v>
      </c>
      <c r="C164" s="39" t="str">
        <f>IFERROR(Sheet1!C164,0)</f>
        <v>S.A</v>
      </c>
      <c r="D164" s="39" t="str">
        <f>IFERROR(Sheet1!F164,0)</f>
        <v>Peru</v>
      </c>
      <c r="E164" s="39" t="str">
        <f>IFERROR(Sheet1!E164,0)</f>
        <v>GRUPO IAL E.I.R.L.</v>
      </c>
      <c r="F164" s="39" t="str">
        <f>IFERROR(IF(UPPER(TRIM(Sheet1!J164))="NH","Nhava Sheva",IF(UPPER(TRIM(Sheet1!J164))="ICD","ICD Dhannad",IF(UPPER(TRIM(Sheet1!J164))="TIHI","ICD Tihi",Sheet1!J164))),0)</f>
        <v>Nhava Sheva</v>
      </c>
      <c r="G164" s="39" t="str">
        <f>IFERROR(Sheet1!M164,0)</f>
        <v>CALLAO</v>
      </c>
      <c r="H164" s="39" t="str">
        <f>IFERROR(Sheet1!H164,0)</f>
        <v>Sevenseas Global</v>
      </c>
      <c r="I164" s="39" t="str">
        <f>IFERROR(Sheet1!G164,0)</f>
        <v>FOB</v>
      </c>
      <c r="J164" s="39" t="str">
        <f>IFERROR(Sheet1!K164,0)</f>
        <v>Evergreen</v>
      </c>
      <c r="K164" s="41">
        <f>IFERROR(Sheet1!A164,0)</f>
        <v>45885</v>
      </c>
      <c r="L164" s="41">
        <f>IFERROR(Sheet1!I164,0)</f>
        <v>45883</v>
      </c>
      <c r="M164" s="47" t="str">
        <f>IFERROR(Sheet1!P164,0)</f>
        <v>NA</v>
      </c>
      <c r="N164" s="42">
        <f>IFERROR(IF(ISNUMBER(Sheet1!N164),Sheet1!N164,0),0)</f>
        <v>2625</v>
      </c>
      <c r="O164" s="42">
        <f>IFERROR(IF(TRIM(F164)="Nhava Sheva",SUMPRODUCT((UPPER(TRIM('Origin Costs'!$A$5:$A$44))=UPPER(TRIM(J164)))*'Origin Costs'!$C$5:$C$44),IF(TRIM(F164)="ICD Tihi",SUMPRODUCT((UPPER(TRIM('Origin Costs'!$A$49:$A$88))=UPPER(TRIM(J164)))*'Origin Costs'!$C$49:$C$88),IF(TRIM(F164)="ICD Dhannad",SUMPRODUCT((UPPER(TRIM('Origin Costs'!$A$93:$A$132))=UPPER(TRIM(J164)))*'Origin Costs'!$C$93:$C$132),0))),0)</f>
        <v>0</v>
      </c>
      <c r="P164" s="42">
        <f t="shared" si="2"/>
        <v>2625</v>
      </c>
      <c r="Q164" s="13" t="str">
        <f>IF(OR(Dashboard!$C$4="All Customers",$E164=Dashboard!$C$4),IF($E164="","",$P164+ROW()/10000000),"")</f>
        <v/>
      </c>
    </row>
    <row r="165" spans="1:17" ht="14.25" customHeight="1" x14ac:dyDescent="0.3">
      <c r="A165" s="43" t="str">
        <f>IFERROR("FY"&amp;TEXT(MOD(IF(MONTH(Sheet1!A165)&gt;=4,YEAR(Sheet1!A165),YEAR(Sheet1!A165)-1),100),"00")&amp;"-"&amp;TEXT(MOD(IF(MONTH(Sheet1!A165)&gt;=4,YEAR(Sheet1!A165),YEAR(Sheet1!A165)-1)+1,100),"00"),"")</f>
        <v>FY25-26</v>
      </c>
      <c r="B165" s="44" t="str">
        <f>IFERROR("Q"&amp;IF(MONTH(Sheet1!A165)&gt;=4,IF(MONTH(Sheet1!A165)&lt;=6,1,IF(MONTH(Sheet1!A165)&lt;=9,2,3)),4),"")</f>
        <v>Q2</v>
      </c>
      <c r="C165" s="43" t="str">
        <f>IFERROR(Sheet1!C165,0)</f>
        <v>S.A</v>
      </c>
      <c r="D165" s="43" t="str">
        <f>IFERROR(Sheet1!F165,0)</f>
        <v>Peru</v>
      </c>
      <c r="E165" s="43" t="str">
        <f>IFERROR(Sheet1!E165,0)</f>
        <v>GRUPO IAL E.I.R.L.</v>
      </c>
      <c r="F165" s="43" t="str">
        <f>IFERROR(IF(UPPER(TRIM(Sheet1!J165))="NH","Nhava Sheva",IF(UPPER(TRIM(Sheet1!J165))="ICD","ICD Dhannad",IF(UPPER(TRIM(Sheet1!J165))="TIHI","ICD Tihi",Sheet1!J165))),0)</f>
        <v>Nhava Sheva</v>
      </c>
      <c r="G165" s="43" t="str">
        <f>IFERROR(Sheet1!M165,0)</f>
        <v>CALLAO</v>
      </c>
      <c r="H165" s="43" t="str">
        <f>IFERROR(Sheet1!H165,0)</f>
        <v>Sevenseas Global</v>
      </c>
      <c r="I165" s="43" t="str">
        <f>IFERROR(Sheet1!G165,0)</f>
        <v>FOB</v>
      </c>
      <c r="J165" s="43" t="str">
        <f>IFERROR(Sheet1!K165,0)</f>
        <v>Evergreen</v>
      </c>
      <c r="K165" s="45">
        <f>IFERROR(Sheet1!A165,0)</f>
        <v>45885</v>
      </c>
      <c r="L165" s="45">
        <f>IFERROR(Sheet1!I165,0)</f>
        <v>45883</v>
      </c>
      <c r="M165" s="47" t="str">
        <f>IFERROR(Sheet1!P165,0)</f>
        <v>NA</v>
      </c>
      <c r="N165" s="46">
        <f>IFERROR(IF(ISNUMBER(Sheet1!N165),Sheet1!N165,0),0)</f>
        <v>2625</v>
      </c>
      <c r="O165" s="46">
        <f>IFERROR(IF(TRIM(F165)="Nhava Sheva",SUMPRODUCT((UPPER(TRIM('Origin Costs'!$A$5:$A$44))=UPPER(TRIM(J165)))*'Origin Costs'!$C$5:$C$44),IF(TRIM(F165)="ICD Tihi",SUMPRODUCT((UPPER(TRIM('Origin Costs'!$A$49:$A$88))=UPPER(TRIM(J165)))*'Origin Costs'!$C$49:$C$88),IF(TRIM(F165)="ICD Dhannad",SUMPRODUCT((UPPER(TRIM('Origin Costs'!$A$93:$A$132))=UPPER(TRIM(J165)))*'Origin Costs'!$C$93:$C$132),0))),0)</f>
        <v>0</v>
      </c>
      <c r="P165" s="46">
        <f t="shared" si="2"/>
        <v>2625</v>
      </c>
      <c r="Q165" s="13" t="str">
        <f>IF(OR(Dashboard!$C$4="All Customers",$E165=Dashboard!$C$4),IF($E165="","",$P165+ROW()/10000000),"")</f>
        <v/>
      </c>
    </row>
    <row r="166" spans="1:17" ht="14.25" customHeight="1" x14ac:dyDescent="0.3">
      <c r="A166" s="39" t="str">
        <f>IFERROR("FY"&amp;TEXT(MOD(IF(MONTH(Sheet1!A166)&gt;=4,YEAR(Sheet1!A166),YEAR(Sheet1!A166)-1),100),"00")&amp;"-"&amp;TEXT(MOD(IF(MONTH(Sheet1!A166)&gt;=4,YEAR(Sheet1!A166),YEAR(Sheet1!A166)-1)+1,100),"00"),"")</f>
        <v>FY25-26</v>
      </c>
      <c r="B166" s="40" t="str">
        <f>IFERROR("Q"&amp;IF(MONTH(Sheet1!A166)&gt;=4,IF(MONTH(Sheet1!A166)&lt;=6,1,IF(MONTH(Sheet1!A166)&lt;=9,2,3)),4),"")</f>
        <v>Q2</v>
      </c>
      <c r="C166" s="39" t="str">
        <f>IFERROR(Sheet1!C166,0)</f>
        <v>Europe</v>
      </c>
      <c r="D166" s="39" t="str">
        <f>IFERROR(Sheet1!F166,0)</f>
        <v>Poland</v>
      </c>
      <c r="E166" s="39" t="str">
        <f>IFERROR(Sheet1!E166,0)</f>
        <v>Inter Cars S.A., Poland</v>
      </c>
      <c r="F166" s="39" t="str">
        <f>IFERROR(IF(UPPER(TRIM(Sheet1!J166))="NH","Nhava Sheva",IF(UPPER(TRIM(Sheet1!J166))="ICD","ICD Dhannad",IF(UPPER(TRIM(Sheet1!J166))="TIHI","ICD Tihi",Sheet1!J166))),0)</f>
        <v>ICD Dhannad</v>
      </c>
      <c r="G166" s="39" t="str">
        <f>IFERROR(Sheet1!M166,0)</f>
        <v>Gdansk</v>
      </c>
      <c r="H166" s="39" t="str">
        <f>IFERROR(Sheet1!H166,0)</f>
        <v>MRF International</v>
      </c>
      <c r="I166" s="39" t="str">
        <f>IFERROR(Sheet1!G166,0)</f>
        <v>FOB</v>
      </c>
      <c r="J166" s="39" t="str">
        <f>IFERROR(Sheet1!K166,0)</f>
        <v>Maersk</v>
      </c>
      <c r="K166" s="41">
        <f>IFERROR(Sheet1!A166,0)</f>
        <v>45890</v>
      </c>
      <c r="L166" s="41">
        <f>IFERROR(Sheet1!I166,0)</f>
        <v>45890</v>
      </c>
      <c r="M166" s="47" t="str">
        <f>IFERROR(Sheet1!P166,0)</f>
        <v>NA</v>
      </c>
      <c r="N166" s="42">
        <f>IFERROR(IF(ISNUMBER(Sheet1!N166),Sheet1!N166,0),0)</f>
        <v>0</v>
      </c>
      <c r="O166" s="42">
        <f>IFERROR(IF(TRIM(F166)="Nhava Sheva",SUMPRODUCT((UPPER(TRIM('Origin Costs'!$A$5:$A$44))=UPPER(TRIM(J166)))*'Origin Costs'!$C$5:$C$44),IF(TRIM(F166)="ICD Tihi",SUMPRODUCT((UPPER(TRIM('Origin Costs'!$A$49:$A$88))=UPPER(TRIM(J166)))*'Origin Costs'!$C$49:$C$88),IF(TRIM(F166)="ICD Dhannad",SUMPRODUCT((UPPER(TRIM('Origin Costs'!$A$93:$A$132))=UPPER(TRIM(J166)))*'Origin Costs'!$C$93:$C$132),0))),0)</f>
        <v>0</v>
      </c>
      <c r="P166" s="42">
        <f t="shared" si="2"/>
        <v>0</v>
      </c>
      <c r="Q166" s="13" t="str">
        <f>IF(OR(Dashboard!$C$4="All Customers",$E166=Dashboard!$C$4),IF($E166="","",$P166+ROW()/10000000),"")</f>
        <v/>
      </c>
    </row>
    <row r="167" spans="1:17" ht="14.25" customHeight="1" x14ac:dyDescent="0.3">
      <c r="A167" s="43" t="str">
        <f>IFERROR("FY"&amp;TEXT(MOD(IF(MONTH(Sheet1!A167)&gt;=4,YEAR(Sheet1!A167),YEAR(Sheet1!A167)-1),100),"00")&amp;"-"&amp;TEXT(MOD(IF(MONTH(Sheet1!A167)&gt;=4,YEAR(Sheet1!A167),YEAR(Sheet1!A167)-1)+1,100),"00"),"")</f>
        <v>FY25-26</v>
      </c>
      <c r="B167" s="44" t="str">
        <f>IFERROR("Q"&amp;IF(MONTH(Sheet1!A167)&gt;=4,IF(MONTH(Sheet1!A167)&lt;=6,1,IF(MONTH(Sheet1!A167)&lt;=9,2,3)),4),"")</f>
        <v>Q2</v>
      </c>
      <c r="C167" s="43" t="str">
        <f>IFERROR(Sheet1!C167,0)</f>
        <v>Europe</v>
      </c>
      <c r="D167" s="43" t="str">
        <f>IFERROR(Sheet1!F167,0)</f>
        <v>Poland</v>
      </c>
      <c r="E167" s="43" t="str">
        <f>IFERROR(Sheet1!E167,0)</f>
        <v>Inter Cars S.A., Poland</v>
      </c>
      <c r="F167" s="43" t="str">
        <f>IFERROR(IF(UPPER(TRIM(Sheet1!J167))="NH","Nhava Sheva",IF(UPPER(TRIM(Sheet1!J167))="ICD","ICD Dhannad",IF(UPPER(TRIM(Sheet1!J167))="TIHI","ICD Tihi",Sheet1!J167))),0)</f>
        <v>ICD Dhannad</v>
      </c>
      <c r="G167" s="43" t="str">
        <f>IFERROR(Sheet1!M167,0)</f>
        <v>Gdansk</v>
      </c>
      <c r="H167" s="43" t="str">
        <f>IFERROR(Sheet1!H167,0)</f>
        <v>MRF International</v>
      </c>
      <c r="I167" s="43" t="str">
        <f>IFERROR(Sheet1!G167,0)</f>
        <v>FOB</v>
      </c>
      <c r="J167" s="43" t="str">
        <f>IFERROR(Sheet1!K167,0)</f>
        <v>Maersk</v>
      </c>
      <c r="K167" s="45">
        <f>IFERROR(Sheet1!A167,0)</f>
        <v>45890</v>
      </c>
      <c r="L167" s="45">
        <f>IFERROR(Sheet1!I167,0)</f>
        <v>45890</v>
      </c>
      <c r="M167" s="47" t="str">
        <f>IFERROR(Sheet1!P167,0)</f>
        <v>NA</v>
      </c>
      <c r="N167" s="46">
        <f>IFERROR(IF(ISNUMBER(Sheet1!N167),Sheet1!N167,0),0)</f>
        <v>0</v>
      </c>
      <c r="O167" s="46">
        <f>IFERROR(IF(TRIM(F167)="Nhava Sheva",SUMPRODUCT((UPPER(TRIM('Origin Costs'!$A$5:$A$44))=UPPER(TRIM(J167)))*'Origin Costs'!$C$5:$C$44),IF(TRIM(F167)="ICD Tihi",SUMPRODUCT((UPPER(TRIM('Origin Costs'!$A$49:$A$88))=UPPER(TRIM(J167)))*'Origin Costs'!$C$49:$C$88),IF(TRIM(F167)="ICD Dhannad",SUMPRODUCT((UPPER(TRIM('Origin Costs'!$A$93:$A$132))=UPPER(TRIM(J167)))*'Origin Costs'!$C$93:$C$132),0))),0)</f>
        <v>0</v>
      </c>
      <c r="P167" s="46">
        <f t="shared" si="2"/>
        <v>0</v>
      </c>
      <c r="Q167" s="13" t="str">
        <f>IF(OR(Dashboard!$C$4="All Customers",$E167=Dashboard!$C$4),IF($E167="","",$P167+ROW()/10000000),"")</f>
        <v/>
      </c>
    </row>
    <row r="168" spans="1:17" ht="14.25" customHeight="1" x14ac:dyDescent="0.3">
      <c r="A168" s="39" t="str">
        <f>IFERROR("FY"&amp;TEXT(MOD(IF(MONTH(Sheet1!A168)&gt;=4,YEAR(Sheet1!A168),YEAR(Sheet1!A168)-1),100),"00")&amp;"-"&amp;TEXT(MOD(IF(MONTH(Sheet1!A168)&gt;=4,YEAR(Sheet1!A168),YEAR(Sheet1!A168)-1)+1,100),"00"),"")</f>
        <v>FY25-26</v>
      </c>
      <c r="B168" s="40" t="str">
        <f>IFERROR("Q"&amp;IF(MONTH(Sheet1!A168)&gt;=4,IF(MONTH(Sheet1!A168)&lt;=6,1,IF(MONTH(Sheet1!A168)&lt;=9,2,3)),4),"")</f>
        <v>Q2</v>
      </c>
      <c r="C168" s="39" t="str">
        <f>IFERROR(Sheet1!C168,0)</f>
        <v>Europe</v>
      </c>
      <c r="D168" s="39" t="str">
        <f>IFERROR(Sheet1!F168,0)</f>
        <v>Poland</v>
      </c>
      <c r="E168" s="39" t="str">
        <f>IFERROR(Sheet1!E168,0)</f>
        <v>Inter Cars S.A., Poland</v>
      </c>
      <c r="F168" s="39" t="str">
        <f>IFERROR(IF(UPPER(TRIM(Sheet1!J168))="NH","Nhava Sheva",IF(UPPER(TRIM(Sheet1!J168))="ICD","ICD Dhannad",IF(UPPER(TRIM(Sheet1!J168))="TIHI","ICD Tihi",Sheet1!J168))),0)</f>
        <v>ICD Dhannad</v>
      </c>
      <c r="G168" s="39" t="str">
        <f>IFERROR(Sheet1!M168,0)</f>
        <v>Gdansk</v>
      </c>
      <c r="H168" s="39" t="str">
        <f>IFERROR(Sheet1!H168,0)</f>
        <v>MRF International</v>
      </c>
      <c r="I168" s="39" t="str">
        <f>IFERROR(Sheet1!G168,0)</f>
        <v>FOB</v>
      </c>
      <c r="J168" s="39" t="str">
        <f>IFERROR(Sheet1!K168,0)</f>
        <v>Maersk</v>
      </c>
      <c r="K168" s="41">
        <f>IFERROR(Sheet1!A168,0)</f>
        <v>45890</v>
      </c>
      <c r="L168" s="41">
        <f>IFERROR(Sheet1!I168,0)</f>
        <v>45890</v>
      </c>
      <c r="M168" s="47" t="str">
        <f>IFERROR(Sheet1!P168,0)</f>
        <v>NA</v>
      </c>
      <c r="N168" s="42">
        <f>IFERROR(IF(ISNUMBER(Sheet1!N168),Sheet1!N168,0),0)</f>
        <v>0</v>
      </c>
      <c r="O168" s="42">
        <f>IFERROR(IF(TRIM(F168)="Nhava Sheva",SUMPRODUCT((UPPER(TRIM('Origin Costs'!$A$5:$A$44))=UPPER(TRIM(J168)))*'Origin Costs'!$C$5:$C$44),IF(TRIM(F168)="ICD Tihi",SUMPRODUCT((UPPER(TRIM('Origin Costs'!$A$49:$A$88))=UPPER(TRIM(J168)))*'Origin Costs'!$C$49:$C$88),IF(TRIM(F168)="ICD Dhannad",SUMPRODUCT((UPPER(TRIM('Origin Costs'!$A$93:$A$132))=UPPER(TRIM(J168)))*'Origin Costs'!$C$93:$C$132),0))),0)</f>
        <v>0</v>
      </c>
      <c r="P168" s="42">
        <f t="shared" si="2"/>
        <v>0</v>
      </c>
      <c r="Q168" s="13" t="str">
        <f>IF(OR(Dashboard!$C$4="All Customers",$E168=Dashboard!$C$4),IF($E168="","",$P168+ROW()/10000000),"")</f>
        <v/>
      </c>
    </row>
    <row r="169" spans="1:17" ht="14.25" customHeight="1" x14ac:dyDescent="0.3">
      <c r="A169" s="43" t="str">
        <f>IFERROR("FY"&amp;TEXT(MOD(IF(MONTH(Sheet1!A169)&gt;=4,YEAR(Sheet1!A169),YEAR(Sheet1!A169)-1),100),"00")&amp;"-"&amp;TEXT(MOD(IF(MONTH(Sheet1!A169)&gt;=4,YEAR(Sheet1!A169),YEAR(Sheet1!A169)-1)+1,100),"00"),"")</f>
        <v>FY25-26</v>
      </c>
      <c r="B169" s="44" t="str">
        <f>IFERROR("Q"&amp;IF(MONTH(Sheet1!A169)&gt;=4,IF(MONTH(Sheet1!A169)&lt;=6,1,IF(MONTH(Sheet1!A169)&lt;=9,2,3)),4),"")</f>
        <v>Q2</v>
      </c>
      <c r="C169" s="43" t="str">
        <f>IFERROR(Sheet1!C169,0)</f>
        <v>Europe</v>
      </c>
      <c r="D169" s="43" t="str">
        <f>IFERROR(Sheet1!F169,0)</f>
        <v>Poland</v>
      </c>
      <c r="E169" s="43" t="str">
        <f>IFERROR(Sheet1!E169,0)</f>
        <v>Inter Cars S.A., Poland</v>
      </c>
      <c r="F169" s="43" t="str">
        <f>IFERROR(IF(UPPER(TRIM(Sheet1!J169))="NH","Nhava Sheva",IF(UPPER(TRIM(Sheet1!J169))="ICD","ICD Dhannad",IF(UPPER(TRIM(Sheet1!J169))="TIHI","ICD Tihi",Sheet1!J169))),0)</f>
        <v>ICD Dhannad</v>
      </c>
      <c r="G169" s="43" t="str">
        <f>IFERROR(Sheet1!M169,0)</f>
        <v>Gdansk</v>
      </c>
      <c r="H169" s="43" t="str">
        <f>IFERROR(Sheet1!H169,0)</f>
        <v>MRF International</v>
      </c>
      <c r="I169" s="43" t="str">
        <f>IFERROR(Sheet1!G169,0)</f>
        <v>FOB</v>
      </c>
      <c r="J169" s="43" t="str">
        <f>IFERROR(Sheet1!K169,0)</f>
        <v>Maersk</v>
      </c>
      <c r="K169" s="45">
        <f>IFERROR(Sheet1!A169,0)</f>
        <v>45890</v>
      </c>
      <c r="L169" s="45">
        <f>IFERROR(Sheet1!I169,0)</f>
        <v>45890</v>
      </c>
      <c r="M169" s="47" t="str">
        <f>IFERROR(Sheet1!P169,0)</f>
        <v>NA</v>
      </c>
      <c r="N169" s="46">
        <f>IFERROR(IF(ISNUMBER(Sheet1!N169),Sheet1!N169,0),0)</f>
        <v>0</v>
      </c>
      <c r="O169" s="46">
        <f>IFERROR(IF(TRIM(F169)="Nhava Sheva",SUMPRODUCT((UPPER(TRIM('Origin Costs'!$A$5:$A$44))=UPPER(TRIM(J169)))*'Origin Costs'!$C$5:$C$44),IF(TRIM(F169)="ICD Tihi",SUMPRODUCT((UPPER(TRIM('Origin Costs'!$A$49:$A$88))=UPPER(TRIM(J169)))*'Origin Costs'!$C$49:$C$88),IF(TRIM(F169)="ICD Dhannad",SUMPRODUCT((UPPER(TRIM('Origin Costs'!$A$93:$A$132))=UPPER(TRIM(J169)))*'Origin Costs'!$C$93:$C$132),0))),0)</f>
        <v>0</v>
      </c>
      <c r="P169" s="46">
        <f t="shared" si="2"/>
        <v>0</v>
      </c>
      <c r="Q169" s="13" t="str">
        <f>IF(OR(Dashboard!$C$4="All Customers",$E169=Dashboard!$C$4),IF($E169="","",$P169+ROW()/10000000),"")</f>
        <v/>
      </c>
    </row>
    <row r="170" spans="1:17" ht="14.25" customHeight="1" x14ac:dyDescent="0.3">
      <c r="A170" s="39" t="str">
        <f>IFERROR("FY"&amp;TEXT(MOD(IF(MONTH(Sheet1!A170)&gt;=4,YEAR(Sheet1!A170),YEAR(Sheet1!A170)-1),100),"00")&amp;"-"&amp;TEXT(MOD(IF(MONTH(Sheet1!A170)&gt;=4,YEAR(Sheet1!A170),YEAR(Sheet1!A170)-1)+1,100),"00"),"")</f>
        <v>FY25-26</v>
      </c>
      <c r="B170" s="40" t="str">
        <f>IFERROR("Q"&amp;IF(MONTH(Sheet1!A170)&gt;=4,IF(MONTH(Sheet1!A170)&lt;=6,1,IF(MONTH(Sheet1!A170)&lt;=9,2,3)),4),"")</f>
        <v>Q2</v>
      </c>
      <c r="C170" s="39" t="str">
        <f>IFERROR(Sheet1!C170,0)</f>
        <v>Europe</v>
      </c>
      <c r="D170" s="39" t="str">
        <f>IFERROR(Sheet1!F170,0)</f>
        <v>Poland</v>
      </c>
      <c r="E170" s="39" t="str">
        <f>IFERROR(Sheet1!E170,0)</f>
        <v>Inter Cars S.A., Poland</v>
      </c>
      <c r="F170" s="39" t="str">
        <f>IFERROR(IF(UPPER(TRIM(Sheet1!J170))="NH","Nhava Sheva",IF(UPPER(TRIM(Sheet1!J170))="ICD","ICD Dhannad",IF(UPPER(TRIM(Sheet1!J170))="TIHI","ICD Tihi",Sheet1!J170))),0)</f>
        <v>ICD Dhannad</v>
      </c>
      <c r="G170" s="39" t="str">
        <f>IFERROR(Sheet1!M170,0)</f>
        <v>Gdansk</v>
      </c>
      <c r="H170" s="39" t="str">
        <f>IFERROR(Sheet1!H170,0)</f>
        <v>MRF International</v>
      </c>
      <c r="I170" s="39" t="str">
        <f>IFERROR(Sheet1!G170,0)</f>
        <v>FOB</v>
      </c>
      <c r="J170" s="39" t="str">
        <f>IFERROR(Sheet1!K170,0)</f>
        <v>Maersk</v>
      </c>
      <c r="K170" s="41">
        <f>IFERROR(Sheet1!A170,0)</f>
        <v>45890</v>
      </c>
      <c r="L170" s="41">
        <f>IFERROR(Sheet1!I170,0)</f>
        <v>45890</v>
      </c>
      <c r="M170" s="47" t="str">
        <f>IFERROR(Sheet1!P170,0)</f>
        <v>NA</v>
      </c>
      <c r="N170" s="42">
        <f>IFERROR(IF(ISNUMBER(Sheet1!N170),Sheet1!N170,0),0)</f>
        <v>0</v>
      </c>
      <c r="O170" s="42">
        <f>IFERROR(IF(TRIM(F170)="Nhava Sheva",SUMPRODUCT((UPPER(TRIM('Origin Costs'!$A$5:$A$44))=UPPER(TRIM(J170)))*'Origin Costs'!$C$5:$C$44),IF(TRIM(F170)="ICD Tihi",SUMPRODUCT((UPPER(TRIM('Origin Costs'!$A$49:$A$88))=UPPER(TRIM(J170)))*'Origin Costs'!$C$49:$C$88),IF(TRIM(F170)="ICD Dhannad",SUMPRODUCT((UPPER(TRIM('Origin Costs'!$A$93:$A$132))=UPPER(TRIM(J170)))*'Origin Costs'!$C$93:$C$132),0))),0)</f>
        <v>0</v>
      </c>
      <c r="P170" s="42">
        <f t="shared" si="2"/>
        <v>0</v>
      </c>
      <c r="Q170" s="13" t="str">
        <f>IF(OR(Dashboard!$C$4="All Customers",$E170=Dashboard!$C$4),IF($E170="","",$P170+ROW()/10000000),"")</f>
        <v/>
      </c>
    </row>
    <row r="171" spans="1:17" ht="14.25" customHeight="1" x14ac:dyDescent="0.3">
      <c r="A171" s="43" t="str">
        <f>IFERROR("FY"&amp;TEXT(MOD(IF(MONTH(Sheet1!A171)&gt;=4,YEAR(Sheet1!A171),YEAR(Sheet1!A171)-1),100),"00")&amp;"-"&amp;TEXT(MOD(IF(MONTH(Sheet1!A171)&gt;=4,YEAR(Sheet1!A171),YEAR(Sheet1!A171)-1)+1,100),"00"),"")</f>
        <v>FY25-26</v>
      </c>
      <c r="B171" s="44" t="str">
        <f>IFERROR("Q"&amp;IF(MONTH(Sheet1!A171)&gt;=4,IF(MONTH(Sheet1!A171)&lt;=6,1,IF(MONTH(Sheet1!A171)&lt;=9,2,3)),4),"")</f>
        <v>Q2</v>
      </c>
      <c r="C171" s="43" t="str">
        <f>IFERROR(Sheet1!C171,0)</f>
        <v>MEA</v>
      </c>
      <c r="D171" s="43" t="str">
        <f>IFERROR(Sheet1!F171,0)</f>
        <v>Kuwait</v>
      </c>
      <c r="E171" s="43" t="str">
        <f>IFERROR(Sheet1!E171,0)</f>
        <v>Sharma International, Kuwait</v>
      </c>
      <c r="F171" s="43" t="str">
        <f>IFERROR(IF(UPPER(TRIM(Sheet1!J171))="NH","Nhava Sheva",IF(UPPER(TRIM(Sheet1!J171))="ICD","ICD Dhannad",IF(UPPER(TRIM(Sheet1!J171))="TIHI","ICD Tihi",Sheet1!J171))),0)</f>
        <v>Nhava Sheva</v>
      </c>
      <c r="G171" s="43" t="str">
        <f>IFERROR(Sheet1!M171,0)</f>
        <v>Shuaiba</v>
      </c>
      <c r="H171" s="43" t="str">
        <f>IFERROR(Sheet1!H171,0)</f>
        <v>Hind Freight</v>
      </c>
      <c r="I171" s="43" t="str">
        <f>IFERROR(Sheet1!G171,0)</f>
        <v>CIF</v>
      </c>
      <c r="J171" s="43" t="str">
        <f>IFERROR(Sheet1!K171,0)</f>
        <v>OOCL</v>
      </c>
      <c r="K171" s="45">
        <f>IFERROR(Sheet1!A171,0)</f>
        <v>45890</v>
      </c>
      <c r="L171" s="45">
        <f>IFERROR(Sheet1!I171,0)</f>
        <v>45887</v>
      </c>
      <c r="M171" s="47" t="str">
        <f>IFERROR(Sheet1!P171,0)</f>
        <v>NA</v>
      </c>
      <c r="N171" s="46">
        <f>IFERROR(IF(ISNUMBER(Sheet1!N171),Sheet1!N171,0),0)</f>
        <v>575</v>
      </c>
      <c r="O171" s="46">
        <f>IFERROR(IF(TRIM(F171)="Nhava Sheva",SUMPRODUCT((UPPER(TRIM('Origin Costs'!$A$5:$A$44))=UPPER(TRIM(J171)))*'Origin Costs'!$C$5:$C$44),IF(TRIM(F171)="ICD Tihi",SUMPRODUCT((UPPER(TRIM('Origin Costs'!$A$49:$A$88))=UPPER(TRIM(J171)))*'Origin Costs'!$C$49:$C$88),IF(TRIM(F171)="ICD Dhannad",SUMPRODUCT((UPPER(TRIM('Origin Costs'!$A$93:$A$132))=UPPER(TRIM(J171)))*'Origin Costs'!$C$93:$C$132),0))),0)</f>
        <v>0</v>
      </c>
      <c r="P171" s="46">
        <f t="shared" si="2"/>
        <v>575</v>
      </c>
      <c r="Q171" s="13" t="str">
        <f>IF(OR(Dashboard!$C$4="All Customers",$E171=Dashboard!$C$4),IF($E171="","",$P171+ROW()/10000000),"")</f>
        <v/>
      </c>
    </row>
    <row r="172" spans="1:17" ht="14.25" customHeight="1" x14ac:dyDescent="0.3">
      <c r="A172" s="39" t="str">
        <f>IFERROR("FY"&amp;TEXT(MOD(IF(MONTH(Sheet1!A172)&gt;=4,YEAR(Sheet1!A172),YEAR(Sheet1!A172)-1),100),"00")&amp;"-"&amp;TEXT(MOD(IF(MONTH(Sheet1!A172)&gt;=4,YEAR(Sheet1!A172),YEAR(Sheet1!A172)-1)+1,100),"00"),"")</f>
        <v>FY25-26</v>
      </c>
      <c r="B172" s="40" t="str">
        <f>IFERROR("Q"&amp;IF(MONTH(Sheet1!A172)&gt;=4,IF(MONTH(Sheet1!A172)&lt;=6,1,IF(MONTH(Sheet1!A172)&lt;=9,2,3)),4),"")</f>
        <v>Q2</v>
      </c>
      <c r="C172" s="39" t="str">
        <f>IFERROR(Sheet1!C172,0)</f>
        <v>MEA</v>
      </c>
      <c r="D172" s="39" t="str">
        <f>IFERROR(Sheet1!F172,0)</f>
        <v>Kuwait</v>
      </c>
      <c r="E172" s="39" t="str">
        <f>IFERROR(Sheet1!E172,0)</f>
        <v>Sharma International, Kuwait</v>
      </c>
      <c r="F172" s="39" t="str">
        <f>IFERROR(IF(UPPER(TRIM(Sheet1!J172))="NH","Nhava Sheva",IF(UPPER(TRIM(Sheet1!J172))="ICD","ICD Dhannad",IF(UPPER(TRIM(Sheet1!J172))="TIHI","ICD Tihi",Sheet1!J172))),0)</f>
        <v>Nhava Sheva</v>
      </c>
      <c r="G172" s="39" t="str">
        <f>IFERROR(Sheet1!M172,0)</f>
        <v>Shuaiba</v>
      </c>
      <c r="H172" s="39" t="str">
        <f>IFERROR(Sheet1!H172,0)</f>
        <v>Hind Freight</v>
      </c>
      <c r="I172" s="39" t="str">
        <f>IFERROR(Sheet1!G172,0)</f>
        <v>CIF</v>
      </c>
      <c r="J172" s="39" t="str">
        <f>IFERROR(Sheet1!K172,0)</f>
        <v>OOCL</v>
      </c>
      <c r="K172" s="41">
        <f>IFERROR(Sheet1!A172,0)</f>
        <v>45890</v>
      </c>
      <c r="L172" s="41">
        <f>IFERROR(Sheet1!I172,0)</f>
        <v>45887</v>
      </c>
      <c r="M172" s="47" t="str">
        <f>IFERROR(Sheet1!P172,0)</f>
        <v>NA</v>
      </c>
      <c r="N172" s="42">
        <f>IFERROR(IF(ISNUMBER(Sheet1!N172),Sheet1!N172,0),0)</f>
        <v>575</v>
      </c>
      <c r="O172" s="42">
        <f>IFERROR(IF(TRIM(F172)="Nhava Sheva",SUMPRODUCT((UPPER(TRIM('Origin Costs'!$A$5:$A$44))=UPPER(TRIM(J172)))*'Origin Costs'!$C$5:$C$44),IF(TRIM(F172)="ICD Tihi",SUMPRODUCT((UPPER(TRIM('Origin Costs'!$A$49:$A$88))=UPPER(TRIM(J172)))*'Origin Costs'!$C$49:$C$88),IF(TRIM(F172)="ICD Dhannad",SUMPRODUCT((UPPER(TRIM('Origin Costs'!$A$93:$A$132))=UPPER(TRIM(J172)))*'Origin Costs'!$C$93:$C$132),0))),0)</f>
        <v>0</v>
      </c>
      <c r="P172" s="42">
        <f t="shared" si="2"/>
        <v>575</v>
      </c>
      <c r="Q172" s="13" t="str">
        <f>IF(OR(Dashboard!$C$4="All Customers",$E172=Dashboard!$C$4),IF($E172="","",$P172+ROW()/10000000),"")</f>
        <v/>
      </c>
    </row>
    <row r="173" spans="1:17" ht="14.25" customHeight="1" x14ac:dyDescent="0.3">
      <c r="A173" s="43" t="str">
        <f>IFERROR("FY"&amp;TEXT(MOD(IF(MONTH(Sheet1!A173)&gt;=4,YEAR(Sheet1!A173),YEAR(Sheet1!A173)-1),100),"00")&amp;"-"&amp;TEXT(MOD(IF(MONTH(Sheet1!A173)&gt;=4,YEAR(Sheet1!A173),YEAR(Sheet1!A173)-1)+1,100),"00"),"")</f>
        <v>FY25-26</v>
      </c>
      <c r="B173" s="44" t="str">
        <f>IFERROR("Q"&amp;IF(MONTH(Sheet1!A173)&gt;=4,IF(MONTH(Sheet1!A173)&lt;=6,1,IF(MONTH(Sheet1!A173)&lt;=9,2,3)),4),"")</f>
        <v>Q2</v>
      </c>
      <c r="C173" s="43" t="str">
        <f>IFERROR(Sheet1!C173,0)</f>
        <v>Europe</v>
      </c>
      <c r="D173" s="43" t="str">
        <f>IFERROR(Sheet1!F173,0)</f>
        <v>UK</v>
      </c>
      <c r="E173" s="43" t="str">
        <f>IFERROR(Sheet1!E173,0)</f>
        <v>BA Bush Tyres</v>
      </c>
      <c r="F173" s="43" t="str">
        <f>IFERROR(IF(UPPER(TRIM(Sheet1!J173))="NH","Nhava Sheva",IF(UPPER(TRIM(Sheet1!J173))="ICD","ICD Dhannad",IF(UPPER(TRIM(Sheet1!J173))="TIHI","ICD Tihi",Sheet1!J173))),0)</f>
        <v>Nhava Sheva</v>
      </c>
      <c r="G173" s="43" t="str">
        <f>IFERROR(Sheet1!M173,0)</f>
        <v>London Gateway</v>
      </c>
      <c r="H173" s="43" t="str">
        <f>IFERROR(Sheet1!H173,0)</f>
        <v>Hellmann</v>
      </c>
      <c r="I173" s="43" t="str">
        <f>IFERROR(Sheet1!G173,0)</f>
        <v>CIF</v>
      </c>
      <c r="J173" s="43" t="str">
        <f>IFERROR(Sheet1!K173,0)</f>
        <v>Hapag</v>
      </c>
      <c r="K173" s="45">
        <f>IFERROR(Sheet1!A173,0)</f>
        <v>45891</v>
      </c>
      <c r="L173" s="45">
        <f>IFERROR(Sheet1!I173,0)</f>
        <v>45890</v>
      </c>
      <c r="M173" s="47" t="str">
        <f>IFERROR(Sheet1!P173,0)</f>
        <v>NA</v>
      </c>
      <c r="N173" s="46">
        <f>IFERROR(IF(ISNUMBER(Sheet1!N173),Sheet1!N173,0),0)</f>
        <v>1625</v>
      </c>
      <c r="O173" s="46">
        <f>IFERROR(IF(TRIM(F173)="Nhava Sheva",SUMPRODUCT((UPPER(TRIM('Origin Costs'!$A$5:$A$44))=UPPER(TRIM(J173)))*'Origin Costs'!$C$5:$C$44),IF(TRIM(F173)="ICD Tihi",SUMPRODUCT((UPPER(TRIM('Origin Costs'!$A$49:$A$88))=UPPER(TRIM(J173)))*'Origin Costs'!$C$49:$C$88),IF(TRIM(F173)="ICD Dhannad",SUMPRODUCT((UPPER(TRIM('Origin Costs'!$A$93:$A$132))=UPPER(TRIM(J173)))*'Origin Costs'!$C$93:$C$132),0))),0)</f>
        <v>1192.9777777777779</v>
      </c>
      <c r="P173" s="46">
        <f t="shared" si="2"/>
        <v>2817.9777777777781</v>
      </c>
      <c r="Q173" s="13" t="str">
        <f>IF(OR(Dashboard!$C$4="All Customers",$E173=Dashboard!$C$4),IF($E173="","",$P173+ROW()/10000000),"")</f>
        <v/>
      </c>
    </row>
    <row r="174" spans="1:17" ht="14.25" customHeight="1" x14ac:dyDescent="0.3">
      <c r="A174" s="39" t="str">
        <f>IFERROR("FY"&amp;TEXT(MOD(IF(MONTH(Sheet1!A174)&gt;=4,YEAR(Sheet1!A174),YEAR(Sheet1!A174)-1),100),"00")&amp;"-"&amp;TEXT(MOD(IF(MONTH(Sheet1!A174)&gt;=4,YEAR(Sheet1!A174),YEAR(Sheet1!A174)-1)+1,100),"00"),"")</f>
        <v>FY25-26</v>
      </c>
      <c r="B174" s="40" t="str">
        <f>IFERROR("Q"&amp;IF(MONTH(Sheet1!A174)&gt;=4,IF(MONTH(Sheet1!A174)&lt;=6,1,IF(MONTH(Sheet1!A174)&lt;=9,2,3)),4),"")</f>
        <v>Q2</v>
      </c>
      <c r="C174" s="39" t="str">
        <f>IFERROR(Sheet1!C174,0)</f>
        <v>Europe</v>
      </c>
      <c r="D174" s="39" t="str">
        <f>IFERROR(Sheet1!F174,0)</f>
        <v>UK</v>
      </c>
      <c r="E174" s="39" t="str">
        <f>IFERROR(Sheet1!E174,0)</f>
        <v>BA Bush Tyres</v>
      </c>
      <c r="F174" s="39" t="str">
        <f>IFERROR(IF(UPPER(TRIM(Sheet1!J174))="NH","Nhava Sheva",IF(UPPER(TRIM(Sheet1!J174))="ICD","ICD Dhannad",IF(UPPER(TRIM(Sheet1!J174))="TIHI","ICD Tihi",Sheet1!J174))),0)</f>
        <v>Nhava Sheva</v>
      </c>
      <c r="G174" s="39" t="str">
        <f>IFERROR(Sheet1!M174,0)</f>
        <v>London Gateway</v>
      </c>
      <c r="H174" s="39" t="str">
        <f>IFERROR(Sheet1!H174,0)</f>
        <v>Hellmann</v>
      </c>
      <c r="I174" s="39" t="str">
        <f>IFERROR(Sheet1!G174,0)</f>
        <v>CIF</v>
      </c>
      <c r="J174" s="39" t="str">
        <f>IFERROR(Sheet1!K174,0)</f>
        <v>Hapag</v>
      </c>
      <c r="K174" s="41">
        <f>IFERROR(Sheet1!A174,0)</f>
        <v>45891</v>
      </c>
      <c r="L174" s="41">
        <f>IFERROR(Sheet1!I174,0)</f>
        <v>45890</v>
      </c>
      <c r="M174" s="47" t="str">
        <f>IFERROR(Sheet1!P174,0)</f>
        <v>NA</v>
      </c>
      <c r="N174" s="42">
        <f>IFERROR(IF(ISNUMBER(Sheet1!N174),Sheet1!N174,0),0)</f>
        <v>1625</v>
      </c>
      <c r="O174" s="42">
        <f>IFERROR(IF(TRIM(F174)="Nhava Sheva",SUMPRODUCT((UPPER(TRIM('Origin Costs'!$A$5:$A$44))=UPPER(TRIM(J174)))*'Origin Costs'!$C$5:$C$44),IF(TRIM(F174)="ICD Tihi",SUMPRODUCT((UPPER(TRIM('Origin Costs'!$A$49:$A$88))=UPPER(TRIM(J174)))*'Origin Costs'!$C$49:$C$88),IF(TRIM(F174)="ICD Dhannad",SUMPRODUCT((UPPER(TRIM('Origin Costs'!$A$93:$A$132))=UPPER(TRIM(J174)))*'Origin Costs'!$C$93:$C$132),0))),0)</f>
        <v>1192.9777777777779</v>
      </c>
      <c r="P174" s="42">
        <f t="shared" si="2"/>
        <v>2817.9777777777781</v>
      </c>
      <c r="Q174" s="13" t="str">
        <f>IF(OR(Dashboard!$C$4="All Customers",$E174=Dashboard!$C$4),IF($E174="","",$P174+ROW()/10000000),"")</f>
        <v/>
      </c>
    </row>
    <row r="175" spans="1:17" ht="14.25" customHeight="1" x14ac:dyDescent="0.3">
      <c r="A175" s="43" t="str">
        <f>IFERROR("FY"&amp;TEXT(MOD(IF(MONTH(Sheet1!A175)&gt;=4,YEAR(Sheet1!A175),YEAR(Sheet1!A175)-1),100),"00")&amp;"-"&amp;TEXT(MOD(IF(MONTH(Sheet1!A175)&gt;=4,YEAR(Sheet1!A175),YEAR(Sheet1!A175)-1)+1,100),"00"),"")</f>
        <v>FY25-26</v>
      </c>
      <c r="B175" s="44" t="str">
        <f>IFERROR("Q"&amp;IF(MONTH(Sheet1!A175)&gt;=4,IF(MONTH(Sheet1!A175)&lt;=6,1,IF(MONTH(Sheet1!A175)&lt;=9,2,3)),4),"")</f>
        <v>Q2</v>
      </c>
      <c r="C175" s="43" t="str">
        <f>IFERROR(Sheet1!C175,0)</f>
        <v>Europe</v>
      </c>
      <c r="D175" s="43" t="str">
        <f>IFERROR(Sheet1!F175,0)</f>
        <v>Slovenia</v>
      </c>
      <c r="E175" s="43" t="str">
        <f>IFERROR(Sheet1!E175,0)</f>
        <v>Inter Cars INT d.o.o. Slovenia</v>
      </c>
      <c r="F175" s="43" t="str">
        <f>IFERROR(IF(UPPER(TRIM(Sheet1!J175))="NH","Nhava Sheva",IF(UPPER(TRIM(Sheet1!J175))="ICD","ICD Dhannad",IF(UPPER(TRIM(Sheet1!J175))="TIHI","ICD Tihi",Sheet1!J175))),0)</f>
        <v>Nhava Sheva</v>
      </c>
      <c r="G175" s="43" t="str">
        <f>IFERROR(Sheet1!M175,0)</f>
        <v>Koper</v>
      </c>
      <c r="H175" s="43" t="str">
        <f>IFERROR(Sheet1!H175,0)</f>
        <v>Vrrddhi Freight</v>
      </c>
      <c r="I175" s="43" t="str">
        <f>IFERROR(Sheet1!G175,0)</f>
        <v>FOB</v>
      </c>
      <c r="J175" s="43" t="str">
        <f>IFERROR(Sheet1!K175,0)</f>
        <v>ONE</v>
      </c>
      <c r="K175" s="45">
        <f>IFERROR(Sheet1!A175,0)</f>
        <v>45891</v>
      </c>
      <c r="L175" s="45">
        <f>IFERROR(Sheet1!I175,0)</f>
        <v>45889</v>
      </c>
      <c r="M175" s="47" t="str">
        <f>IFERROR(Sheet1!P175,0)</f>
        <v>NA</v>
      </c>
      <c r="N175" s="46">
        <f>IFERROR(IF(ISNUMBER(Sheet1!N175),Sheet1!N175,0),0)</f>
        <v>0</v>
      </c>
      <c r="O175" s="46">
        <f>IFERROR(IF(TRIM(F175)="Nhava Sheva",SUMPRODUCT((UPPER(TRIM('Origin Costs'!$A$5:$A$44))=UPPER(TRIM(J175)))*'Origin Costs'!$C$5:$C$44),IF(TRIM(F175)="ICD Tihi",SUMPRODUCT((UPPER(TRIM('Origin Costs'!$A$49:$A$88))=UPPER(TRIM(J175)))*'Origin Costs'!$C$49:$C$88),IF(TRIM(F175)="ICD Dhannad",SUMPRODUCT((UPPER(TRIM('Origin Costs'!$A$93:$A$132))=UPPER(TRIM(J175)))*'Origin Costs'!$C$93:$C$132),0))),0)</f>
        <v>1146.5555555555557</v>
      </c>
      <c r="P175" s="46">
        <f t="shared" si="2"/>
        <v>1146.5555555555557</v>
      </c>
      <c r="Q175" s="13" t="str">
        <f>IF(OR(Dashboard!$C$4="All Customers",$E175=Dashboard!$C$4),IF($E175="","",$P175+ROW()/10000000),"")</f>
        <v/>
      </c>
    </row>
    <row r="176" spans="1:17" ht="14.25" customHeight="1" x14ac:dyDescent="0.3">
      <c r="A176" s="39" t="str">
        <f>IFERROR("FY"&amp;TEXT(MOD(IF(MONTH(Sheet1!A176)&gt;=4,YEAR(Sheet1!A176),YEAR(Sheet1!A176)-1),100),"00")&amp;"-"&amp;TEXT(MOD(IF(MONTH(Sheet1!A176)&gt;=4,YEAR(Sheet1!A176),YEAR(Sheet1!A176)-1)+1,100),"00"),"")</f>
        <v>FY25-26</v>
      </c>
      <c r="B176" s="40" t="str">
        <f>IFERROR("Q"&amp;IF(MONTH(Sheet1!A176)&gt;=4,IF(MONTH(Sheet1!A176)&lt;=6,1,IF(MONTH(Sheet1!A176)&lt;=9,2,3)),4),"")</f>
        <v>Q2</v>
      </c>
      <c r="C176" s="39" t="str">
        <f>IFERROR(Sheet1!C176,0)</f>
        <v>MEA</v>
      </c>
      <c r="D176" s="39" t="str">
        <f>IFERROR(Sheet1!F176,0)</f>
        <v>South Africa</v>
      </c>
      <c r="E176" s="39" t="str">
        <f>IFERROR(Sheet1!E176,0)</f>
        <v>Vaal Tyre Centre Holdings (Pty) Ltd-S.A</v>
      </c>
      <c r="F176" s="39" t="str">
        <f>IFERROR(IF(UPPER(TRIM(Sheet1!J176))="NH","Nhava Sheva",IF(UPPER(TRIM(Sheet1!J176))="ICD","ICD Dhannad",IF(UPPER(TRIM(Sheet1!J176))="TIHI","ICD Tihi",Sheet1!J176))),0)</f>
        <v>ICD Dhannad</v>
      </c>
      <c r="G176" s="39" t="str">
        <f>IFERROR(Sheet1!M176,0)</f>
        <v>Durban</v>
      </c>
      <c r="H176" s="39" t="str">
        <f>IFERROR(Sheet1!H176,0)</f>
        <v>Sevenseas Global</v>
      </c>
      <c r="I176" s="39" t="str">
        <f>IFERROR(Sheet1!G176,0)</f>
        <v>CIF</v>
      </c>
      <c r="J176" s="39" t="str">
        <f>IFERROR(Sheet1!K176,0)</f>
        <v>Maersk</v>
      </c>
      <c r="K176" s="41">
        <f>IFERROR(Sheet1!A176,0)</f>
        <v>45893</v>
      </c>
      <c r="L176" s="41">
        <f>IFERROR(Sheet1!I176,0)</f>
        <v>45892</v>
      </c>
      <c r="M176" s="47" t="str">
        <f>IFERROR(Sheet1!P176,0)</f>
        <v>NA</v>
      </c>
      <c r="N176" s="42">
        <f>IFERROR(IF(ISNUMBER(Sheet1!N176),Sheet1!N176,0),0)</f>
        <v>1400</v>
      </c>
      <c r="O176" s="42">
        <f>IFERROR(IF(TRIM(F176)="Nhava Sheva",SUMPRODUCT((UPPER(TRIM('Origin Costs'!$A$5:$A$44))=UPPER(TRIM(J176)))*'Origin Costs'!$C$5:$C$44),IF(TRIM(F176)="ICD Tihi",SUMPRODUCT((UPPER(TRIM('Origin Costs'!$A$49:$A$88))=UPPER(TRIM(J176)))*'Origin Costs'!$C$49:$C$88),IF(TRIM(F176)="ICD Dhannad",SUMPRODUCT((UPPER(TRIM('Origin Costs'!$A$93:$A$132))=UPPER(TRIM(J176)))*'Origin Costs'!$C$93:$C$132),0))),0)</f>
        <v>0</v>
      </c>
      <c r="P176" s="42">
        <f t="shared" si="2"/>
        <v>1400</v>
      </c>
      <c r="Q176" s="13" t="str">
        <f>IF(OR(Dashboard!$C$4="All Customers",$E176=Dashboard!$C$4),IF($E176="","",$P176+ROW()/10000000),"")</f>
        <v/>
      </c>
    </row>
    <row r="177" spans="1:17" ht="14.25" customHeight="1" x14ac:dyDescent="0.3">
      <c r="A177" s="43" t="str">
        <f>IFERROR("FY"&amp;TEXT(MOD(IF(MONTH(Sheet1!A177)&gt;=4,YEAR(Sheet1!A177),YEAR(Sheet1!A177)-1),100),"00")&amp;"-"&amp;TEXT(MOD(IF(MONTH(Sheet1!A177)&gt;=4,YEAR(Sheet1!A177),YEAR(Sheet1!A177)-1)+1,100),"00"),"")</f>
        <v>FY25-26</v>
      </c>
      <c r="B177" s="44" t="str">
        <f>IFERROR("Q"&amp;IF(MONTH(Sheet1!A177)&gt;=4,IF(MONTH(Sheet1!A177)&lt;=6,1,IF(MONTH(Sheet1!A177)&lt;=9,2,3)),4),"")</f>
        <v>Q2</v>
      </c>
      <c r="C177" s="43" t="str">
        <f>IFERROR(Sheet1!C177,0)</f>
        <v>MEA</v>
      </c>
      <c r="D177" s="43" t="str">
        <f>IFERROR(Sheet1!F177,0)</f>
        <v>South Africa</v>
      </c>
      <c r="E177" s="43" t="str">
        <f>IFERROR(Sheet1!E177,0)</f>
        <v>Vaal Tyre Centre Holdings (Pty) Ltd-S.A</v>
      </c>
      <c r="F177" s="43" t="str">
        <f>IFERROR(IF(UPPER(TRIM(Sheet1!J177))="NH","Nhava Sheva",IF(UPPER(TRIM(Sheet1!J177))="ICD","ICD Dhannad",IF(UPPER(TRIM(Sheet1!J177))="TIHI","ICD Tihi",Sheet1!J177))),0)</f>
        <v>ICD Dhannad</v>
      </c>
      <c r="G177" s="43" t="str">
        <f>IFERROR(Sheet1!M177,0)</f>
        <v>Durban</v>
      </c>
      <c r="H177" s="43" t="str">
        <f>IFERROR(Sheet1!H177,0)</f>
        <v>Sevenseas Global</v>
      </c>
      <c r="I177" s="43" t="str">
        <f>IFERROR(Sheet1!G177,0)</f>
        <v>CIF</v>
      </c>
      <c r="J177" s="43" t="str">
        <f>IFERROR(Sheet1!K177,0)</f>
        <v>Maersk</v>
      </c>
      <c r="K177" s="45">
        <f>IFERROR(Sheet1!A177,0)</f>
        <v>45893</v>
      </c>
      <c r="L177" s="45">
        <f>IFERROR(Sheet1!I177,0)</f>
        <v>45892</v>
      </c>
      <c r="M177" s="47" t="str">
        <f>IFERROR(Sheet1!P177,0)</f>
        <v>NA</v>
      </c>
      <c r="N177" s="46">
        <f>IFERROR(IF(ISNUMBER(Sheet1!N177),Sheet1!N177,0),0)</f>
        <v>1400</v>
      </c>
      <c r="O177" s="46">
        <f>IFERROR(IF(TRIM(F177)="Nhava Sheva",SUMPRODUCT((UPPER(TRIM('Origin Costs'!$A$5:$A$44))=UPPER(TRIM(J177)))*'Origin Costs'!$C$5:$C$44),IF(TRIM(F177)="ICD Tihi",SUMPRODUCT((UPPER(TRIM('Origin Costs'!$A$49:$A$88))=UPPER(TRIM(J177)))*'Origin Costs'!$C$49:$C$88),IF(TRIM(F177)="ICD Dhannad",SUMPRODUCT((UPPER(TRIM('Origin Costs'!$A$93:$A$132))=UPPER(TRIM(J177)))*'Origin Costs'!$C$93:$C$132),0))),0)</f>
        <v>0</v>
      </c>
      <c r="P177" s="46">
        <f t="shared" si="2"/>
        <v>1400</v>
      </c>
      <c r="Q177" s="13" t="str">
        <f>IF(OR(Dashboard!$C$4="All Customers",$E177=Dashboard!$C$4),IF($E177="","",$P177+ROW()/10000000),"")</f>
        <v/>
      </c>
    </row>
    <row r="178" spans="1:17" ht="14.25" customHeight="1" x14ac:dyDescent="0.3">
      <c r="A178" s="39" t="str">
        <f>IFERROR("FY"&amp;TEXT(MOD(IF(MONTH(Sheet1!A178)&gt;=4,YEAR(Sheet1!A178),YEAR(Sheet1!A178)-1),100),"00")&amp;"-"&amp;TEXT(MOD(IF(MONTH(Sheet1!A178)&gt;=4,YEAR(Sheet1!A178),YEAR(Sheet1!A178)-1)+1,100),"00"),"")</f>
        <v>FY25-26</v>
      </c>
      <c r="B178" s="40" t="str">
        <f>IFERROR("Q"&amp;IF(MONTH(Sheet1!A178)&gt;=4,IF(MONTH(Sheet1!A178)&lt;=6,1,IF(MONTH(Sheet1!A178)&lt;=9,2,3)),4),"")</f>
        <v>Q2</v>
      </c>
      <c r="C178" s="39" t="str">
        <f>IFERROR(Sheet1!C178,0)</f>
        <v>MEA</v>
      </c>
      <c r="D178" s="39" t="str">
        <f>IFERROR(Sheet1!F178,0)</f>
        <v>South Africa</v>
      </c>
      <c r="E178" s="39" t="str">
        <f>IFERROR(Sheet1!E178,0)</f>
        <v>Vaal Tyre Centre Holdings (Pty) Ltd-S.A</v>
      </c>
      <c r="F178" s="39" t="str">
        <f>IFERROR(IF(UPPER(TRIM(Sheet1!J178))="NH","Nhava Sheva",IF(UPPER(TRIM(Sheet1!J178))="ICD","ICD Dhannad",IF(UPPER(TRIM(Sheet1!J178))="TIHI","ICD Tihi",Sheet1!J178))),0)</f>
        <v>ICD Dhannad</v>
      </c>
      <c r="G178" s="39" t="str">
        <f>IFERROR(Sheet1!M178,0)</f>
        <v>Durban</v>
      </c>
      <c r="H178" s="39" t="str">
        <f>IFERROR(Sheet1!H178,0)</f>
        <v>Sevenseas Global</v>
      </c>
      <c r="I178" s="39" t="str">
        <f>IFERROR(Sheet1!G178,0)</f>
        <v>CIF</v>
      </c>
      <c r="J178" s="39" t="str">
        <f>IFERROR(Sheet1!K178,0)</f>
        <v>Maersk</v>
      </c>
      <c r="K178" s="41">
        <f>IFERROR(Sheet1!A178,0)</f>
        <v>45893</v>
      </c>
      <c r="L178" s="41">
        <f>IFERROR(Sheet1!I178,0)</f>
        <v>45892</v>
      </c>
      <c r="M178" s="47" t="str">
        <f>IFERROR(Sheet1!P178,0)</f>
        <v>NA</v>
      </c>
      <c r="N178" s="42">
        <f>IFERROR(IF(ISNUMBER(Sheet1!N178),Sheet1!N178,0),0)</f>
        <v>1400</v>
      </c>
      <c r="O178" s="42">
        <f>IFERROR(IF(TRIM(F178)="Nhava Sheva",SUMPRODUCT((UPPER(TRIM('Origin Costs'!$A$5:$A$44))=UPPER(TRIM(J178)))*'Origin Costs'!$C$5:$C$44),IF(TRIM(F178)="ICD Tihi",SUMPRODUCT((UPPER(TRIM('Origin Costs'!$A$49:$A$88))=UPPER(TRIM(J178)))*'Origin Costs'!$C$49:$C$88),IF(TRIM(F178)="ICD Dhannad",SUMPRODUCT((UPPER(TRIM('Origin Costs'!$A$93:$A$132))=UPPER(TRIM(J178)))*'Origin Costs'!$C$93:$C$132),0))),0)</f>
        <v>0</v>
      </c>
      <c r="P178" s="42">
        <f t="shared" si="2"/>
        <v>1400</v>
      </c>
      <c r="Q178" s="13" t="str">
        <f>IF(OR(Dashboard!$C$4="All Customers",$E178=Dashboard!$C$4),IF($E178="","",$P178+ROW()/10000000),"")</f>
        <v/>
      </c>
    </row>
    <row r="179" spans="1:17" ht="14.25" customHeight="1" x14ac:dyDescent="0.3">
      <c r="A179" s="43" t="str">
        <f>IFERROR("FY"&amp;TEXT(MOD(IF(MONTH(Sheet1!A179)&gt;=4,YEAR(Sheet1!A179),YEAR(Sheet1!A179)-1),100),"00")&amp;"-"&amp;TEXT(MOD(IF(MONTH(Sheet1!A179)&gt;=4,YEAR(Sheet1!A179),YEAR(Sheet1!A179)-1)+1,100),"00"),"")</f>
        <v>FY25-26</v>
      </c>
      <c r="B179" s="44" t="str">
        <f>IFERROR("Q"&amp;IF(MONTH(Sheet1!A179)&gt;=4,IF(MONTH(Sheet1!A179)&lt;=6,1,IF(MONTH(Sheet1!A179)&lt;=9,2,3)),4),"")</f>
        <v>Q2</v>
      </c>
      <c r="C179" s="43" t="str">
        <f>IFERROR(Sheet1!C179,0)</f>
        <v>MEA</v>
      </c>
      <c r="D179" s="43" t="str">
        <f>IFERROR(Sheet1!F179,0)</f>
        <v>South Africa</v>
      </c>
      <c r="E179" s="43" t="str">
        <f>IFERROR(Sheet1!E179,0)</f>
        <v>Vaal Tyre Centre Holdings (Pty) Ltd-S.A</v>
      </c>
      <c r="F179" s="43" t="str">
        <f>IFERROR(IF(UPPER(TRIM(Sheet1!J179))="NH","Nhava Sheva",IF(UPPER(TRIM(Sheet1!J179))="ICD","ICD Dhannad",IF(UPPER(TRIM(Sheet1!J179))="TIHI","ICD Tihi",Sheet1!J179))),0)</f>
        <v>ICD Dhannad</v>
      </c>
      <c r="G179" s="43" t="str">
        <f>IFERROR(Sheet1!M179,0)</f>
        <v>Durban</v>
      </c>
      <c r="H179" s="43" t="str">
        <f>IFERROR(Sheet1!H179,0)</f>
        <v>Sevenseas Global</v>
      </c>
      <c r="I179" s="43" t="str">
        <f>IFERROR(Sheet1!G179,0)</f>
        <v>CIF</v>
      </c>
      <c r="J179" s="43" t="str">
        <f>IFERROR(Sheet1!K179,0)</f>
        <v>Maersk</v>
      </c>
      <c r="K179" s="45">
        <f>IFERROR(Sheet1!A179,0)</f>
        <v>45893</v>
      </c>
      <c r="L179" s="45">
        <f>IFERROR(Sheet1!I179,0)</f>
        <v>45892</v>
      </c>
      <c r="M179" s="47" t="str">
        <f>IFERROR(Sheet1!P179,0)</f>
        <v>NA</v>
      </c>
      <c r="N179" s="46">
        <f>IFERROR(IF(ISNUMBER(Sheet1!N179),Sheet1!N179,0),0)</f>
        <v>1400</v>
      </c>
      <c r="O179" s="46">
        <f>IFERROR(IF(TRIM(F179)="Nhava Sheva",SUMPRODUCT((UPPER(TRIM('Origin Costs'!$A$5:$A$44))=UPPER(TRIM(J179)))*'Origin Costs'!$C$5:$C$44),IF(TRIM(F179)="ICD Tihi",SUMPRODUCT((UPPER(TRIM('Origin Costs'!$A$49:$A$88))=UPPER(TRIM(J179)))*'Origin Costs'!$C$49:$C$88),IF(TRIM(F179)="ICD Dhannad",SUMPRODUCT((UPPER(TRIM('Origin Costs'!$A$93:$A$132))=UPPER(TRIM(J179)))*'Origin Costs'!$C$93:$C$132),0))),0)</f>
        <v>0</v>
      </c>
      <c r="P179" s="46">
        <f t="shared" si="2"/>
        <v>1400</v>
      </c>
      <c r="Q179" s="13" t="str">
        <f>IF(OR(Dashboard!$C$4="All Customers",$E179=Dashboard!$C$4),IF($E179="","",$P179+ROW()/10000000),"")</f>
        <v/>
      </c>
    </row>
    <row r="180" spans="1:17" ht="14.25" customHeight="1" x14ac:dyDescent="0.3">
      <c r="A180" s="39" t="str">
        <f>IFERROR("FY"&amp;TEXT(MOD(IF(MONTH(Sheet1!A180)&gt;=4,YEAR(Sheet1!A180),YEAR(Sheet1!A180)-1),100),"00")&amp;"-"&amp;TEXT(MOD(IF(MONTH(Sheet1!A180)&gt;=4,YEAR(Sheet1!A180),YEAR(Sheet1!A180)-1)+1,100),"00"),"")</f>
        <v>FY25-26</v>
      </c>
      <c r="B180" s="40" t="str">
        <f>IFERROR("Q"&amp;IF(MONTH(Sheet1!A180)&gt;=4,IF(MONTH(Sheet1!A180)&lt;=6,1,IF(MONTH(Sheet1!A180)&lt;=9,2,3)),4),"")</f>
        <v>Q2</v>
      </c>
      <c r="C180" s="39" t="str">
        <f>IFERROR(Sheet1!C180,0)</f>
        <v>MEA</v>
      </c>
      <c r="D180" s="39" t="str">
        <f>IFERROR(Sheet1!F180,0)</f>
        <v>South Africa</v>
      </c>
      <c r="E180" s="39" t="str">
        <f>IFERROR(Sheet1!E180,0)</f>
        <v>Vaal Tyre Centre Holdings (Pty) Ltd-S.A</v>
      </c>
      <c r="F180" s="39" t="str">
        <f>IFERROR(IF(UPPER(TRIM(Sheet1!J180))="NH","Nhava Sheva",IF(UPPER(TRIM(Sheet1!J180))="ICD","ICD Dhannad",IF(UPPER(TRIM(Sheet1!J180))="TIHI","ICD Tihi",Sheet1!J180))),0)</f>
        <v>ICD Dhannad</v>
      </c>
      <c r="G180" s="39" t="str">
        <f>IFERROR(Sheet1!M180,0)</f>
        <v>Durban</v>
      </c>
      <c r="H180" s="39" t="str">
        <f>IFERROR(Sheet1!H180,0)</f>
        <v>Sevenseas Global</v>
      </c>
      <c r="I180" s="39" t="str">
        <f>IFERROR(Sheet1!G180,0)</f>
        <v>CIF</v>
      </c>
      <c r="J180" s="39" t="str">
        <f>IFERROR(Sheet1!K180,0)</f>
        <v>Maersk</v>
      </c>
      <c r="K180" s="41">
        <f>IFERROR(Sheet1!A180,0)</f>
        <v>45893</v>
      </c>
      <c r="L180" s="41">
        <f>IFERROR(Sheet1!I180,0)</f>
        <v>45892</v>
      </c>
      <c r="M180" s="47" t="str">
        <f>IFERROR(Sheet1!P180,0)</f>
        <v>NA</v>
      </c>
      <c r="N180" s="42">
        <f>IFERROR(IF(ISNUMBER(Sheet1!N180),Sheet1!N180,0),0)</f>
        <v>1400</v>
      </c>
      <c r="O180" s="42">
        <f>IFERROR(IF(TRIM(F180)="Nhava Sheva",SUMPRODUCT((UPPER(TRIM('Origin Costs'!$A$5:$A$44))=UPPER(TRIM(J180)))*'Origin Costs'!$C$5:$C$44),IF(TRIM(F180)="ICD Tihi",SUMPRODUCT((UPPER(TRIM('Origin Costs'!$A$49:$A$88))=UPPER(TRIM(J180)))*'Origin Costs'!$C$49:$C$88),IF(TRIM(F180)="ICD Dhannad",SUMPRODUCT((UPPER(TRIM('Origin Costs'!$A$93:$A$132))=UPPER(TRIM(J180)))*'Origin Costs'!$C$93:$C$132),0))),0)</f>
        <v>0</v>
      </c>
      <c r="P180" s="42">
        <f t="shared" si="2"/>
        <v>1400</v>
      </c>
      <c r="Q180" s="13" t="str">
        <f>IF(OR(Dashboard!$C$4="All Customers",$E180=Dashboard!$C$4),IF($E180="","",$P180+ROW()/10000000),"")</f>
        <v/>
      </c>
    </row>
    <row r="181" spans="1:17" ht="14.25" customHeight="1" x14ac:dyDescent="0.3">
      <c r="A181" s="43" t="str">
        <f>IFERROR("FY"&amp;TEXT(MOD(IF(MONTH(Sheet1!A181)&gt;=4,YEAR(Sheet1!A181),YEAR(Sheet1!A181)-1),100),"00")&amp;"-"&amp;TEXT(MOD(IF(MONTH(Sheet1!A181)&gt;=4,YEAR(Sheet1!A181),YEAR(Sheet1!A181)-1)+1,100),"00"),"")</f>
        <v>FY25-26</v>
      </c>
      <c r="B181" s="44" t="str">
        <f>IFERROR("Q"&amp;IF(MONTH(Sheet1!A181)&gt;=4,IF(MONTH(Sheet1!A181)&lt;=6,1,IF(MONTH(Sheet1!A181)&lt;=9,2,3)),4),"")</f>
        <v>Q2</v>
      </c>
      <c r="C181" s="43" t="str">
        <f>IFERROR(Sheet1!C181,0)</f>
        <v>Europe</v>
      </c>
      <c r="D181" s="43" t="str">
        <f>IFERROR(Sheet1!F181,0)</f>
        <v>Croatia</v>
      </c>
      <c r="E181" s="43" t="str">
        <f>IFERROR(Sheet1!E181,0)</f>
        <v>Inter Cars d.o.o., Croatia</v>
      </c>
      <c r="F181" s="43" t="str">
        <f>IFERROR(IF(UPPER(TRIM(Sheet1!J181))="NH","Nhava Sheva",IF(UPPER(TRIM(Sheet1!J181))="ICD","ICD Dhannad",IF(UPPER(TRIM(Sheet1!J181))="TIHI","ICD Tihi",Sheet1!J181))),0)</f>
        <v>Nhava Sheva</v>
      </c>
      <c r="G181" s="43" t="str">
        <f>IFERROR(Sheet1!M181,0)</f>
        <v>Rijeka</v>
      </c>
      <c r="H181" s="43" t="str">
        <f>IFERROR(Sheet1!H181,0)</f>
        <v>DHL Logistics</v>
      </c>
      <c r="I181" s="43" t="str">
        <f>IFERROR(Sheet1!G181,0)</f>
        <v>FOB</v>
      </c>
      <c r="J181" s="43" t="str">
        <f>IFERROR(Sheet1!K181,0)</f>
        <v>OOCL</v>
      </c>
      <c r="K181" s="45">
        <f>IFERROR(Sheet1!A181,0)</f>
        <v>45894</v>
      </c>
      <c r="L181" s="45">
        <f>IFERROR(Sheet1!I181,0)</f>
        <v>45883</v>
      </c>
      <c r="M181" s="47" t="str">
        <f>IFERROR(Sheet1!P181,0)</f>
        <v>NA</v>
      </c>
      <c r="N181" s="46">
        <f>IFERROR(IF(ISNUMBER(Sheet1!N181),Sheet1!N181,0),0)</f>
        <v>0</v>
      </c>
      <c r="O181" s="46">
        <f>IFERROR(IF(TRIM(F181)="Nhava Sheva",SUMPRODUCT((UPPER(TRIM('Origin Costs'!$A$5:$A$44))=UPPER(TRIM(J181)))*'Origin Costs'!$C$5:$C$44),IF(TRIM(F181)="ICD Tihi",SUMPRODUCT((UPPER(TRIM('Origin Costs'!$A$49:$A$88))=UPPER(TRIM(J181)))*'Origin Costs'!$C$49:$C$88),IF(TRIM(F181)="ICD Dhannad",SUMPRODUCT((UPPER(TRIM('Origin Costs'!$A$93:$A$132))=UPPER(TRIM(J181)))*'Origin Costs'!$C$93:$C$132),0))),0)</f>
        <v>0</v>
      </c>
      <c r="P181" s="46">
        <f t="shared" si="2"/>
        <v>0</v>
      </c>
      <c r="Q181" s="13" t="str">
        <f>IF(OR(Dashboard!$C$4="All Customers",$E181=Dashboard!$C$4),IF($E181="","",$P181+ROW()/10000000),"")</f>
        <v/>
      </c>
    </row>
    <row r="182" spans="1:17" ht="14.25" customHeight="1" x14ac:dyDescent="0.3">
      <c r="A182" s="39" t="str">
        <f>IFERROR("FY"&amp;TEXT(MOD(IF(MONTH(Sheet1!A182)&gt;=4,YEAR(Sheet1!A182),YEAR(Sheet1!A182)-1),100),"00")&amp;"-"&amp;TEXT(MOD(IF(MONTH(Sheet1!A182)&gt;=4,YEAR(Sheet1!A182),YEAR(Sheet1!A182)-1)+1,100),"00"),"")</f>
        <v>FY25-26</v>
      </c>
      <c r="B182" s="40" t="str">
        <f>IFERROR("Q"&amp;IF(MONTH(Sheet1!A182)&gt;=4,IF(MONTH(Sheet1!A182)&lt;=6,1,IF(MONTH(Sheet1!A182)&lt;=9,2,3)),4),"")</f>
        <v>Q2</v>
      </c>
      <c r="C182" s="39" t="str">
        <f>IFERROR(Sheet1!C182,0)</f>
        <v>CIS</v>
      </c>
      <c r="D182" s="39" t="str">
        <f>IFERROR(Sheet1!F182,0)</f>
        <v>USA</v>
      </c>
      <c r="E182" s="39" t="str">
        <f>IFERROR(Sheet1!E182,0)</f>
        <v>Supergrip International (Pvt) Ltd</v>
      </c>
      <c r="F182" s="39" t="str">
        <f>IFERROR(IF(UPPER(TRIM(Sheet1!J182))="NH","Nhava Sheva",IF(UPPER(TRIM(Sheet1!J182))="ICD","ICD Dhannad",IF(UPPER(TRIM(Sheet1!J182))="TIHI","ICD Tihi",Sheet1!J182))),0)</f>
        <v>Nhava Sheva</v>
      </c>
      <c r="G182" s="39" t="str">
        <f>IFERROR(Sheet1!M182,0)</f>
        <v>Colombo</v>
      </c>
      <c r="H182" s="39" t="str">
        <f>IFERROR(Sheet1!H182,0)</f>
        <v>UP4 International</v>
      </c>
      <c r="I182" s="39" t="str">
        <f>IFERROR(Sheet1!G182,0)</f>
        <v>FOB</v>
      </c>
      <c r="J182" s="39" t="str">
        <f>IFERROR(Sheet1!K182,0)</f>
        <v>OOCL</v>
      </c>
      <c r="K182" s="41">
        <f>IFERROR(Sheet1!A182,0)</f>
        <v>45894</v>
      </c>
      <c r="L182" s="41">
        <f>IFERROR(Sheet1!I182,0)</f>
        <v>45892</v>
      </c>
      <c r="M182" s="47" t="str">
        <f>IFERROR(Sheet1!P182,0)</f>
        <v>NA</v>
      </c>
      <c r="N182" s="42">
        <f>IFERROR(IF(ISNUMBER(Sheet1!N182),Sheet1!N182,0),0)</f>
        <v>0</v>
      </c>
      <c r="O182" s="42">
        <f>IFERROR(IF(TRIM(F182)="Nhava Sheva",SUMPRODUCT((UPPER(TRIM('Origin Costs'!$A$5:$A$44))=UPPER(TRIM(J182)))*'Origin Costs'!$C$5:$C$44),IF(TRIM(F182)="ICD Tihi",SUMPRODUCT((UPPER(TRIM('Origin Costs'!$A$49:$A$88))=UPPER(TRIM(J182)))*'Origin Costs'!$C$49:$C$88),IF(TRIM(F182)="ICD Dhannad",SUMPRODUCT((UPPER(TRIM('Origin Costs'!$A$93:$A$132))=UPPER(TRIM(J182)))*'Origin Costs'!$C$93:$C$132),0))),0)</f>
        <v>0</v>
      </c>
      <c r="P182" s="42">
        <f t="shared" si="2"/>
        <v>0</v>
      </c>
      <c r="Q182" s="13" t="str">
        <f>IF(OR(Dashboard!$C$4="All Customers",$E182=Dashboard!$C$4),IF($E182="","",$P182+ROW()/10000000),"")</f>
        <v/>
      </c>
    </row>
    <row r="183" spans="1:17" ht="14.25" customHeight="1" x14ac:dyDescent="0.3">
      <c r="A183" s="43" t="str">
        <f>IFERROR("FY"&amp;TEXT(MOD(IF(MONTH(Sheet1!A183)&gt;=4,YEAR(Sheet1!A183),YEAR(Sheet1!A183)-1),100),"00")&amp;"-"&amp;TEXT(MOD(IF(MONTH(Sheet1!A183)&gt;=4,YEAR(Sheet1!A183),YEAR(Sheet1!A183)-1)+1,100),"00"),"")</f>
        <v>FY25-26</v>
      </c>
      <c r="B183" s="44" t="str">
        <f>IFERROR("Q"&amp;IF(MONTH(Sheet1!A183)&gt;=4,IF(MONTH(Sheet1!A183)&lt;=6,1,IF(MONTH(Sheet1!A183)&lt;=9,2,3)),4),"")</f>
        <v>Q2</v>
      </c>
      <c r="C183" s="43" t="str">
        <f>IFERROR(Sheet1!C183,0)</f>
        <v>S.A</v>
      </c>
      <c r="D183" s="43" t="str">
        <f>IFERROR(Sheet1!F183,0)</f>
        <v>Brazil</v>
      </c>
      <c r="E183" s="43" t="str">
        <f>IFERROR(Sheet1!E183,0)</f>
        <v>CPX DISTRIBUIDORA S/A-Suape</v>
      </c>
      <c r="F183" s="43" t="str">
        <f>IFERROR(IF(UPPER(TRIM(Sheet1!J183))="NH","Nhava Sheva",IF(UPPER(TRIM(Sheet1!J183))="ICD","ICD Dhannad",IF(UPPER(TRIM(Sheet1!J183))="TIHI","ICD Tihi",Sheet1!J183))),0)</f>
        <v>ICD Dhannad</v>
      </c>
      <c r="G183" s="43" t="str">
        <f>IFERROR(Sheet1!M183,0)</f>
        <v>Suape</v>
      </c>
      <c r="H183" s="43" t="str">
        <f>IFERROR(Sheet1!H183,0)</f>
        <v>Asia Shipping</v>
      </c>
      <c r="I183" s="43" t="str">
        <f>IFERROR(Sheet1!G183,0)</f>
        <v>FOB</v>
      </c>
      <c r="J183" s="43" t="str">
        <f>IFERROR(Sheet1!K183,0)</f>
        <v>Maersk</v>
      </c>
      <c r="K183" s="45">
        <f>IFERROR(Sheet1!A183,0)</f>
        <v>45895</v>
      </c>
      <c r="L183" s="45">
        <f>IFERROR(Sheet1!I183,0)</f>
        <v>45895</v>
      </c>
      <c r="M183" s="47" t="str">
        <f>IFERROR(Sheet1!P183,0)</f>
        <v>NA</v>
      </c>
      <c r="N183" s="46">
        <f>IFERROR(IF(ISNUMBER(Sheet1!N183),Sheet1!N183,0),0)</f>
        <v>0</v>
      </c>
      <c r="O183" s="46">
        <f>IFERROR(IF(TRIM(F183)="Nhava Sheva",SUMPRODUCT((UPPER(TRIM('Origin Costs'!$A$5:$A$44))=UPPER(TRIM(J183)))*'Origin Costs'!$C$5:$C$44),IF(TRIM(F183)="ICD Tihi",SUMPRODUCT((UPPER(TRIM('Origin Costs'!$A$49:$A$88))=UPPER(TRIM(J183)))*'Origin Costs'!$C$49:$C$88),IF(TRIM(F183)="ICD Dhannad",SUMPRODUCT((UPPER(TRIM('Origin Costs'!$A$93:$A$132))=UPPER(TRIM(J183)))*'Origin Costs'!$C$93:$C$132),0))),0)</f>
        <v>0</v>
      </c>
      <c r="P183" s="46">
        <f t="shared" si="2"/>
        <v>0</v>
      </c>
      <c r="Q183" s="13" t="str">
        <f>IF(OR(Dashboard!$C$4="All Customers",$E183=Dashboard!$C$4),IF($E183="","",$P183+ROW()/10000000),"")</f>
        <v/>
      </c>
    </row>
    <row r="184" spans="1:17" ht="14.25" customHeight="1" x14ac:dyDescent="0.3">
      <c r="A184" s="39" t="str">
        <f>IFERROR("FY"&amp;TEXT(MOD(IF(MONTH(Sheet1!A184)&gt;=4,YEAR(Sheet1!A184),YEAR(Sheet1!A184)-1),100),"00")&amp;"-"&amp;TEXT(MOD(IF(MONTH(Sheet1!A184)&gt;=4,YEAR(Sheet1!A184),YEAR(Sheet1!A184)-1)+1,100),"00"),"")</f>
        <v>FY25-26</v>
      </c>
      <c r="B184" s="40" t="str">
        <f>IFERROR("Q"&amp;IF(MONTH(Sheet1!A184)&gt;=4,IF(MONTH(Sheet1!A184)&lt;=6,1,IF(MONTH(Sheet1!A184)&lt;=9,2,3)),4),"")</f>
        <v>Q2</v>
      </c>
      <c r="C184" s="39" t="str">
        <f>IFERROR(Sheet1!C184,0)</f>
        <v>S.A</v>
      </c>
      <c r="D184" s="39" t="str">
        <f>IFERROR(Sheet1!F184,0)</f>
        <v>Brazil</v>
      </c>
      <c r="E184" s="39" t="str">
        <f>IFERROR(Sheet1!E184,0)</f>
        <v>CPX DISTRIBUIDORA S/A-Itajai</v>
      </c>
      <c r="F184" s="39" t="str">
        <f>IFERROR(IF(UPPER(TRIM(Sheet1!J184))="NH","Nhava Sheva",IF(UPPER(TRIM(Sheet1!J184))="ICD","ICD Dhannad",IF(UPPER(TRIM(Sheet1!J184))="TIHI","ICD Tihi",Sheet1!J184))),0)</f>
        <v>ICD Dhannad</v>
      </c>
      <c r="G184" s="39" t="str">
        <f>IFERROR(Sheet1!M184,0)</f>
        <v>Itajai</v>
      </c>
      <c r="H184" s="39" t="str">
        <f>IFERROR(Sheet1!H184,0)</f>
        <v>Asia Shipping</v>
      </c>
      <c r="I184" s="39" t="str">
        <f>IFERROR(Sheet1!G184,0)</f>
        <v>FOB</v>
      </c>
      <c r="J184" s="39" t="str">
        <f>IFERROR(Sheet1!K184,0)</f>
        <v>MSC</v>
      </c>
      <c r="K184" s="41">
        <f>IFERROR(Sheet1!A184,0)</f>
        <v>45896</v>
      </c>
      <c r="L184" s="41">
        <f>IFERROR(Sheet1!I184,0)</f>
        <v>45895</v>
      </c>
      <c r="M184" s="47" t="str">
        <f>IFERROR(Sheet1!P184,0)</f>
        <v>NA</v>
      </c>
      <c r="N184" s="42">
        <f>IFERROR(IF(ISNUMBER(Sheet1!N184),Sheet1!N184,0),0)</f>
        <v>0</v>
      </c>
      <c r="O184" s="42">
        <f>IFERROR(IF(TRIM(F184)="Nhava Sheva",SUMPRODUCT((UPPER(TRIM('Origin Costs'!$A$5:$A$44))=UPPER(TRIM(J184)))*'Origin Costs'!$C$5:$C$44),IF(TRIM(F184)="ICD Tihi",SUMPRODUCT((UPPER(TRIM('Origin Costs'!$A$49:$A$88))=UPPER(TRIM(J184)))*'Origin Costs'!$C$49:$C$88),IF(TRIM(F184)="ICD Dhannad",SUMPRODUCT((UPPER(TRIM('Origin Costs'!$A$93:$A$132))=UPPER(TRIM(J184)))*'Origin Costs'!$C$93:$C$132),0))),0)</f>
        <v>0</v>
      </c>
      <c r="P184" s="42">
        <f t="shared" si="2"/>
        <v>0</v>
      </c>
      <c r="Q184" s="13" t="str">
        <f>IF(OR(Dashboard!$C$4="All Customers",$E184=Dashboard!$C$4),IF($E184="","",$P184+ROW()/10000000),"")</f>
        <v/>
      </c>
    </row>
    <row r="185" spans="1:17" ht="14.25" customHeight="1" x14ac:dyDescent="0.3">
      <c r="A185" s="43" t="str">
        <f>IFERROR("FY"&amp;TEXT(MOD(IF(MONTH(Sheet1!A185)&gt;=4,YEAR(Sheet1!A185),YEAR(Sheet1!A185)-1),100),"00")&amp;"-"&amp;TEXT(MOD(IF(MONTH(Sheet1!A185)&gt;=4,YEAR(Sheet1!A185),YEAR(Sheet1!A185)-1)+1,100),"00"),"")</f>
        <v>FY25-26</v>
      </c>
      <c r="B185" s="44" t="str">
        <f>IFERROR("Q"&amp;IF(MONTH(Sheet1!A185)&gt;=4,IF(MONTH(Sheet1!A185)&lt;=6,1,IF(MONTH(Sheet1!A185)&lt;=9,2,3)),4),"")</f>
        <v>Q2</v>
      </c>
      <c r="C185" s="43" t="str">
        <f>IFERROR(Sheet1!C185,0)</f>
        <v>Europe</v>
      </c>
      <c r="D185" s="43" t="str">
        <f>IFERROR(Sheet1!F185,0)</f>
        <v>UK</v>
      </c>
      <c r="E185" s="43" t="str">
        <f>IFERROR(Sheet1!E185,0)</f>
        <v>BA Bush Tyres</v>
      </c>
      <c r="F185" s="43" t="str">
        <f>IFERROR(IF(UPPER(TRIM(Sheet1!J185))="NH","Nhava Sheva",IF(UPPER(TRIM(Sheet1!J185))="ICD","ICD Dhannad",IF(UPPER(TRIM(Sheet1!J185))="TIHI","ICD Tihi",Sheet1!J185))),0)</f>
        <v>Nhava Sheva</v>
      </c>
      <c r="G185" s="43" t="str">
        <f>IFERROR(Sheet1!M185,0)</f>
        <v>London Gateway</v>
      </c>
      <c r="H185" s="43" t="str">
        <f>IFERROR(Sheet1!H185,0)</f>
        <v>Hellmann</v>
      </c>
      <c r="I185" s="43" t="str">
        <f>IFERROR(Sheet1!G185,0)</f>
        <v>CIF</v>
      </c>
      <c r="J185" s="43" t="str">
        <f>IFERROR(Sheet1!K185,0)</f>
        <v>Hapag</v>
      </c>
      <c r="K185" s="45">
        <f>IFERROR(Sheet1!A185,0)</f>
        <v>45898</v>
      </c>
      <c r="L185" s="45">
        <f>IFERROR(Sheet1!I185,0)</f>
        <v>45896</v>
      </c>
      <c r="M185" s="47" t="str">
        <f>IFERROR(Sheet1!P185,0)</f>
        <v>NA</v>
      </c>
      <c r="N185" s="46">
        <f>IFERROR(IF(ISNUMBER(Sheet1!N185),Sheet1!N185,0),0)</f>
        <v>1625</v>
      </c>
      <c r="O185" s="46">
        <f>IFERROR(IF(TRIM(F185)="Nhava Sheva",SUMPRODUCT((UPPER(TRIM('Origin Costs'!$A$5:$A$44))=UPPER(TRIM(J185)))*'Origin Costs'!$C$5:$C$44),IF(TRIM(F185)="ICD Tihi",SUMPRODUCT((UPPER(TRIM('Origin Costs'!$A$49:$A$88))=UPPER(TRIM(J185)))*'Origin Costs'!$C$49:$C$88),IF(TRIM(F185)="ICD Dhannad",SUMPRODUCT((UPPER(TRIM('Origin Costs'!$A$93:$A$132))=UPPER(TRIM(J185)))*'Origin Costs'!$C$93:$C$132),0))),0)</f>
        <v>1192.9777777777779</v>
      </c>
      <c r="P185" s="46">
        <f t="shared" si="2"/>
        <v>2817.9777777777781</v>
      </c>
      <c r="Q185" s="13" t="str">
        <f>IF(OR(Dashboard!$C$4="All Customers",$E185=Dashboard!$C$4),IF($E185="","",$P185+ROW()/10000000),"")</f>
        <v/>
      </c>
    </row>
    <row r="186" spans="1:17" ht="14.25" customHeight="1" x14ac:dyDescent="0.3">
      <c r="A186" s="39" t="str">
        <f>IFERROR("FY"&amp;TEXT(MOD(IF(MONTH(Sheet1!A186)&gt;=4,YEAR(Sheet1!A186),YEAR(Sheet1!A186)-1),100),"00")&amp;"-"&amp;TEXT(MOD(IF(MONTH(Sheet1!A186)&gt;=4,YEAR(Sheet1!A186),YEAR(Sheet1!A186)-1)+1,100),"00"),"")</f>
        <v>FY25-26</v>
      </c>
      <c r="B186" s="40" t="str">
        <f>IFERROR("Q"&amp;IF(MONTH(Sheet1!A186)&gt;=4,IF(MONTH(Sheet1!A186)&lt;=6,1,IF(MONTH(Sheet1!A186)&lt;=9,2,3)),4),"")</f>
        <v>Q2</v>
      </c>
      <c r="C186" s="39" t="str">
        <f>IFERROR(Sheet1!C186,0)</f>
        <v>S.A</v>
      </c>
      <c r="D186" s="39" t="str">
        <f>IFERROR(Sheet1!F186,0)</f>
        <v>Columbia</v>
      </c>
      <c r="E186" s="39" t="str">
        <f>IFERROR(Sheet1!E186,0)</f>
        <v>LLANTAS NARINO SAS, Columbia</v>
      </c>
      <c r="F186" s="39" t="str">
        <f>IFERROR(IF(UPPER(TRIM(Sheet1!J186))="NH","Nhava Sheva",IF(UPPER(TRIM(Sheet1!J186))="ICD","ICD Dhannad",IF(UPPER(TRIM(Sheet1!J186))="TIHI","ICD Tihi",Sheet1!J186))),0)</f>
        <v>Nhava Sheva</v>
      </c>
      <c r="G186" s="39" t="str">
        <f>IFERROR(Sheet1!M186,0)</f>
        <v>Buenaventura</v>
      </c>
      <c r="H186" s="39" t="str">
        <f>IFERROR(Sheet1!H186,0)</f>
        <v>Sanjay Forwarder</v>
      </c>
      <c r="I186" s="39" t="str">
        <f>IFERROR(Sheet1!G186,0)</f>
        <v>CIF</v>
      </c>
      <c r="J186" s="39" t="str">
        <f>IFERROR(Sheet1!K186,0)</f>
        <v>Maersk</v>
      </c>
      <c r="K186" s="41">
        <f>IFERROR(Sheet1!A186,0)</f>
        <v>45900</v>
      </c>
      <c r="L186" s="41">
        <f>IFERROR(Sheet1!I186,0)</f>
        <v>45898</v>
      </c>
      <c r="M186" s="47" t="str">
        <f>IFERROR(Sheet1!P186,0)</f>
        <v>NA</v>
      </c>
      <c r="N186" s="42">
        <f>IFERROR(IF(ISNUMBER(Sheet1!N186),Sheet1!N186,0),0)</f>
        <v>2550</v>
      </c>
      <c r="O186" s="42">
        <f>IFERROR(IF(TRIM(F186)="Nhava Sheva",SUMPRODUCT((UPPER(TRIM('Origin Costs'!$A$5:$A$44))=UPPER(TRIM(J186)))*'Origin Costs'!$C$5:$C$44),IF(TRIM(F186)="ICD Tihi",SUMPRODUCT((UPPER(TRIM('Origin Costs'!$A$49:$A$88))=UPPER(TRIM(J186)))*'Origin Costs'!$C$49:$C$88),IF(TRIM(F186)="ICD Dhannad",SUMPRODUCT((UPPER(TRIM('Origin Costs'!$A$93:$A$132))=UPPER(TRIM(J186)))*'Origin Costs'!$C$93:$C$132),0))),0)</f>
        <v>1148.588888888889</v>
      </c>
      <c r="P186" s="42">
        <f t="shared" si="2"/>
        <v>3698.588888888889</v>
      </c>
      <c r="Q186" s="13" t="str">
        <f>IF(OR(Dashboard!$C$4="All Customers",$E186=Dashboard!$C$4),IF($E186="","",$P186+ROW()/10000000),"")</f>
        <v/>
      </c>
    </row>
    <row r="187" spans="1:17" ht="14.25" customHeight="1" x14ac:dyDescent="0.3">
      <c r="A187" s="43" t="str">
        <f>IFERROR("FY"&amp;TEXT(MOD(IF(MONTH(Sheet1!A187)&gt;=4,YEAR(Sheet1!A187),YEAR(Sheet1!A187)-1),100),"00")&amp;"-"&amp;TEXT(MOD(IF(MONTH(Sheet1!A187)&gt;=4,YEAR(Sheet1!A187),YEAR(Sheet1!A187)-1)+1,100),"00"),"")</f>
        <v>FY25-26</v>
      </c>
      <c r="B187" s="44" t="str">
        <f>IFERROR("Q"&amp;IF(MONTH(Sheet1!A187)&gt;=4,IF(MONTH(Sheet1!A187)&lt;=6,1,IF(MONTH(Sheet1!A187)&lt;=9,2,3)),4),"")</f>
        <v>Q2</v>
      </c>
      <c r="C187" s="43" t="str">
        <f>IFERROR(Sheet1!C187,0)</f>
        <v>S.A</v>
      </c>
      <c r="D187" s="43" t="str">
        <f>IFERROR(Sheet1!F187,0)</f>
        <v>Columbia</v>
      </c>
      <c r="E187" s="43" t="str">
        <f>IFERROR(Sheet1!E187,0)</f>
        <v>LLANTAS NARINO SAS, Columbia</v>
      </c>
      <c r="F187" s="43" t="str">
        <f>IFERROR(IF(UPPER(TRIM(Sheet1!J187))="NH","Nhava Sheva",IF(UPPER(TRIM(Sheet1!J187))="ICD","ICD Dhannad",IF(UPPER(TRIM(Sheet1!J187))="TIHI","ICD Tihi",Sheet1!J187))),0)</f>
        <v>Nhava Sheva</v>
      </c>
      <c r="G187" s="43" t="str">
        <f>IFERROR(Sheet1!M187,0)</f>
        <v>Buenaventura</v>
      </c>
      <c r="H187" s="43" t="str">
        <f>IFERROR(Sheet1!H187,0)</f>
        <v>Sanjay Forwarder</v>
      </c>
      <c r="I187" s="43" t="str">
        <f>IFERROR(Sheet1!G187,0)</f>
        <v>CIF</v>
      </c>
      <c r="J187" s="43" t="str">
        <f>IFERROR(Sheet1!K187,0)</f>
        <v>Maersk</v>
      </c>
      <c r="K187" s="45">
        <f>IFERROR(Sheet1!A187,0)</f>
        <v>45900</v>
      </c>
      <c r="L187" s="45">
        <f>IFERROR(Sheet1!I187,0)</f>
        <v>45898</v>
      </c>
      <c r="M187" s="47" t="str">
        <f>IFERROR(Sheet1!P187,0)</f>
        <v>NA</v>
      </c>
      <c r="N187" s="46">
        <f>IFERROR(IF(ISNUMBER(Sheet1!N187),Sheet1!N187,0),0)</f>
        <v>2550</v>
      </c>
      <c r="O187" s="46">
        <f>IFERROR(IF(TRIM(F187)="Nhava Sheva",SUMPRODUCT((UPPER(TRIM('Origin Costs'!$A$5:$A$44))=UPPER(TRIM(J187)))*'Origin Costs'!$C$5:$C$44),IF(TRIM(F187)="ICD Tihi",SUMPRODUCT((UPPER(TRIM('Origin Costs'!$A$49:$A$88))=UPPER(TRIM(J187)))*'Origin Costs'!$C$49:$C$88),IF(TRIM(F187)="ICD Dhannad",SUMPRODUCT((UPPER(TRIM('Origin Costs'!$A$93:$A$132))=UPPER(TRIM(J187)))*'Origin Costs'!$C$93:$C$132),0))),0)</f>
        <v>1148.588888888889</v>
      </c>
      <c r="P187" s="46">
        <f t="shared" si="2"/>
        <v>3698.588888888889</v>
      </c>
      <c r="Q187" s="13" t="str">
        <f>IF(OR(Dashboard!$C$4="All Customers",$E187=Dashboard!$C$4),IF($E187="","",$P187+ROW()/10000000),"")</f>
        <v/>
      </c>
    </row>
    <row r="188" spans="1:17" ht="14.25" customHeight="1" x14ac:dyDescent="0.3">
      <c r="A188" s="39" t="str">
        <f>IFERROR("FY"&amp;TEXT(MOD(IF(MONTH(Sheet1!A188)&gt;=4,YEAR(Sheet1!A188),YEAR(Sheet1!A188)-1),100),"00")&amp;"-"&amp;TEXT(MOD(IF(MONTH(Sheet1!A188)&gt;=4,YEAR(Sheet1!A188),YEAR(Sheet1!A188)-1)+1,100),"00"),"")</f>
        <v>FY25-26</v>
      </c>
      <c r="B188" s="40" t="str">
        <f>IFERROR("Q"&amp;IF(MONTH(Sheet1!A188)&gt;=4,IF(MONTH(Sheet1!A188)&lt;=6,1,IF(MONTH(Sheet1!A188)&lt;=9,2,3)),4),"")</f>
        <v>Q2</v>
      </c>
      <c r="C188" s="39" t="str">
        <f>IFERROR(Sheet1!C188,0)</f>
        <v>Europe</v>
      </c>
      <c r="D188" s="39" t="str">
        <f>IFERROR(Sheet1!F188,0)</f>
        <v>Bulgaria</v>
      </c>
      <c r="E188" s="39" t="str">
        <f>IFERROR(Sheet1!E188,0)</f>
        <v>BAHWAN MOTORS AUTO ACCESSORIES TRAD</v>
      </c>
      <c r="F188" s="39" t="str">
        <f>IFERROR(IF(UPPER(TRIM(Sheet1!J188))="NH","Nhava Sheva",IF(UPPER(TRIM(Sheet1!J188))="ICD","ICD Dhannad",IF(UPPER(TRIM(Sheet1!J188))="TIHI","ICD Tihi",Sheet1!J188))),0)</f>
        <v>Nhava Sheva</v>
      </c>
      <c r="G188" s="39" t="str">
        <f>IFERROR(Sheet1!M188,0)</f>
        <v>Thessaloniki</v>
      </c>
      <c r="H188" s="39" t="str">
        <f>IFERROR(Sheet1!H188,0)</f>
        <v>Sevenseas Global</v>
      </c>
      <c r="I188" s="39" t="str">
        <f>IFERROR(Sheet1!G188,0)</f>
        <v>DDP</v>
      </c>
      <c r="J188" s="39" t="str">
        <f>IFERROR(Sheet1!K188,0)</f>
        <v>Evergreen</v>
      </c>
      <c r="K188" s="41">
        <f>IFERROR(Sheet1!A188,0)</f>
        <v>45900</v>
      </c>
      <c r="L188" s="41">
        <f>IFERROR(Sheet1!I188,0)</f>
        <v>45897</v>
      </c>
      <c r="M188" s="47" t="str">
        <f>IFERROR(Sheet1!P188,0)</f>
        <v>NA</v>
      </c>
      <c r="N188" s="42">
        <f>IFERROR(IF(ISNUMBER(Sheet1!N188),Sheet1!N188,0),0)</f>
        <v>4404</v>
      </c>
      <c r="O188" s="42">
        <f>IFERROR(IF(TRIM(F188)="Nhava Sheva",SUMPRODUCT((UPPER(TRIM('Origin Costs'!$A$5:$A$44))=UPPER(TRIM(J188)))*'Origin Costs'!$C$5:$C$44),IF(TRIM(F188)="ICD Tihi",SUMPRODUCT((UPPER(TRIM('Origin Costs'!$A$49:$A$88))=UPPER(TRIM(J188)))*'Origin Costs'!$C$49:$C$88),IF(TRIM(F188)="ICD Dhannad",SUMPRODUCT((UPPER(TRIM('Origin Costs'!$A$93:$A$132))=UPPER(TRIM(J188)))*'Origin Costs'!$C$93:$C$132),0))),0)</f>
        <v>0</v>
      </c>
      <c r="P188" s="42">
        <f t="shared" si="2"/>
        <v>4404</v>
      </c>
      <c r="Q188" s="13" t="str">
        <f>IF(OR(Dashboard!$C$4="All Customers",$E188=Dashboard!$C$4),IF($E188="","",$P188+ROW()/10000000),"")</f>
        <v/>
      </c>
    </row>
    <row r="189" spans="1:17" ht="14.25" customHeight="1" x14ac:dyDescent="0.3">
      <c r="A189" s="43" t="str">
        <f>IFERROR("FY"&amp;TEXT(MOD(IF(MONTH(Sheet1!A189)&gt;=4,YEAR(Sheet1!A189),YEAR(Sheet1!A189)-1),100),"00")&amp;"-"&amp;TEXT(MOD(IF(MONTH(Sheet1!A189)&gt;=4,YEAR(Sheet1!A189),YEAR(Sheet1!A189)-1)+1,100),"00"),"")</f>
        <v>FY25-26</v>
      </c>
      <c r="B189" s="44" t="str">
        <f>IFERROR("Q"&amp;IF(MONTH(Sheet1!A189)&gt;=4,IF(MONTH(Sheet1!A189)&lt;=6,1,IF(MONTH(Sheet1!A189)&lt;=9,2,3)),4),"")</f>
        <v>Q2</v>
      </c>
      <c r="C189" s="43" t="str">
        <f>IFERROR(Sheet1!C189,0)</f>
        <v>Europe</v>
      </c>
      <c r="D189" s="43" t="str">
        <f>IFERROR(Sheet1!F189,0)</f>
        <v>Bulgaria</v>
      </c>
      <c r="E189" s="43" t="str">
        <f>IFERROR(Sheet1!E189,0)</f>
        <v>BAHWAN MOTORS AUTO ACCESSORIES TRAD</v>
      </c>
      <c r="F189" s="43" t="str">
        <f>IFERROR(IF(UPPER(TRIM(Sheet1!J189))="NH","Nhava Sheva",IF(UPPER(TRIM(Sheet1!J189))="ICD","ICD Dhannad",IF(UPPER(TRIM(Sheet1!J189))="TIHI","ICD Tihi",Sheet1!J189))),0)</f>
        <v>Nhava Sheva</v>
      </c>
      <c r="G189" s="43" t="str">
        <f>IFERROR(Sheet1!M189,0)</f>
        <v>Thessaloniki</v>
      </c>
      <c r="H189" s="43" t="str">
        <f>IFERROR(Sheet1!H189,0)</f>
        <v>Sevenseas Global</v>
      </c>
      <c r="I189" s="43" t="str">
        <f>IFERROR(Sheet1!G189,0)</f>
        <v>DDP</v>
      </c>
      <c r="J189" s="43" t="str">
        <f>IFERROR(Sheet1!K189,0)</f>
        <v>Evergreen</v>
      </c>
      <c r="K189" s="45">
        <f>IFERROR(Sheet1!A189,0)</f>
        <v>45900</v>
      </c>
      <c r="L189" s="45">
        <f>IFERROR(Sheet1!I189,0)</f>
        <v>45897</v>
      </c>
      <c r="M189" s="47" t="str">
        <f>IFERROR(Sheet1!P189,0)</f>
        <v>NA</v>
      </c>
      <c r="N189" s="46">
        <f>IFERROR(IF(ISNUMBER(Sheet1!N189),Sheet1!N189,0),0)</f>
        <v>4404</v>
      </c>
      <c r="O189" s="46">
        <f>IFERROR(IF(TRIM(F189)="Nhava Sheva",SUMPRODUCT((UPPER(TRIM('Origin Costs'!$A$5:$A$44))=UPPER(TRIM(J189)))*'Origin Costs'!$C$5:$C$44),IF(TRIM(F189)="ICD Tihi",SUMPRODUCT((UPPER(TRIM('Origin Costs'!$A$49:$A$88))=UPPER(TRIM(J189)))*'Origin Costs'!$C$49:$C$88),IF(TRIM(F189)="ICD Dhannad",SUMPRODUCT((UPPER(TRIM('Origin Costs'!$A$93:$A$132))=UPPER(TRIM(J189)))*'Origin Costs'!$C$93:$C$132),0))),0)</f>
        <v>0</v>
      </c>
      <c r="P189" s="46">
        <f t="shared" si="2"/>
        <v>4404</v>
      </c>
      <c r="Q189" s="13" t="str">
        <f>IF(OR(Dashboard!$C$4="All Customers",$E189=Dashboard!$C$4),IF($E189="","",$P189+ROW()/10000000),"")</f>
        <v/>
      </c>
    </row>
    <row r="190" spans="1:17" ht="14.25" customHeight="1" x14ac:dyDescent="0.3">
      <c r="A190" s="39" t="str">
        <f>IFERROR("FY"&amp;TEXT(MOD(IF(MONTH(Sheet1!A190)&gt;=4,YEAR(Sheet1!A190),YEAR(Sheet1!A190)-1),100),"00")&amp;"-"&amp;TEXT(MOD(IF(MONTH(Sheet1!A190)&gt;=4,YEAR(Sheet1!A190),YEAR(Sheet1!A190)-1)+1,100),"00"),"")</f>
        <v>FY25-26</v>
      </c>
      <c r="B190" s="40" t="str">
        <f>IFERROR("Q"&amp;IF(MONTH(Sheet1!A190)&gt;=4,IF(MONTH(Sheet1!A190)&lt;=6,1,IF(MONTH(Sheet1!A190)&lt;=9,2,3)),4),"")</f>
        <v>Q2</v>
      </c>
      <c r="C190" s="39" t="str">
        <f>IFERROR(Sheet1!C190,0)</f>
        <v>Europe</v>
      </c>
      <c r="D190" s="39" t="str">
        <f>IFERROR(Sheet1!F190,0)</f>
        <v>Bulgaria</v>
      </c>
      <c r="E190" s="39" t="str">
        <f>IFERROR(Sheet1!E190,0)</f>
        <v>BAHWAN MOTORS AUTO ACCESSORIES TRAD</v>
      </c>
      <c r="F190" s="39" t="str">
        <f>IFERROR(IF(UPPER(TRIM(Sheet1!J190))="NH","Nhava Sheva",IF(UPPER(TRIM(Sheet1!J190))="ICD","ICD Dhannad",IF(UPPER(TRIM(Sheet1!J190))="TIHI","ICD Tihi",Sheet1!J190))),0)</f>
        <v>Nhava Sheva</v>
      </c>
      <c r="G190" s="39" t="str">
        <f>IFERROR(Sheet1!M190,0)</f>
        <v>Thessaloniki</v>
      </c>
      <c r="H190" s="39" t="str">
        <f>IFERROR(Sheet1!H190,0)</f>
        <v>Sevenseas Global</v>
      </c>
      <c r="I190" s="39" t="str">
        <f>IFERROR(Sheet1!G190,0)</f>
        <v>DDP</v>
      </c>
      <c r="J190" s="39" t="str">
        <f>IFERROR(Sheet1!K190,0)</f>
        <v>Evergreen</v>
      </c>
      <c r="K190" s="41">
        <f>IFERROR(Sheet1!A190,0)</f>
        <v>45900</v>
      </c>
      <c r="L190" s="41">
        <f>IFERROR(Sheet1!I190,0)</f>
        <v>45897</v>
      </c>
      <c r="M190" s="47" t="str">
        <f>IFERROR(Sheet1!P190,0)</f>
        <v>NA</v>
      </c>
      <c r="N190" s="42">
        <f>IFERROR(IF(ISNUMBER(Sheet1!N190),Sheet1!N190,0),0)</f>
        <v>4404</v>
      </c>
      <c r="O190" s="42">
        <f>IFERROR(IF(TRIM(F190)="Nhava Sheva",SUMPRODUCT((UPPER(TRIM('Origin Costs'!$A$5:$A$44))=UPPER(TRIM(J190)))*'Origin Costs'!$C$5:$C$44),IF(TRIM(F190)="ICD Tihi",SUMPRODUCT((UPPER(TRIM('Origin Costs'!$A$49:$A$88))=UPPER(TRIM(J190)))*'Origin Costs'!$C$49:$C$88),IF(TRIM(F190)="ICD Dhannad",SUMPRODUCT((UPPER(TRIM('Origin Costs'!$A$93:$A$132))=UPPER(TRIM(J190)))*'Origin Costs'!$C$93:$C$132),0))),0)</f>
        <v>0</v>
      </c>
      <c r="P190" s="42">
        <f t="shared" si="2"/>
        <v>4404</v>
      </c>
      <c r="Q190" s="13" t="str">
        <f>IF(OR(Dashboard!$C$4="All Customers",$E190=Dashboard!$C$4),IF($E190="","",$P190+ROW()/10000000),"")</f>
        <v/>
      </c>
    </row>
    <row r="191" spans="1:17" ht="14.25" customHeight="1" x14ac:dyDescent="0.3">
      <c r="A191" s="43" t="str">
        <f>IFERROR("FY"&amp;TEXT(MOD(IF(MONTH(Sheet1!A191)&gt;=4,YEAR(Sheet1!A191),YEAR(Sheet1!A191)-1),100),"00")&amp;"-"&amp;TEXT(MOD(IF(MONTH(Sheet1!A191)&gt;=4,YEAR(Sheet1!A191),YEAR(Sheet1!A191)-1)+1,100),"00"),"")</f>
        <v>FY25-26</v>
      </c>
      <c r="B191" s="44" t="str">
        <f>IFERROR("Q"&amp;IF(MONTH(Sheet1!A191)&gt;=4,IF(MONTH(Sheet1!A191)&lt;=6,1,IF(MONTH(Sheet1!A191)&lt;=9,2,3)),4),"")</f>
        <v>Q2</v>
      </c>
      <c r="C191" s="43" t="str">
        <f>IFERROR(Sheet1!C191,0)</f>
        <v>S.A</v>
      </c>
      <c r="D191" s="43" t="str">
        <f>IFERROR(Sheet1!F191,0)</f>
        <v>Mexico</v>
      </c>
      <c r="E191" s="43" t="str">
        <f>IFERROR(Sheet1!E191,0)</f>
        <v>PC Tyres, Mexico</v>
      </c>
      <c r="F191" s="43" t="str">
        <f>IFERROR(IF(UPPER(TRIM(Sheet1!J191))="NH","Nhava Sheva",IF(UPPER(TRIM(Sheet1!J191))="ICD","ICD Dhannad",IF(UPPER(TRIM(Sheet1!J191))="TIHI","ICD Tihi",Sheet1!J191))),0)</f>
        <v>Nhava Sheva</v>
      </c>
      <c r="G191" s="43" t="str">
        <f>IFERROR(Sheet1!M191,0)</f>
        <v>Manzanillo, MX</v>
      </c>
      <c r="H191" s="43" t="str">
        <f>IFERROR(Sheet1!H191,0)</f>
        <v>Sanjay Forwarder</v>
      </c>
      <c r="I191" s="43" t="str">
        <f>IFERROR(Sheet1!G191,0)</f>
        <v>CIF</v>
      </c>
      <c r="J191" s="43" t="str">
        <f>IFERROR(Sheet1!K191,0)</f>
        <v>Maersk</v>
      </c>
      <c r="K191" s="45">
        <f>IFERROR(Sheet1!A191,0)</f>
        <v>45903</v>
      </c>
      <c r="L191" s="45">
        <f>IFERROR(Sheet1!I191,0)</f>
        <v>45901</v>
      </c>
      <c r="M191" s="47" t="str">
        <f>IFERROR(Sheet1!P191,0)</f>
        <v>NA</v>
      </c>
      <c r="N191" s="46">
        <f>IFERROR(IF(ISNUMBER(Sheet1!N191),Sheet1!N191,0),0)</f>
        <v>2650</v>
      </c>
      <c r="O191" s="46">
        <f>IFERROR(IF(TRIM(F191)="Nhava Sheva",SUMPRODUCT((UPPER(TRIM('Origin Costs'!$A$5:$A$44))=UPPER(TRIM(J191)))*'Origin Costs'!$C$5:$C$44),IF(TRIM(F191)="ICD Tihi",SUMPRODUCT((UPPER(TRIM('Origin Costs'!$A$49:$A$88))=UPPER(TRIM(J191)))*'Origin Costs'!$C$49:$C$88),IF(TRIM(F191)="ICD Dhannad",SUMPRODUCT((UPPER(TRIM('Origin Costs'!$A$93:$A$132))=UPPER(TRIM(J191)))*'Origin Costs'!$C$93:$C$132),0))),0)</f>
        <v>1148.588888888889</v>
      </c>
      <c r="P191" s="46">
        <f t="shared" si="2"/>
        <v>3798.588888888889</v>
      </c>
      <c r="Q191" s="13" t="str">
        <f>IF(OR(Dashboard!$C$4="All Customers",$E191=Dashboard!$C$4),IF($E191="","",$P191+ROW()/10000000),"")</f>
        <v/>
      </c>
    </row>
    <row r="192" spans="1:17" ht="14.25" customHeight="1" x14ac:dyDescent="0.3">
      <c r="A192" s="39" t="str">
        <f>IFERROR("FY"&amp;TEXT(MOD(IF(MONTH(Sheet1!A192)&gt;=4,YEAR(Sheet1!A192),YEAR(Sheet1!A192)-1),100),"00")&amp;"-"&amp;TEXT(MOD(IF(MONTH(Sheet1!A192)&gt;=4,YEAR(Sheet1!A192),YEAR(Sheet1!A192)-1)+1,100),"00"),"")</f>
        <v>FY25-26</v>
      </c>
      <c r="B192" s="40" t="str">
        <f>IFERROR("Q"&amp;IF(MONTH(Sheet1!A192)&gt;=4,IF(MONTH(Sheet1!A192)&lt;=6,1,IF(MONTH(Sheet1!A192)&lt;=9,2,3)),4),"")</f>
        <v>Q2</v>
      </c>
      <c r="C192" s="39" t="str">
        <f>IFERROR(Sheet1!C192,0)</f>
        <v>S.A</v>
      </c>
      <c r="D192" s="39" t="str">
        <f>IFERROR(Sheet1!F192,0)</f>
        <v>Panama</v>
      </c>
      <c r="E192" s="39" t="str">
        <f>IFERROR(Sheet1!E192,0)</f>
        <v>Suministros y Exportaciones Primor</v>
      </c>
      <c r="F192" s="39" t="str">
        <f>IFERROR(IF(UPPER(TRIM(Sheet1!J192))="NH","Nhava Sheva",IF(UPPER(TRIM(Sheet1!J192))="ICD","ICD Dhannad",IF(UPPER(TRIM(Sheet1!J192))="TIHI","ICD Tihi",Sheet1!J192))),0)</f>
        <v>ICD Dhannad</v>
      </c>
      <c r="G192" s="39" t="str">
        <f>IFERROR(Sheet1!M192,0)</f>
        <v>Colon Free Zone</v>
      </c>
      <c r="H192" s="39" t="str">
        <f>IFERROR(Sheet1!H192,0)</f>
        <v>Sanjay Forwarder</v>
      </c>
      <c r="I192" s="39" t="str">
        <f>IFERROR(Sheet1!G192,0)</f>
        <v>CIF</v>
      </c>
      <c r="J192" s="39" t="str">
        <f>IFERROR(Sheet1!K192,0)</f>
        <v>Maersk</v>
      </c>
      <c r="K192" s="41">
        <f>IFERROR(Sheet1!A192,0)</f>
        <v>45903</v>
      </c>
      <c r="L192" s="41">
        <f>IFERROR(Sheet1!I192,0)</f>
        <v>45902</v>
      </c>
      <c r="M192" s="47" t="str">
        <f>IFERROR(Sheet1!P192,0)</f>
        <v>NA</v>
      </c>
      <c r="N192" s="42">
        <f>IFERROR(IF(ISNUMBER(Sheet1!N192),Sheet1!N192,0),0)</f>
        <v>2850</v>
      </c>
      <c r="O192" s="42">
        <f>IFERROR(IF(TRIM(F192)="Nhava Sheva",SUMPRODUCT((UPPER(TRIM('Origin Costs'!$A$5:$A$44))=UPPER(TRIM(J192)))*'Origin Costs'!$C$5:$C$44),IF(TRIM(F192)="ICD Tihi",SUMPRODUCT((UPPER(TRIM('Origin Costs'!$A$49:$A$88))=UPPER(TRIM(J192)))*'Origin Costs'!$C$49:$C$88),IF(TRIM(F192)="ICD Dhannad",SUMPRODUCT((UPPER(TRIM('Origin Costs'!$A$93:$A$132))=UPPER(TRIM(J192)))*'Origin Costs'!$C$93:$C$132),0))),0)</f>
        <v>0</v>
      </c>
      <c r="P192" s="42">
        <f t="shared" si="2"/>
        <v>2850</v>
      </c>
      <c r="Q192" s="13" t="str">
        <f>IF(OR(Dashboard!$C$4="All Customers",$E192=Dashboard!$C$4),IF($E192="","",$P192+ROW()/10000000),"")</f>
        <v/>
      </c>
    </row>
    <row r="193" spans="1:17" ht="14.25" customHeight="1" x14ac:dyDescent="0.3">
      <c r="A193" s="43" t="str">
        <f>IFERROR("FY"&amp;TEXT(MOD(IF(MONTH(Sheet1!A193)&gt;=4,YEAR(Sheet1!A193),YEAR(Sheet1!A193)-1),100),"00")&amp;"-"&amp;TEXT(MOD(IF(MONTH(Sheet1!A193)&gt;=4,YEAR(Sheet1!A193),YEAR(Sheet1!A193)-1)+1,100),"00"),"")</f>
        <v>FY25-26</v>
      </c>
      <c r="B193" s="44" t="str">
        <f>IFERROR("Q"&amp;IF(MONTH(Sheet1!A193)&gt;=4,IF(MONTH(Sheet1!A193)&lt;=6,1,IF(MONTH(Sheet1!A193)&lt;=9,2,3)),4),"")</f>
        <v>Q2</v>
      </c>
      <c r="C193" s="43" t="str">
        <f>IFERROR(Sheet1!C193,0)</f>
        <v>S.A</v>
      </c>
      <c r="D193" s="43" t="str">
        <f>IFERROR(Sheet1!F193,0)</f>
        <v>Panama</v>
      </c>
      <c r="E193" s="43" t="str">
        <f>IFERROR(Sheet1!E193,0)</f>
        <v>Suministros y Exportaciones Primor</v>
      </c>
      <c r="F193" s="43" t="str">
        <f>IFERROR(IF(UPPER(TRIM(Sheet1!J193))="NH","Nhava Sheva",IF(UPPER(TRIM(Sheet1!J193))="ICD","ICD Dhannad",IF(UPPER(TRIM(Sheet1!J193))="TIHI","ICD Tihi",Sheet1!J193))),0)</f>
        <v>ICD Dhannad</v>
      </c>
      <c r="G193" s="43" t="str">
        <f>IFERROR(Sheet1!M193,0)</f>
        <v>Colon Free Zone</v>
      </c>
      <c r="H193" s="43" t="str">
        <f>IFERROR(Sheet1!H193,0)</f>
        <v>Sanjay Forwarder</v>
      </c>
      <c r="I193" s="43" t="str">
        <f>IFERROR(Sheet1!G193,0)</f>
        <v>CIF</v>
      </c>
      <c r="J193" s="43" t="str">
        <f>IFERROR(Sheet1!K193,0)</f>
        <v>Maersk</v>
      </c>
      <c r="K193" s="45">
        <f>IFERROR(Sheet1!A193,0)</f>
        <v>45903</v>
      </c>
      <c r="L193" s="45">
        <f>IFERROR(Sheet1!I193,0)</f>
        <v>45902</v>
      </c>
      <c r="M193" s="47" t="str">
        <f>IFERROR(Sheet1!P193,0)</f>
        <v>NA</v>
      </c>
      <c r="N193" s="46">
        <f>IFERROR(IF(ISNUMBER(Sheet1!N193),Sheet1!N193,0),0)</f>
        <v>2850</v>
      </c>
      <c r="O193" s="46">
        <f>IFERROR(IF(TRIM(F193)="Nhava Sheva",SUMPRODUCT((UPPER(TRIM('Origin Costs'!$A$5:$A$44))=UPPER(TRIM(J193)))*'Origin Costs'!$C$5:$C$44),IF(TRIM(F193)="ICD Tihi",SUMPRODUCT((UPPER(TRIM('Origin Costs'!$A$49:$A$88))=UPPER(TRIM(J193)))*'Origin Costs'!$C$49:$C$88),IF(TRIM(F193)="ICD Dhannad",SUMPRODUCT((UPPER(TRIM('Origin Costs'!$A$93:$A$132))=UPPER(TRIM(J193)))*'Origin Costs'!$C$93:$C$132),0))),0)</f>
        <v>0</v>
      </c>
      <c r="P193" s="46">
        <f t="shared" si="2"/>
        <v>2850</v>
      </c>
      <c r="Q193" s="13" t="str">
        <f>IF(OR(Dashboard!$C$4="All Customers",$E193=Dashboard!$C$4),IF($E193="","",$P193+ROW()/10000000),"")</f>
        <v/>
      </c>
    </row>
    <row r="194" spans="1:17" ht="14.25" customHeight="1" x14ac:dyDescent="0.3">
      <c r="A194" s="39" t="str">
        <f>IFERROR("FY"&amp;TEXT(MOD(IF(MONTH(Sheet1!A194)&gt;=4,YEAR(Sheet1!A194),YEAR(Sheet1!A194)-1),100),"00")&amp;"-"&amp;TEXT(MOD(IF(MONTH(Sheet1!A194)&gt;=4,YEAR(Sheet1!A194),YEAR(Sheet1!A194)-1)+1,100),"00"),"")</f>
        <v>FY25-26</v>
      </c>
      <c r="B194" s="40" t="str">
        <f>IFERROR("Q"&amp;IF(MONTH(Sheet1!A194)&gt;=4,IF(MONTH(Sheet1!A194)&lt;=6,1,IF(MONTH(Sheet1!A194)&lt;=9,2,3)),4),"")</f>
        <v>Q2</v>
      </c>
      <c r="C194" s="39" t="str">
        <f>IFERROR(Sheet1!C194,0)</f>
        <v>S.A</v>
      </c>
      <c r="D194" s="39" t="str">
        <f>IFERROR(Sheet1!F194,0)</f>
        <v>Panama</v>
      </c>
      <c r="E194" s="39" t="str">
        <f>IFERROR(Sheet1!E194,0)</f>
        <v>Suministros y Exportaciones Primor</v>
      </c>
      <c r="F194" s="39" t="str">
        <f>IFERROR(IF(UPPER(TRIM(Sheet1!J194))="NH","Nhava Sheva",IF(UPPER(TRIM(Sheet1!J194))="ICD","ICD Dhannad",IF(UPPER(TRIM(Sheet1!J194))="TIHI","ICD Tihi",Sheet1!J194))),0)</f>
        <v>ICD Dhannad</v>
      </c>
      <c r="G194" s="39" t="str">
        <f>IFERROR(Sheet1!M194,0)</f>
        <v>Colon Free Zone</v>
      </c>
      <c r="H194" s="39" t="str">
        <f>IFERROR(Sheet1!H194,0)</f>
        <v>Sanjay Forwarder</v>
      </c>
      <c r="I194" s="39" t="str">
        <f>IFERROR(Sheet1!G194,0)</f>
        <v>CIF</v>
      </c>
      <c r="J194" s="39" t="str">
        <f>IFERROR(Sheet1!K194,0)</f>
        <v>Maersk</v>
      </c>
      <c r="K194" s="41">
        <f>IFERROR(Sheet1!A194,0)</f>
        <v>45903</v>
      </c>
      <c r="L194" s="41">
        <f>IFERROR(Sheet1!I194,0)</f>
        <v>45902</v>
      </c>
      <c r="M194" s="47" t="str">
        <f>IFERROR(Sheet1!P194,0)</f>
        <v>NA</v>
      </c>
      <c r="N194" s="42">
        <f>IFERROR(IF(ISNUMBER(Sheet1!N194),Sheet1!N194,0),0)</f>
        <v>2850</v>
      </c>
      <c r="O194" s="42">
        <f>IFERROR(IF(TRIM(F194)="Nhava Sheva",SUMPRODUCT((UPPER(TRIM('Origin Costs'!$A$5:$A$44))=UPPER(TRIM(J194)))*'Origin Costs'!$C$5:$C$44),IF(TRIM(F194)="ICD Tihi",SUMPRODUCT((UPPER(TRIM('Origin Costs'!$A$49:$A$88))=UPPER(TRIM(J194)))*'Origin Costs'!$C$49:$C$88),IF(TRIM(F194)="ICD Dhannad",SUMPRODUCT((UPPER(TRIM('Origin Costs'!$A$93:$A$132))=UPPER(TRIM(J194)))*'Origin Costs'!$C$93:$C$132),0))),0)</f>
        <v>0</v>
      </c>
      <c r="P194" s="42">
        <f t="shared" ref="P194:P257" si="3">N194+O194</f>
        <v>2850</v>
      </c>
      <c r="Q194" s="13" t="str">
        <f>IF(OR(Dashboard!$C$4="All Customers",$E194=Dashboard!$C$4),IF($E194="","",$P194+ROW()/10000000),"")</f>
        <v/>
      </c>
    </row>
    <row r="195" spans="1:17" ht="14.25" customHeight="1" x14ac:dyDescent="0.3">
      <c r="A195" s="43" t="str">
        <f>IFERROR("FY"&amp;TEXT(MOD(IF(MONTH(Sheet1!A195)&gt;=4,YEAR(Sheet1!A195),YEAR(Sheet1!A195)-1),100),"00")&amp;"-"&amp;TEXT(MOD(IF(MONTH(Sheet1!A195)&gt;=4,YEAR(Sheet1!A195),YEAR(Sheet1!A195)-1)+1,100),"00"),"")</f>
        <v>FY25-26</v>
      </c>
      <c r="B195" s="44" t="str">
        <f>IFERROR("Q"&amp;IF(MONTH(Sheet1!A195)&gt;=4,IF(MONTH(Sheet1!A195)&lt;=6,1,IF(MONTH(Sheet1!A195)&lt;=9,2,3)),4),"")</f>
        <v>Q2</v>
      </c>
      <c r="C195" s="43" t="str">
        <f>IFERROR(Sheet1!C195,0)</f>
        <v>MEA</v>
      </c>
      <c r="D195" s="43" t="str">
        <f>IFERROR(Sheet1!F195,0)</f>
        <v>Kuwait</v>
      </c>
      <c r="E195" s="43" t="str">
        <f>IFERROR(Sheet1!E195,0)</f>
        <v>Sharma International, Kuwait</v>
      </c>
      <c r="F195" s="43" t="str">
        <f>IFERROR(IF(UPPER(TRIM(Sheet1!J195))="NH","Nhava Sheva",IF(UPPER(TRIM(Sheet1!J195))="ICD","ICD Dhannad",IF(UPPER(TRIM(Sheet1!J195))="TIHI","ICD Tihi",Sheet1!J195))),0)</f>
        <v>Nhava Sheva</v>
      </c>
      <c r="G195" s="43" t="str">
        <f>IFERROR(Sheet1!M195,0)</f>
        <v>Shuaiba</v>
      </c>
      <c r="H195" s="43" t="str">
        <f>IFERROR(Sheet1!H195,0)</f>
        <v>Hind Freight</v>
      </c>
      <c r="I195" s="43" t="str">
        <f>IFERROR(Sheet1!G195,0)</f>
        <v>CIF</v>
      </c>
      <c r="J195" s="43" t="str">
        <f>IFERROR(Sheet1!K195,0)</f>
        <v>OOCL</v>
      </c>
      <c r="K195" s="45">
        <f>IFERROR(Sheet1!A195,0)</f>
        <v>45905</v>
      </c>
      <c r="L195" s="45">
        <f>IFERROR(Sheet1!I195,0)</f>
        <v>45903</v>
      </c>
      <c r="M195" s="47" t="str">
        <f>IFERROR(Sheet1!P195,0)</f>
        <v>NA</v>
      </c>
      <c r="N195" s="46">
        <f>IFERROR(IF(ISNUMBER(Sheet1!N195),Sheet1!N195,0),0)</f>
        <v>600</v>
      </c>
      <c r="O195" s="46">
        <f>IFERROR(IF(TRIM(F195)="Nhava Sheva",SUMPRODUCT((UPPER(TRIM('Origin Costs'!$A$5:$A$44))=UPPER(TRIM(J195)))*'Origin Costs'!$C$5:$C$44),IF(TRIM(F195)="ICD Tihi",SUMPRODUCT((UPPER(TRIM('Origin Costs'!$A$49:$A$88))=UPPER(TRIM(J195)))*'Origin Costs'!$C$49:$C$88),IF(TRIM(F195)="ICD Dhannad",SUMPRODUCT((UPPER(TRIM('Origin Costs'!$A$93:$A$132))=UPPER(TRIM(J195)))*'Origin Costs'!$C$93:$C$132),0))),0)</f>
        <v>0</v>
      </c>
      <c r="P195" s="46">
        <f t="shared" si="3"/>
        <v>600</v>
      </c>
      <c r="Q195" s="13" t="str">
        <f>IF(OR(Dashboard!$C$4="All Customers",$E195=Dashboard!$C$4),IF($E195="","",$P195+ROW()/10000000),"")</f>
        <v/>
      </c>
    </row>
    <row r="196" spans="1:17" ht="14.25" customHeight="1" x14ac:dyDescent="0.3">
      <c r="A196" s="39" t="str">
        <f>IFERROR("FY"&amp;TEXT(MOD(IF(MONTH(Sheet1!A196)&gt;=4,YEAR(Sheet1!A196),YEAR(Sheet1!A196)-1),100),"00")&amp;"-"&amp;TEXT(MOD(IF(MONTH(Sheet1!A196)&gt;=4,YEAR(Sheet1!A196),YEAR(Sheet1!A196)-1)+1,100),"00"),"")</f>
        <v>FY25-26</v>
      </c>
      <c r="B196" s="40" t="str">
        <f>IFERROR("Q"&amp;IF(MONTH(Sheet1!A196)&gt;=4,IF(MONTH(Sheet1!A196)&lt;=6,1,IF(MONTH(Sheet1!A196)&lt;=9,2,3)),4),"")</f>
        <v>Q2</v>
      </c>
      <c r="C196" s="39" t="str">
        <f>IFERROR(Sheet1!C196,0)</f>
        <v>S.A</v>
      </c>
      <c r="D196" s="39" t="str">
        <f>IFERROR(Sheet1!F196,0)</f>
        <v>Columbia</v>
      </c>
      <c r="E196" s="39" t="str">
        <f>IFERROR(Sheet1!E196,0)</f>
        <v>Acostallantas S.A, Colombia</v>
      </c>
      <c r="F196" s="39" t="str">
        <f>IFERROR(IF(UPPER(TRIM(Sheet1!J196))="NH","Nhava Sheva",IF(UPPER(TRIM(Sheet1!J196))="ICD","ICD Dhannad",IF(UPPER(TRIM(Sheet1!J196))="TIHI","ICD Tihi",Sheet1!J196))),0)</f>
        <v>ICD Dhannad</v>
      </c>
      <c r="G196" s="39" t="str">
        <f>IFERROR(Sheet1!M196,0)</f>
        <v>Buenaventura</v>
      </c>
      <c r="H196" s="39" t="str">
        <f>IFERROR(Sheet1!H196,0)</f>
        <v>Sanjay Forwarder</v>
      </c>
      <c r="I196" s="39" t="str">
        <f>IFERROR(Sheet1!G196,0)</f>
        <v>CIF</v>
      </c>
      <c r="J196" s="39" t="str">
        <f>IFERROR(Sheet1!K196,0)</f>
        <v>Maersk</v>
      </c>
      <c r="K196" s="41">
        <f>IFERROR(Sheet1!A196,0)</f>
        <v>45911</v>
      </c>
      <c r="L196" s="41">
        <f>IFERROR(Sheet1!I196,0)</f>
        <v>45909</v>
      </c>
      <c r="M196" s="47" t="str">
        <f>IFERROR(Sheet1!P196,0)</f>
        <v>NA</v>
      </c>
      <c r="N196" s="42">
        <f>IFERROR(IF(ISNUMBER(Sheet1!N196),Sheet1!N196,0),0)</f>
        <v>2550</v>
      </c>
      <c r="O196" s="42">
        <f>IFERROR(IF(TRIM(F196)="Nhava Sheva",SUMPRODUCT((UPPER(TRIM('Origin Costs'!$A$5:$A$44))=UPPER(TRIM(J196)))*'Origin Costs'!$C$5:$C$44),IF(TRIM(F196)="ICD Tihi",SUMPRODUCT((UPPER(TRIM('Origin Costs'!$A$49:$A$88))=UPPER(TRIM(J196)))*'Origin Costs'!$C$49:$C$88),IF(TRIM(F196)="ICD Dhannad",SUMPRODUCT((UPPER(TRIM('Origin Costs'!$A$93:$A$132))=UPPER(TRIM(J196)))*'Origin Costs'!$C$93:$C$132),0))),0)</f>
        <v>0</v>
      </c>
      <c r="P196" s="42">
        <f t="shared" si="3"/>
        <v>2550</v>
      </c>
      <c r="Q196" s="13">
        <f>IF(OR(Dashboard!$C$4="All Customers",$E196=Dashboard!$C$4),IF($E196="","",$P196+ROW()/10000000),"")</f>
        <v>2550.0000196000001</v>
      </c>
    </row>
    <row r="197" spans="1:17" ht="14.25" customHeight="1" x14ac:dyDescent="0.3">
      <c r="A197" s="43" t="str">
        <f>IFERROR("FY"&amp;TEXT(MOD(IF(MONTH(Sheet1!A197)&gt;=4,YEAR(Sheet1!A197),YEAR(Sheet1!A197)-1),100),"00")&amp;"-"&amp;TEXT(MOD(IF(MONTH(Sheet1!A197)&gt;=4,YEAR(Sheet1!A197),YEAR(Sheet1!A197)-1)+1,100),"00"),"")</f>
        <v>FY25-26</v>
      </c>
      <c r="B197" s="44" t="str">
        <f>IFERROR("Q"&amp;IF(MONTH(Sheet1!A197)&gt;=4,IF(MONTH(Sheet1!A197)&lt;=6,1,IF(MONTH(Sheet1!A197)&lt;=9,2,3)),4),"")</f>
        <v>Q2</v>
      </c>
      <c r="C197" s="43" t="str">
        <f>IFERROR(Sheet1!C197,0)</f>
        <v>S.A</v>
      </c>
      <c r="D197" s="43" t="str">
        <f>IFERROR(Sheet1!F197,0)</f>
        <v>Columbia</v>
      </c>
      <c r="E197" s="43" t="str">
        <f>IFERROR(Sheet1!E197,0)</f>
        <v>REDLLANTAS S.A</v>
      </c>
      <c r="F197" s="43" t="str">
        <f>IFERROR(IF(UPPER(TRIM(Sheet1!J197))="NH","Nhava Sheva",IF(UPPER(TRIM(Sheet1!J197))="ICD","ICD Dhannad",IF(UPPER(TRIM(Sheet1!J197))="TIHI","ICD Tihi",Sheet1!J197))),0)</f>
        <v>ICD Dhannad</v>
      </c>
      <c r="G197" s="43" t="str">
        <f>IFERROR(Sheet1!M197,0)</f>
        <v>Buenaventura</v>
      </c>
      <c r="H197" s="43" t="str">
        <f>IFERROR(Sheet1!H197,0)</f>
        <v>Mentor Freight</v>
      </c>
      <c r="I197" s="43" t="str">
        <f>IFERROR(Sheet1!G197,0)</f>
        <v>FOB</v>
      </c>
      <c r="J197" s="43" t="str">
        <f>IFERROR(Sheet1!K197,0)</f>
        <v>CMA</v>
      </c>
      <c r="K197" s="45">
        <f>IFERROR(Sheet1!A197,0)</f>
        <v>45912</v>
      </c>
      <c r="L197" s="45">
        <f>IFERROR(Sheet1!I197,0)</f>
        <v>45912</v>
      </c>
      <c r="M197" s="47" t="str">
        <f>IFERROR(Sheet1!P197,0)</f>
        <v>NA</v>
      </c>
      <c r="N197" s="46">
        <f>IFERROR(IF(ISNUMBER(Sheet1!N197),Sheet1!N197,0),0)</f>
        <v>0</v>
      </c>
      <c r="O197" s="46">
        <f>IFERROR(IF(TRIM(F197)="Nhava Sheva",SUMPRODUCT((UPPER(TRIM('Origin Costs'!$A$5:$A$44))=UPPER(TRIM(J197)))*'Origin Costs'!$C$5:$C$44),IF(TRIM(F197)="ICD Tihi",SUMPRODUCT((UPPER(TRIM('Origin Costs'!$A$49:$A$88))=UPPER(TRIM(J197)))*'Origin Costs'!$C$49:$C$88),IF(TRIM(F197)="ICD Dhannad",SUMPRODUCT((UPPER(TRIM('Origin Costs'!$A$93:$A$132))=UPPER(TRIM(J197)))*'Origin Costs'!$C$93:$C$132),0))),0)</f>
        <v>0</v>
      </c>
      <c r="P197" s="46">
        <f t="shared" si="3"/>
        <v>0</v>
      </c>
      <c r="Q197" s="13" t="str">
        <f>IF(OR(Dashboard!$C$4="All Customers",$E197=Dashboard!$C$4),IF($E197="","",$P197+ROW()/10000000),"")</f>
        <v/>
      </c>
    </row>
    <row r="198" spans="1:17" ht="14.25" customHeight="1" x14ac:dyDescent="0.3">
      <c r="A198" s="39" t="str">
        <f>IFERROR("FY"&amp;TEXT(MOD(IF(MONTH(Sheet1!A198)&gt;=4,YEAR(Sheet1!A198),YEAR(Sheet1!A198)-1),100),"00")&amp;"-"&amp;TEXT(MOD(IF(MONTH(Sheet1!A198)&gt;=4,YEAR(Sheet1!A198),YEAR(Sheet1!A198)-1)+1,100),"00"),"")</f>
        <v>FY25-26</v>
      </c>
      <c r="B198" s="40" t="str">
        <f>IFERROR("Q"&amp;IF(MONTH(Sheet1!A198)&gt;=4,IF(MONTH(Sheet1!A198)&lt;=6,1,IF(MONTH(Sheet1!A198)&lt;=9,2,3)),4),"")</f>
        <v>Q2</v>
      </c>
      <c r="C198" s="39" t="str">
        <f>IFERROR(Sheet1!C198,0)</f>
        <v>Europe</v>
      </c>
      <c r="D198" s="39" t="str">
        <f>IFERROR(Sheet1!F198,0)</f>
        <v>Poland</v>
      </c>
      <c r="E198" s="39" t="str">
        <f>IFERROR(Sheet1!E198,0)</f>
        <v>Inter Cars S.A., Poland</v>
      </c>
      <c r="F198" s="39" t="str">
        <f>IFERROR(IF(UPPER(TRIM(Sheet1!J198))="NH","Nhava Sheva",IF(UPPER(TRIM(Sheet1!J198))="ICD","ICD Dhannad",IF(UPPER(TRIM(Sheet1!J198))="TIHI","ICD Tihi",Sheet1!J198))),0)</f>
        <v>Nhava Sheva</v>
      </c>
      <c r="G198" s="39" t="str">
        <f>IFERROR(Sheet1!M198,0)</f>
        <v>Gdansk</v>
      </c>
      <c r="H198" s="39" t="str">
        <f>IFERROR(Sheet1!H198,0)</f>
        <v>VR Logistics</v>
      </c>
      <c r="I198" s="39" t="str">
        <f>IFERROR(Sheet1!G198,0)</f>
        <v>FOB</v>
      </c>
      <c r="J198" s="39" t="str">
        <f>IFERROR(Sheet1!K198,0)</f>
        <v>Maersk</v>
      </c>
      <c r="K198" s="41">
        <f>IFERROR(Sheet1!A198,0)</f>
        <v>45913</v>
      </c>
      <c r="L198" s="41">
        <f>IFERROR(Sheet1!I198,0)</f>
        <v>45911</v>
      </c>
      <c r="M198" s="47" t="str">
        <f>IFERROR(Sheet1!P198,0)</f>
        <v>NA</v>
      </c>
      <c r="N198" s="42">
        <f>IFERROR(IF(ISNUMBER(Sheet1!N198),Sheet1!N198,0),0)</f>
        <v>0</v>
      </c>
      <c r="O198" s="42">
        <f>IFERROR(IF(TRIM(F198)="Nhava Sheva",SUMPRODUCT((UPPER(TRIM('Origin Costs'!$A$5:$A$44))=UPPER(TRIM(J198)))*'Origin Costs'!$C$5:$C$44),IF(TRIM(F198)="ICD Tihi",SUMPRODUCT((UPPER(TRIM('Origin Costs'!$A$49:$A$88))=UPPER(TRIM(J198)))*'Origin Costs'!$C$49:$C$88),IF(TRIM(F198)="ICD Dhannad",SUMPRODUCT((UPPER(TRIM('Origin Costs'!$A$93:$A$132))=UPPER(TRIM(J198)))*'Origin Costs'!$C$93:$C$132),0))),0)</f>
        <v>1148.588888888889</v>
      </c>
      <c r="P198" s="42">
        <f t="shared" si="3"/>
        <v>1148.588888888889</v>
      </c>
      <c r="Q198" s="13" t="str">
        <f>IF(OR(Dashboard!$C$4="All Customers",$E198=Dashboard!$C$4),IF($E198="","",$P198+ROW()/10000000),"")</f>
        <v/>
      </c>
    </row>
    <row r="199" spans="1:17" ht="14.25" customHeight="1" x14ac:dyDescent="0.3">
      <c r="A199" s="43" t="str">
        <f>IFERROR("FY"&amp;TEXT(MOD(IF(MONTH(Sheet1!A199)&gt;=4,YEAR(Sheet1!A199),YEAR(Sheet1!A199)-1),100),"00")&amp;"-"&amp;TEXT(MOD(IF(MONTH(Sheet1!A199)&gt;=4,YEAR(Sheet1!A199),YEAR(Sheet1!A199)-1)+1,100),"00"),"")</f>
        <v>FY25-26</v>
      </c>
      <c r="B199" s="44" t="str">
        <f>IFERROR("Q"&amp;IF(MONTH(Sheet1!A199)&gt;=4,IF(MONTH(Sheet1!A199)&lt;=6,1,IF(MONTH(Sheet1!A199)&lt;=9,2,3)),4),"")</f>
        <v>Q2</v>
      </c>
      <c r="C199" s="43" t="str">
        <f>IFERROR(Sheet1!C199,0)</f>
        <v>Europe</v>
      </c>
      <c r="D199" s="43" t="str">
        <f>IFERROR(Sheet1!F199,0)</f>
        <v>UK</v>
      </c>
      <c r="E199" s="43" t="str">
        <f>IFERROR(Sheet1!E199,0)</f>
        <v>BA Bush Tyres</v>
      </c>
      <c r="F199" s="43" t="str">
        <f>IFERROR(IF(UPPER(TRIM(Sheet1!J199))="NH","Nhava Sheva",IF(UPPER(TRIM(Sheet1!J199))="ICD","ICD Dhannad",IF(UPPER(TRIM(Sheet1!J199))="TIHI","ICD Tihi",Sheet1!J199))),0)</f>
        <v>ICD Dhannad</v>
      </c>
      <c r="G199" s="43" t="str">
        <f>IFERROR(Sheet1!M199,0)</f>
        <v>London Gateway</v>
      </c>
      <c r="H199" s="43" t="str">
        <f>IFERROR(Sheet1!H199,0)</f>
        <v>Hellmann</v>
      </c>
      <c r="I199" s="43" t="str">
        <f>IFERROR(Sheet1!G199,0)</f>
        <v>CIF</v>
      </c>
      <c r="J199" s="43" t="str">
        <f>IFERROR(Sheet1!K199,0)</f>
        <v>Hapag</v>
      </c>
      <c r="K199" s="45">
        <f>IFERROR(Sheet1!A199,0)</f>
        <v>45915</v>
      </c>
      <c r="L199" s="45">
        <f>IFERROR(Sheet1!I199,0)</f>
        <v>45914</v>
      </c>
      <c r="M199" s="47" t="str">
        <f>IFERROR(Sheet1!P199,0)</f>
        <v>NA</v>
      </c>
      <c r="N199" s="46">
        <f>IFERROR(IF(ISNUMBER(Sheet1!N199),Sheet1!N199,0),0)</f>
        <v>1225</v>
      </c>
      <c r="O199" s="46">
        <f>IFERROR(IF(TRIM(F199)="Nhava Sheva",SUMPRODUCT((UPPER(TRIM('Origin Costs'!$A$5:$A$44))=UPPER(TRIM(J199)))*'Origin Costs'!$C$5:$C$44),IF(TRIM(F199)="ICD Tihi",SUMPRODUCT((UPPER(TRIM('Origin Costs'!$A$49:$A$88))=UPPER(TRIM(J199)))*'Origin Costs'!$C$49:$C$88),IF(TRIM(F199)="ICD Dhannad",SUMPRODUCT((UPPER(TRIM('Origin Costs'!$A$93:$A$132))=UPPER(TRIM(J199)))*'Origin Costs'!$C$93:$C$132),0))),0)</f>
        <v>1209.3888888888889</v>
      </c>
      <c r="P199" s="46">
        <f t="shared" si="3"/>
        <v>2434.3888888888887</v>
      </c>
      <c r="Q199" s="13" t="str">
        <f>IF(OR(Dashboard!$C$4="All Customers",$E199=Dashboard!$C$4),IF($E199="","",$P199+ROW()/10000000),"")</f>
        <v/>
      </c>
    </row>
    <row r="200" spans="1:17" ht="14.25" customHeight="1" x14ac:dyDescent="0.3">
      <c r="A200" s="39" t="str">
        <f>IFERROR("FY"&amp;TEXT(MOD(IF(MONTH(Sheet1!A200)&gt;=4,YEAR(Sheet1!A200),YEAR(Sheet1!A200)-1),100),"00")&amp;"-"&amp;TEXT(MOD(IF(MONTH(Sheet1!A200)&gt;=4,YEAR(Sheet1!A200),YEAR(Sheet1!A200)-1)+1,100),"00"),"")</f>
        <v>FY25-26</v>
      </c>
      <c r="B200" s="40" t="str">
        <f>IFERROR("Q"&amp;IF(MONTH(Sheet1!A200)&gt;=4,IF(MONTH(Sheet1!A200)&lt;=6,1,IF(MONTH(Sheet1!A200)&lt;=9,2,3)),4),"")</f>
        <v>Q2</v>
      </c>
      <c r="C200" s="39" t="str">
        <f>IFERROR(Sheet1!C200,0)</f>
        <v>S.A</v>
      </c>
      <c r="D200" s="39" t="str">
        <f>IFERROR(Sheet1!F200,0)</f>
        <v>Panama</v>
      </c>
      <c r="E200" s="39" t="str">
        <f>IFERROR(Sheet1!E200,0)</f>
        <v>Suministros y Exportaciones Primor</v>
      </c>
      <c r="F200" s="39" t="str">
        <f>IFERROR(IF(UPPER(TRIM(Sheet1!J200))="NH","Nhava Sheva",IF(UPPER(TRIM(Sheet1!J200))="ICD","ICD Dhannad",IF(UPPER(TRIM(Sheet1!J200))="TIHI","ICD Tihi",Sheet1!J200))),0)</f>
        <v>ICD Dhannad</v>
      </c>
      <c r="G200" s="39" t="str">
        <f>IFERROR(Sheet1!M200,0)</f>
        <v>Colon Free Zone</v>
      </c>
      <c r="H200" s="39" t="str">
        <f>IFERROR(Sheet1!H200,0)</f>
        <v>Sanjay Forwarder</v>
      </c>
      <c r="I200" s="39" t="str">
        <f>IFERROR(Sheet1!G200,0)</f>
        <v>CIF</v>
      </c>
      <c r="J200" s="39" t="str">
        <f>IFERROR(Sheet1!K200,0)</f>
        <v>Maersk</v>
      </c>
      <c r="K200" s="41">
        <f>IFERROR(Sheet1!A200,0)</f>
        <v>45916</v>
      </c>
      <c r="L200" s="41">
        <f>IFERROR(Sheet1!I200,0)</f>
        <v>45916</v>
      </c>
      <c r="M200" s="47" t="str">
        <f>IFERROR(Sheet1!P200,0)</f>
        <v>NA</v>
      </c>
      <c r="N200" s="42">
        <f>IFERROR(IF(ISNUMBER(Sheet1!N200),Sheet1!N200,0),0)</f>
        <v>2850</v>
      </c>
      <c r="O200" s="42">
        <f>IFERROR(IF(TRIM(F200)="Nhava Sheva",SUMPRODUCT((UPPER(TRIM('Origin Costs'!$A$5:$A$44))=UPPER(TRIM(J200)))*'Origin Costs'!$C$5:$C$44),IF(TRIM(F200)="ICD Tihi",SUMPRODUCT((UPPER(TRIM('Origin Costs'!$A$49:$A$88))=UPPER(TRIM(J200)))*'Origin Costs'!$C$49:$C$88),IF(TRIM(F200)="ICD Dhannad",SUMPRODUCT((UPPER(TRIM('Origin Costs'!$A$93:$A$132))=UPPER(TRIM(J200)))*'Origin Costs'!$C$93:$C$132),0))),0)</f>
        <v>0</v>
      </c>
      <c r="P200" s="42">
        <f t="shared" si="3"/>
        <v>2850</v>
      </c>
      <c r="Q200" s="13" t="str">
        <f>IF(OR(Dashboard!$C$4="All Customers",$E200=Dashboard!$C$4),IF($E200="","",$P200+ROW()/10000000),"")</f>
        <v/>
      </c>
    </row>
    <row r="201" spans="1:17" ht="14.25" customHeight="1" x14ac:dyDescent="0.3">
      <c r="A201" s="43" t="str">
        <f>IFERROR("FY"&amp;TEXT(MOD(IF(MONTH(Sheet1!A201)&gt;=4,YEAR(Sheet1!A201),YEAR(Sheet1!A201)-1),100),"00")&amp;"-"&amp;TEXT(MOD(IF(MONTH(Sheet1!A201)&gt;=4,YEAR(Sheet1!A201),YEAR(Sheet1!A201)-1)+1,100),"00"),"")</f>
        <v>FY25-26</v>
      </c>
      <c r="B201" s="44" t="str">
        <f>IFERROR("Q"&amp;IF(MONTH(Sheet1!A201)&gt;=4,IF(MONTH(Sheet1!A201)&lt;=6,1,IF(MONTH(Sheet1!A201)&lt;=9,2,3)),4),"")</f>
        <v>Q2</v>
      </c>
      <c r="C201" s="43" t="str">
        <f>IFERROR(Sheet1!C201,0)</f>
        <v>S.A</v>
      </c>
      <c r="D201" s="43" t="str">
        <f>IFERROR(Sheet1!F201,0)</f>
        <v>Panama</v>
      </c>
      <c r="E201" s="43" t="str">
        <f>IFERROR(Sheet1!E201,0)</f>
        <v>Suministros y Exportaciones Primor</v>
      </c>
      <c r="F201" s="43" t="str">
        <f>IFERROR(IF(UPPER(TRIM(Sheet1!J201))="NH","Nhava Sheva",IF(UPPER(TRIM(Sheet1!J201))="ICD","ICD Dhannad",IF(UPPER(TRIM(Sheet1!J201))="TIHI","ICD Tihi",Sheet1!J201))),0)</f>
        <v>ICD Dhannad</v>
      </c>
      <c r="G201" s="43" t="str">
        <f>IFERROR(Sheet1!M201,0)</f>
        <v>Colon Free Zone</v>
      </c>
      <c r="H201" s="43" t="str">
        <f>IFERROR(Sheet1!H201,0)</f>
        <v>Sanjay Forwarder</v>
      </c>
      <c r="I201" s="43" t="str">
        <f>IFERROR(Sheet1!G201,0)</f>
        <v>CIF</v>
      </c>
      <c r="J201" s="43" t="str">
        <f>IFERROR(Sheet1!K201,0)</f>
        <v>Maersk</v>
      </c>
      <c r="K201" s="45">
        <f>IFERROR(Sheet1!A201,0)</f>
        <v>45916</v>
      </c>
      <c r="L201" s="45">
        <f>IFERROR(Sheet1!I201,0)</f>
        <v>45916</v>
      </c>
      <c r="M201" s="47" t="str">
        <f>IFERROR(Sheet1!P201,0)</f>
        <v>NA</v>
      </c>
      <c r="N201" s="46">
        <f>IFERROR(IF(ISNUMBER(Sheet1!N201),Sheet1!N201,0),0)</f>
        <v>2850</v>
      </c>
      <c r="O201" s="46">
        <f>IFERROR(IF(TRIM(F201)="Nhava Sheva",SUMPRODUCT((UPPER(TRIM('Origin Costs'!$A$5:$A$44))=UPPER(TRIM(J201)))*'Origin Costs'!$C$5:$C$44),IF(TRIM(F201)="ICD Tihi",SUMPRODUCT((UPPER(TRIM('Origin Costs'!$A$49:$A$88))=UPPER(TRIM(J201)))*'Origin Costs'!$C$49:$C$88),IF(TRIM(F201)="ICD Dhannad",SUMPRODUCT((UPPER(TRIM('Origin Costs'!$A$93:$A$132))=UPPER(TRIM(J201)))*'Origin Costs'!$C$93:$C$132),0))),0)</f>
        <v>0</v>
      </c>
      <c r="P201" s="46">
        <f t="shared" si="3"/>
        <v>2850</v>
      </c>
      <c r="Q201" s="13" t="str">
        <f>IF(OR(Dashboard!$C$4="All Customers",$E201=Dashboard!$C$4),IF($E201="","",$P201+ROW()/10000000),"")</f>
        <v/>
      </c>
    </row>
    <row r="202" spans="1:17" ht="14.25" customHeight="1" x14ac:dyDescent="0.3">
      <c r="A202" s="39" t="str">
        <f>IFERROR("FY"&amp;TEXT(MOD(IF(MONTH(Sheet1!A202)&gt;=4,YEAR(Sheet1!A202),YEAR(Sheet1!A202)-1),100),"00")&amp;"-"&amp;TEXT(MOD(IF(MONTH(Sheet1!A202)&gt;=4,YEAR(Sheet1!A202),YEAR(Sheet1!A202)-1)+1,100),"00"),"")</f>
        <v>FY25-26</v>
      </c>
      <c r="B202" s="40" t="str">
        <f>IFERROR("Q"&amp;IF(MONTH(Sheet1!A202)&gt;=4,IF(MONTH(Sheet1!A202)&lt;=6,1,IF(MONTH(Sheet1!A202)&lt;=9,2,3)),4),"")</f>
        <v>Q2</v>
      </c>
      <c r="C202" s="39" t="str">
        <f>IFERROR(Sheet1!C202,0)</f>
        <v>Europe</v>
      </c>
      <c r="D202" s="39" t="str">
        <f>IFERROR(Sheet1!F202,0)</f>
        <v>Germany</v>
      </c>
      <c r="E202" s="39" t="str">
        <f>IFERROR(Sheet1!E202,0)</f>
        <v>Marco Lankes GmbH, Germany</v>
      </c>
      <c r="F202" s="39" t="str">
        <f>IFERROR(IF(UPPER(TRIM(Sheet1!J202))="NH","Nhava Sheva",IF(UPPER(TRIM(Sheet1!J202))="ICD","ICD Dhannad",IF(UPPER(TRIM(Sheet1!J202))="TIHI","ICD Tihi",Sheet1!J202))),0)</f>
        <v>Nhava Sheva</v>
      </c>
      <c r="G202" s="39" t="str">
        <f>IFERROR(Sheet1!M202,0)</f>
        <v>Rotterdam</v>
      </c>
      <c r="H202" s="39" t="str">
        <f>IFERROR(Sheet1!H202,0)</f>
        <v>Sevenseas Global</v>
      </c>
      <c r="I202" s="39" t="str">
        <f>IFERROR(Sheet1!G202,0)</f>
        <v>FOB</v>
      </c>
      <c r="J202" s="39" t="str">
        <f>IFERROR(Sheet1!K202,0)</f>
        <v>Maersk</v>
      </c>
      <c r="K202" s="41">
        <f>IFERROR(Sheet1!A202,0)</f>
        <v>45919</v>
      </c>
      <c r="L202" s="41">
        <f>IFERROR(Sheet1!I202,0)</f>
        <v>45919</v>
      </c>
      <c r="M202" s="47" t="str">
        <f>IFERROR(Sheet1!P202,0)</f>
        <v>NA</v>
      </c>
      <c r="N202" s="42">
        <f>IFERROR(IF(ISNUMBER(Sheet1!N202),Sheet1!N202,0),0)</f>
        <v>1295</v>
      </c>
      <c r="O202" s="42">
        <f>IFERROR(IF(TRIM(F202)="Nhava Sheva",SUMPRODUCT((UPPER(TRIM('Origin Costs'!$A$5:$A$44))=UPPER(TRIM(J202)))*'Origin Costs'!$C$5:$C$44),IF(TRIM(F202)="ICD Tihi",SUMPRODUCT((UPPER(TRIM('Origin Costs'!$A$49:$A$88))=UPPER(TRIM(J202)))*'Origin Costs'!$C$49:$C$88),IF(TRIM(F202)="ICD Dhannad",SUMPRODUCT((UPPER(TRIM('Origin Costs'!$A$93:$A$132))=UPPER(TRIM(J202)))*'Origin Costs'!$C$93:$C$132),0))),0)</f>
        <v>1148.588888888889</v>
      </c>
      <c r="P202" s="42">
        <f t="shared" si="3"/>
        <v>2443.588888888889</v>
      </c>
      <c r="Q202" s="13" t="str">
        <f>IF(OR(Dashboard!$C$4="All Customers",$E202=Dashboard!$C$4),IF($E202="","",$P202+ROW()/10000000),"")</f>
        <v/>
      </c>
    </row>
    <row r="203" spans="1:17" ht="14.25" customHeight="1" x14ac:dyDescent="0.3">
      <c r="A203" s="43" t="str">
        <f>IFERROR("FY"&amp;TEXT(MOD(IF(MONTH(Sheet1!A203)&gt;=4,YEAR(Sheet1!A203),YEAR(Sheet1!A203)-1),100),"00")&amp;"-"&amp;TEXT(MOD(IF(MONTH(Sheet1!A203)&gt;=4,YEAR(Sheet1!A203),YEAR(Sheet1!A203)-1)+1,100),"00"),"")</f>
        <v>FY25-26</v>
      </c>
      <c r="B203" s="44" t="str">
        <f>IFERROR("Q"&amp;IF(MONTH(Sheet1!A203)&gt;=4,IF(MONTH(Sheet1!A203)&lt;=6,1,IF(MONTH(Sheet1!A203)&lt;=9,2,3)),4),"")</f>
        <v>Q2</v>
      </c>
      <c r="C203" s="43" t="str">
        <f>IFERROR(Sheet1!C203,0)</f>
        <v>S.A</v>
      </c>
      <c r="D203" s="43" t="str">
        <f>IFERROR(Sheet1!F203,0)</f>
        <v>Brazil</v>
      </c>
      <c r="E203" s="43" t="str">
        <f>IFERROR(Sheet1!E203,0)</f>
        <v>Unus Holding Ltda., Brazil</v>
      </c>
      <c r="F203" s="43" t="str">
        <f>IFERROR(IF(UPPER(TRIM(Sheet1!J203))="NH","Nhava Sheva",IF(UPPER(TRIM(Sheet1!J203))="ICD","ICD Dhannad",IF(UPPER(TRIM(Sheet1!J203))="TIHI","ICD Tihi",Sheet1!J203))),0)</f>
        <v>Nhava Sheva</v>
      </c>
      <c r="G203" s="43" t="str">
        <f>IFERROR(Sheet1!M203,0)</f>
        <v>Paranagua</v>
      </c>
      <c r="H203" s="43" t="str">
        <f>IFERROR(Sheet1!H203,0)</f>
        <v>Sanjay Forwarder</v>
      </c>
      <c r="I203" s="43" t="str">
        <f>IFERROR(Sheet1!G203,0)</f>
        <v>FOB</v>
      </c>
      <c r="J203" s="43" t="str">
        <f>IFERROR(Sheet1!K203,0)</f>
        <v>CMA</v>
      </c>
      <c r="K203" s="45">
        <f>IFERROR(Sheet1!A203,0)</f>
        <v>45919</v>
      </c>
      <c r="L203" s="45">
        <f>IFERROR(Sheet1!I203,0)</f>
        <v>45917</v>
      </c>
      <c r="M203" s="47" t="str">
        <f>IFERROR(Sheet1!P203,0)</f>
        <v>NA</v>
      </c>
      <c r="N203" s="46">
        <f>IFERROR(IF(ISNUMBER(Sheet1!N203),Sheet1!N203,0),0)</f>
        <v>0</v>
      </c>
      <c r="O203" s="46">
        <f>IFERROR(IF(TRIM(F203)="Nhava Sheva",SUMPRODUCT((UPPER(TRIM('Origin Costs'!$A$5:$A$44))=UPPER(TRIM(J203)))*'Origin Costs'!$C$5:$C$44),IF(TRIM(F203)="ICD Tihi",SUMPRODUCT((UPPER(TRIM('Origin Costs'!$A$49:$A$88))=UPPER(TRIM(J203)))*'Origin Costs'!$C$49:$C$88),IF(TRIM(F203)="ICD Dhannad",SUMPRODUCT((UPPER(TRIM('Origin Costs'!$A$93:$A$132))=UPPER(TRIM(J203)))*'Origin Costs'!$C$93:$C$132),0))),0)</f>
        <v>0</v>
      </c>
      <c r="P203" s="46">
        <f t="shared" si="3"/>
        <v>0</v>
      </c>
      <c r="Q203" s="13" t="str">
        <f>IF(OR(Dashboard!$C$4="All Customers",$E203=Dashboard!$C$4),IF($E203="","",$P203+ROW()/10000000),"")</f>
        <v/>
      </c>
    </row>
    <row r="204" spans="1:17" ht="14.25" customHeight="1" x14ac:dyDescent="0.3">
      <c r="A204" s="39" t="str">
        <f>IFERROR("FY"&amp;TEXT(MOD(IF(MONTH(Sheet1!A204)&gt;=4,YEAR(Sheet1!A204),YEAR(Sheet1!A204)-1),100),"00")&amp;"-"&amp;TEXT(MOD(IF(MONTH(Sheet1!A204)&gt;=4,YEAR(Sheet1!A204),YEAR(Sheet1!A204)-1)+1,100),"00"),"")</f>
        <v>FY25-26</v>
      </c>
      <c r="B204" s="40" t="str">
        <f>IFERROR("Q"&amp;IF(MONTH(Sheet1!A204)&gt;=4,IF(MONTH(Sheet1!A204)&lt;=6,1,IF(MONTH(Sheet1!A204)&lt;=9,2,3)),4),"")</f>
        <v>Q2</v>
      </c>
      <c r="C204" s="39" t="str">
        <f>IFERROR(Sheet1!C204,0)</f>
        <v>S.A</v>
      </c>
      <c r="D204" s="39" t="str">
        <f>IFERROR(Sheet1!F204,0)</f>
        <v>Brazil</v>
      </c>
      <c r="E204" s="39" t="str">
        <f>IFERROR(Sheet1!E204,0)</f>
        <v>Unus Holding Ltda., Brazil</v>
      </c>
      <c r="F204" s="39" t="str">
        <f>IFERROR(IF(UPPER(TRIM(Sheet1!J204))="NH","Nhava Sheva",IF(UPPER(TRIM(Sheet1!J204))="ICD","ICD Dhannad",IF(UPPER(TRIM(Sheet1!J204))="TIHI","ICD Tihi",Sheet1!J204))),0)</f>
        <v>Nhava Sheva</v>
      </c>
      <c r="G204" s="39" t="str">
        <f>IFERROR(Sheet1!M204,0)</f>
        <v>Paranagua</v>
      </c>
      <c r="H204" s="39" t="str">
        <f>IFERROR(Sheet1!H204,0)</f>
        <v>Sanjay Forwarder</v>
      </c>
      <c r="I204" s="39" t="str">
        <f>IFERROR(Sheet1!G204,0)</f>
        <v>FOB</v>
      </c>
      <c r="J204" s="39" t="str">
        <f>IFERROR(Sheet1!K204,0)</f>
        <v>CMA</v>
      </c>
      <c r="K204" s="41">
        <f>IFERROR(Sheet1!A204,0)</f>
        <v>45919</v>
      </c>
      <c r="L204" s="41">
        <f>IFERROR(Sheet1!I204,0)</f>
        <v>45917</v>
      </c>
      <c r="M204" s="47" t="str">
        <f>IFERROR(Sheet1!P204,0)</f>
        <v>NA</v>
      </c>
      <c r="N204" s="42">
        <f>IFERROR(IF(ISNUMBER(Sheet1!N204),Sheet1!N204,0),0)</f>
        <v>0</v>
      </c>
      <c r="O204" s="42">
        <f>IFERROR(IF(TRIM(F204)="Nhava Sheva",SUMPRODUCT((UPPER(TRIM('Origin Costs'!$A$5:$A$44))=UPPER(TRIM(J204)))*'Origin Costs'!$C$5:$C$44),IF(TRIM(F204)="ICD Tihi",SUMPRODUCT((UPPER(TRIM('Origin Costs'!$A$49:$A$88))=UPPER(TRIM(J204)))*'Origin Costs'!$C$49:$C$88),IF(TRIM(F204)="ICD Dhannad",SUMPRODUCT((UPPER(TRIM('Origin Costs'!$A$93:$A$132))=UPPER(TRIM(J204)))*'Origin Costs'!$C$93:$C$132),0))),0)</f>
        <v>0</v>
      </c>
      <c r="P204" s="42">
        <f t="shared" si="3"/>
        <v>0</v>
      </c>
      <c r="Q204" s="13" t="str">
        <f>IF(OR(Dashboard!$C$4="All Customers",$E204=Dashboard!$C$4),IF($E204="","",$P204+ROW()/10000000),"")</f>
        <v/>
      </c>
    </row>
    <row r="205" spans="1:17" ht="14.25" customHeight="1" x14ac:dyDescent="0.3">
      <c r="A205" s="43" t="str">
        <f>IFERROR("FY"&amp;TEXT(MOD(IF(MONTH(Sheet1!A205)&gt;=4,YEAR(Sheet1!A205),YEAR(Sheet1!A205)-1),100),"00")&amp;"-"&amp;TEXT(MOD(IF(MONTH(Sheet1!A205)&gt;=4,YEAR(Sheet1!A205),YEAR(Sheet1!A205)-1)+1,100),"00"),"")</f>
        <v>FY25-26</v>
      </c>
      <c r="B205" s="44" t="str">
        <f>IFERROR("Q"&amp;IF(MONTH(Sheet1!A205)&gt;=4,IF(MONTH(Sheet1!A205)&lt;=6,1,IF(MONTH(Sheet1!A205)&lt;=9,2,3)),4),"")</f>
        <v>Q2</v>
      </c>
      <c r="C205" s="43" t="str">
        <f>IFERROR(Sheet1!C205,0)</f>
        <v>S.A</v>
      </c>
      <c r="D205" s="43" t="str">
        <f>IFERROR(Sheet1!F205,0)</f>
        <v>Brazil</v>
      </c>
      <c r="E205" s="43" t="str">
        <f>IFERROR(Sheet1!E205,0)</f>
        <v>Unus Holding Ltda., Brazil</v>
      </c>
      <c r="F205" s="43" t="str">
        <f>IFERROR(IF(UPPER(TRIM(Sheet1!J205))="NH","Nhava Sheva",IF(UPPER(TRIM(Sheet1!J205))="ICD","ICD Dhannad",IF(UPPER(TRIM(Sheet1!J205))="TIHI","ICD Tihi",Sheet1!J205))),0)</f>
        <v>Nhava Sheva</v>
      </c>
      <c r="G205" s="43" t="str">
        <f>IFERROR(Sheet1!M205,0)</f>
        <v>Paranagua</v>
      </c>
      <c r="H205" s="43" t="str">
        <f>IFERROR(Sheet1!H205,0)</f>
        <v>Sanjay Forwarder</v>
      </c>
      <c r="I205" s="43" t="str">
        <f>IFERROR(Sheet1!G205,0)</f>
        <v>FOB</v>
      </c>
      <c r="J205" s="43" t="str">
        <f>IFERROR(Sheet1!K205,0)</f>
        <v>CMA</v>
      </c>
      <c r="K205" s="45">
        <f>IFERROR(Sheet1!A205,0)</f>
        <v>45919</v>
      </c>
      <c r="L205" s="45">
        <f>IFERROR(Sheet1!I205,0)</f>
        <v>45917</v>
      </c>
      <c r="M205" s="47" t="str">
        <f>IFERROR(Sheet1!P205,0)</f>
        <v>NA</v>
      </c>
      <c r="N205" s="46">
        <f>IFERROR(IF(ISNUMBER(Sheet1!N205),Sheet1!N205,0),0)</f>
        <v>0</v>
      </c>
      <c r="O205" s="46">
        <f>IFERROR(IF(TRIM(F205)="Nhava Sheva",SUMPRODUCT((UPPER(TRIM('Origin Costs'!$A$5:$A$44))=UPPER(TRIM(J205)))*'Origin Costs'!$C$5:$C$44),IF(TRIM(F205)="ICD Tihi",SUMPRODUCT((UPPER(TRIM('Origin Costs'!$A$49:$A$88))=UPPER(TRIM(J205)))*'Origin Costs'!$C$49:$C$88),IF(TRIM(F205)="ICD Dhannad",SUMPRODUCT((UPPER(TRIM('Origin Costs'!$A$93:$A$132))=UPPER(TRIM(J205)))*'Origin Costs'!$C$93:$C$132),0))),0)</f>
        <v>0</v>
      </c>
      <c r="P205" s="46">
        <f t="shared" si="3"/>
        <v>0</v>
      </c>
      <c r="Q205" s="13" t="str">
        <f>IF(OR(Dashboard!$C$4="All Customers",$E205=Dashboard!$C$4),IF($E205="","",$P205+ROW()/10000000),"")</f>
        <v/>
      </c>
    </row>
    <row r="206" spans="1:17" ht="14.25" customHeight="1" x14ac:dyDescent="0.3">
      <c r="A206" s="39" t="str">
        <f>IFERROR("FY"&amp;TEXT(MOD(IF(MONTH(Sheet1!A206)&gt;=4,YEAR(Sheet1!A206),YEAR(Sheet1!A206)-1),100),"00")&amp;"-"&amp;TEXT(MOD(IF(MONTH(Sheet1!A206)&gt;=4,YEAR(Sheet1!A206),YEAR(Sheet1!A206)-1)+1,100),"00"),"")</f>
        <v>FY25-26</v>
      </c>
      <c r="B206" s="40" t="str">
        <f>IFERROR("Q"&amp;IF(MONTH(Sheet1!A206)&gt;=4,IF(MONTH(Sheet1!A206)&lt;=6,1,IF(MONTH(Sheet1!A206)&lt;=9,2,3)),4),"")</f>
        <v>Q2</v>
      </c>
      <c r="C206" s="39" t="str">
        <f>IFERROR(Sheet1!C206,0)</f>
        <v>S.A</v>
      </c>
      <c r="D206" s="39" t="str">
        <f>IFERROR(Sheet1!F206,0)</f>
        <v>Brazil</v>
      </c>
      <c r="E206" s="39" t="str">
        <f>IFERROR(Sheet1!E206,0)</f>
        <v>Unus Holding Ltda., Brazil</v>
      </c>
      <c r="F206" s="39" t="str">
        <f>IFERROR(IF(UPPER(TRIM(Sheet1!J206))="NH","Nhava Sheva",IF(UPPER(TRIM(Sheet1!J206))="ICD","ICD Dhannad",IF(UPPER(TRIM(Sheet1!J206))="TIHI","ICD Tihi",Sheet1!J206))),0)</f>
        <v>Nhava Sheva</v>
      </c>
      <c r="G206" s="39" t="str">
        <f>IFERROR(Sheet1!M206,0)</f>
        <v>Paranagua</v>
      </c>
      <c r="H206" s="39" t="str">
        <f>IFERROR(Sheet1!H206,0)</f>
        <v>Sanjay Forwarder</v>
      </c>
      <c r="I206" s="39" t="str">
        <f>IFERROR(Sheet1!G206,0)</f>
        <v>FOB</v>
      </c>
      <c r="J206" s="39" t="str">
        <f>IFERROR(Sheet1!K206,0)</f>
        <v>CMA</v>
      </c>
      <c r="K206" s="41">
        <f>IFERROR(Sheet1!A206,0)</f>
        <v>45919</v>
      </c>
      <c r="L206" s="41">
        <f>IFERROR(Sheet1!I206,0)</f>
        <v>45917</v>
      </c>
      <c r="M206" s="47" t="str">
        <f>IFERROR(Sheet1!P206,0)</f>
        <v>NA</v>
      </c>
      <c r="N206" s="42">
        <f>IFERROR(IF(ISNUMBER(Sheet1!N206),Sheet1!N206,0),0)</f>
        <v>0</v>
      </c>
      <c r="O206" s="42">
        <f>IFERROR(IF(TRIM(F206)="Nhava Sheva",SUMPRODUCT((UPPER(TRIM('Origin Costs'!$A$5:$A$44))=UPPER(TRIM(J206)))*'Origin Costs'!$C$5:$C$44),IF(TRIM(F206)="ICD Tihi",SUMPRODUCT((UPPER(TRIM('Origin Costs'!$A$49:$A$88))=UPPER(TRIM(J206)))*'Origin Costs'!$C$49:$C$88),IF(TRIM(F206)="ICD Dhannad",SUMPRODUCT((UPPER(TRIM('Origin Costs'!$A$93:$A$132))=UPPER(TRIM(J206)))*'Origin Costs'!$C$93:$C$132),0))),0)</f>
        <v>0</v>
      </c>
      <c r="P206" s="42">
        <f t="shared" si="3"/>
        <v>0</v>
      </c>
      <c r="Q206" s="13" t="str">
        <f>IF(OR(Dashboard!$C$4="All Customers",$E206=Dashboard!$C$4),IF($E206="","",$P206+ROW()/10000000),"")</f>
        <v/>
      </c>
    </row>
    <row r="207" spans="1:17" ht="14.25" customHeight="1" x14ac:dyDescent="0.3">
      <c r="A207" s="43" t="str">
        <f>IFERROR("FY"&amp;TEXT(MOD(IF(MONTH(Sheet1!A207)&gt;=4,YEAR(Sheet1!A207),YEAR(Sheet1!A207)-1),100),"00")&amp;"-"&amp;TEXT(MOD(IF(MONTH(Sheet1!A207)&gt;=4,YEAR(Sheet1!A207),YEAR(Sheet1!A207)-1)+1,100),"00"),"")</f>
        <v>FY25-26</v>
      </c>
      <c r="B207" s="44" t="str">
        <f>IFERROR("Q"&amp;IF(MONTH(Sheet1!A207)&gt;=4,IF(MONTH(Sheet1!A207)&lt;=6,1,IF(MONTH(Sheet1!A207)&lt;=9,2,3)),4),"")</f>
        <v>Q2</v>
      </c>
      <c r="C207" s="43" t="str">
        <f>IFERROR(Sheet1!C207,0)</f>
        <v>MEA</v>
      </c>
      <c r="D207" s="43" t="str">
        <f>IFERROR(Sheet1!F207,0)</f>
        <v>Saudi Arabia</v>
      </c>
      <c r="E207" s="43" t="str">
        <f>IFERROR(Sheet1!E207,0)</f>
        <v>BAHWAN MOTORS AUTO ACCESSORIES TRAD</v>
      </c>
      <c r="F207" s="43" t="str">
        <f>IFERROR(IF(UPPER(TRIM(Sheet1!J207))="NH","Nhava Sheva",IF(UPPER(TRIM(Sheet1!J207))="ICD","ICD Dhannad",IF(UPPER(TRIM(Sheet1!J207))="TIHI","ICD Tihi",Sheet1!J207))),0)</f>
        <v>Nhava Sheva</v>
      </c>
      <c r="G207" s="43" t="str">
        <f>IFERROR(Sheet1!M207,0)</f>
        <v>Riyadh</v>
      </c>
      <c r="H207" s="43" t="str">
        <f>IFERROR(Sheet1!H207,0)</f>
        <v>Transbox</v>
      </c>
      <c r="I207" s="43" t="str">
        <f>IFERROR(Sheet1!G207,0)</f>
        <v>CFR</v>
      </c>
      <c r="J207" s="43" t="str">
        <f>IFERROR(Sheet1!K207,0)</f>
        <v>CMA</v>
      </c>
      <c r="K207" s="45">
        <f>IFERROR(Sheet1!A207,0)</f>
        <v>45921</v>
      </c>
      <c r="L207" s="45">
        <f>IFERROR(Sheet1!I207,0)</f>
        <v>45919</v>
      </c>
      <c r="M207" s="47" t="str">
        <f>IFERROR(Sheet1!P207,0)</f>
        <v>NA</v>
      </c>
      <c r="N207" s="46">
        <f>IFERROR(IF(ISNUMBER(Sheet1!N207),Sheet1!N207,0),0)</f>
        <v>1050</v>
      </c>
      <c r="O207" s="46">
        <f>IFERROR(IF(TRIM(F207)="Nhava Sheva",SUMPRODUCT((UPPER(TRIM('Origin Costs'!$A$5:$A$44))=UPPER(TRIM(J207)))*'Origin Costs'!$C$5:$C$44),IF(TRIM(F207)="ICD Tihi",SUMPRODUCT((UPPER(TRIM('Origin Costs'!$A$49:$A$88))=UPPER(TRIM(J207)))*'Origin Costs'!$C$49:$C$88),IF(TRIM(F207)="ICD Dhannad",SUMPRODUCT((UPPER(TRIM('Origin Costs'!$A$93:$A$132))=UPPER(TRIM(J207)))*'Origin Costs'!$C$93:$C$132),0))),0)</f>
        <v>0</v>
      </c>
      <c r="P207" s="46">
        <f t="shared" si="3"/>
        <v>1050</v>
      </c>
      <c r="Q207" s="13" t="str">
        <f>IF(OR(Dashboard!$C$4="All Customers",$E207=Dashboard!$C$4),IF($E207="","",$P207+ROW()/10000000),"")</f>
        <v/>
      </c>
    </row>
    <row r="208" spans="1:17" ht="14.25" customHeight="1" x14ac:dyDescent="0.3">
      <c r="A208" s="39" t="str">
        <f>IFERROR("FY"&amp;TEXT(MOD(IF(MONTH(Sheet1!A208)&gt;=4,YEAR(Sheet1!A208),YEAR(Sheet1!A208)-1),100),"00")&amp;"-"&amp;TEXT(MOD(IF(MONTH(Sheet1!A208)&gt;=4,YEAR(Sheet1!A208),YEAR(Sheet1!A208)-1)+1,100),"00"),"")</f>
        <v>FY25-26</v>
      </c>
      <c r="B208" s="40" t="str">
        <f>IFERROR("Q"&amp;IF(MONTH(Sheet1!A208)&gt;=4,IF(MONTH(Sheet1!A208)&lt;=6,1,IF(MONTH(Sheet1!A208)&lt;=9,2,3)),4),"")</f>
        <v>Q2</v>
      </c>
      <c r="C208" s="39" t="str">
        <f>IFERROR(Sheet1!C208,0)</f>
        <v>MEA</v>
      </c>
      <c r="D208" s="39" t="str">
        <f>IFERROR(Sheet1!F208,0)</f>
        <v>Saudi Arabia</v>
      </c>
      <c r="E208" s="39" t="str">
        <f>IFERROR(Sheet1!E208,0)</f>
        <v>BAHWAN MOTORS AUTO ACCESSORIES TRAD</v>
      </c>
      <c r="F208" s="39" t="str">
        <f>IFERROR(IF(UPPER(TRIM(Sheet1!J208))="NH","Nhava Sheva",IF(UPPER(TRIM(Sheet1!J208))="ICD","ICD Dhannad",IF(UPPER(TRIM(Sheet1!J208))="TIHI","ICD Tihi",Sheet1!J208))),0)</f>
        <v>Nhava Sheva</v>
      </c>
      <c r="G208" s="39" t="str">
        <f>IFERROR(Sheet1!M208,0)</f>
        <v>Riyadh</v>
      </c>
      <c r="H208" s="39" t="str">
        <f>IFERROR(Sheet1!H208,0)</f>
        <v>Transbox</v>
      </c>
      <c r="I208" s="39" t="str">
        <f>IFERROR(Sheet1!G208,0)</f>
        <v>CFR</v>
      </c>
      <c r="J208" s="39" t="str">
        <f>IFERROR(Sheet1!K208,0)</f>
        <v>CMA</v>
      </c>
      <c r="K208" s="41">
        <f>IFERROR(Sheet1!A208,0)</f>
        <v>45921</v>
      </c>
      <c r="L208" s="41">
        <f>IFERROR(Sheet1!I208,0)</f>
        <v>45919</v>
      </c>
      <c r="M208" s="47" t="str">
        <f>IFERROR(Sheet1!P208,0)</f>
        <v>NA</v>
      </c>
      <c r="N208" s="42">
        <f>IFERROR(IF(ISNUMBER(Sheet1!N208),Sheet1!N208,0),0)</f>
        <v>1050</v>
      </c>
      <c r="O208" s="42">
        <f>IFERROR(IF(TRIM(F208)="Nhava Sheva",SUMPRODUCT((UPPER(TRIM('Origin Costs'!$A$5:$A$44))=UPPER(TRIM(J208)))*'Origin Costs'!$C$5:$C$44),IF(TRIM(F208)="ICD Tihi",SUMPRODUCT((UPPER(TRIM('Origin Costs'!$A$49:$A$88))=UPPER(TRIM(J208)))*'Origin Costs'!$C$49:$C$88),IF(TRIM(F208)="ICD Dhannad",SUMPRODUCT((UPPER(TRIM('Origin Costs'!$A$93:$A$132))=UPPER(TRIM(J208)))*'Origin Costs'!$C$93:$C$132),0))),0)</f>
        <v>0</v>
      </c>
      <c r="P208" s="42">
        <f t="shared" si="3"/>
        <v>1050</v>
      </c>
      <c r="Q208" s="13" t="str">
        <f>IF(OR(Dashboard!$C$4="All Customers",$E208=Dashboard!$C$4),IF($E208="","",$P208+ROW()/10000000),"")</f>
        <v/>
      </c>
    </row>
    <row r="209" spans="1:17" ht="14.25" customHeight="1" x14ac:dyDescent="0.3">
      <c r="A209" s="43" t="str">
        <f>IFERROR("FY"&amp;TEXT(MOD(IF(MONTH(Sheet1!A209)&gt;=4,YEAR(Sheet1!A209),YEAR(Sheet1!A209)-1),100),"00")&amp;"-"&amp;TEXT(MOD(IF(MONTH(Sheet1!A209)&gt;=4,YEAR(Sheet1!A209),YEAR(Sheet1!A209)-1)+1,100),"00"),"")</f>
        <v>FY25-26</v>
      </c>
      <c r="B209" s="44" t="str">
        <f>IFERROR("Q"&amp;IF(MONTH(Sheet1!A209)&gt;=4,IF(MONTH(Sheet1!A209)&lt;=6,1,IF(MONTH(Sheet1!A209)&lt;=9,2,3)),4),"")</f>
        <v>Q2</v>
      </c>
      <c r="C209" s="43" t="str">
        <f>IFERROR(Sheet1!C209,0)</f>
        <v>ISC</v>
      </c>
      <c r="D209" s="43" t="str">
        <f>IFERROR(Sheet1!F209,0)</f>
        <v>Australia</v>
      </c>
      <c r="E209" s="43" t="str">
        <f>IFERROR(Sheet1!E209,0)</f>
        <v>Get A Grip Tyres Pty Ltd, Australia</v>
      </c>
      <c r="F209" s="43" t="str">
        <f>IFERROR(IF(UPPER(TRIM(Sheet1!J209))="NH","Nhava Sheva",IF(UPPER(TRIM(Sheet1!J209))="ICD","ICD Dhannad",IF(UPPER(TRIM(Sheet1!J209))="TIHI","ICD Tihi",Sheet1!J209))),0)</f>
        <v>Nhava Sheva</v>
      </c>
      <c r="G209" s="43" t="str">
        <f>IFERROR(Sheet1!M209,0)</f>
        <v>FREMANTLE</v>
      </c>
      <c r="H209" s="43" t="str">
        <f>IFERROR(Sheet1!H209,0)</f>
        <v>Cargo World Logistcs</v>
      </c>
      <c r="I209" s="43" t="str">
        <f>IFERROR(Sheet1!G209,0)</f>
        <v>FOB</v>
      </c>
      <c r="J209" s="43" t="str">
        <f>IFERROR(Sheet1!K209,0)</f>
        <v>PIL</v>
      </c>
      <c r="K209" s="45">
        <f>IFERROR(Sheet1!A209,0)</f>
        <v>45923</v>
      </c>
      <c r="L209" s="45">
        <f>IFERROR(Sheet1!I209,0)</f>
        <v>45921</v>
      </c>
      <c r="M209" s="47" t="str">
        <f>IFERROR(Sheet1!P209,0)</f>
        <v>NA</v>
      </c>
      <c r="N209" s="46">
        <f>IFERROR(IF(ISNUMBER(Sheet1!N209),Sheet1!N209,0),0)</f>
        <v>0</v>
      </c>
      <c r="O209" s="46">
        <f>IFERROR(IF(TRIM(F209)="Nhava Sheva",SUMPRODUCT((UPPER(TRIM('Origin Costs'!$A$5:$A$44))=UPPER(TRIM(J209)))*'Origin Costs'!$C$5:$C$44),IF(TRIM(F209)="ICD Tihi",SUMPRODUCT((UPPER(TRIM('Origin Costs'!$A$49:$A$88))=UPPER(TRIM(J209)))*'Origin Costs'!$C$49:$C$88),IF(TRIM(F209)="ICD Dhannad",SUMPRODUCT((UPPER(TRIM('Origin Costs'!$A$93:$A$132))=UPPER(TRIM(J209)))*'Origin Costs'!$C$93:$C$132),0))),0)</f>
        <v>0</v>
      </c>
      <c r="P209" s="46">
        <f t="shared" si="3"/>
        <v>0</v>
      </c>
      <c r="Q209" s="13" t="str">
        <f>IF(OR(Dashboard!$C$4="All Customers",$E209=Dashboard!$C$4),IF($E209="","",$P209+ROW()/10000000),"")</f>
        <v/>
      </c>
    </row>
    <row r="210" spans="1:17" ht="14.25" customHeight="1" x14ac:dyDescent="0.3">
      <c r="A210" s="39" t="str">
        <f>IFERROR("FY"&amp;TEXT(MOD(IF(MONTH(Sheet1!A210)&gt;=4,YEAR(Sheet1!A210),YEAR(Sheet1!A210)-1),100),"00")&amp;"-"&amp;TEXT(MOD(IF(MONTH(Sheet1!A210)&gt;=4,YEAR(Sheet1!A210),YEAR(Sheet1!A210)-1)+1,100),"00"),"")</f>
        <v>FY25-26</v>
      </c>
      <c r="B210" s="40" t="str">
        <f>IFERROR("Q"&amp;IF(MONTH(Sheet1!A210)&gt;=4,IF(MONTH(Sheet1!A210)&lt;=6,1,IF(MONTH(Sheet1!A210)&lt;=9,2,3)),4),"")</f>
        <v>Q2</v>
      </c>
      <c r="C210" s="39" t="str">
        <f>IFERROR(Sheet1!C210,0)</f>
        <v>Europe</v>
      </c>
      <c r="D210" s="39" t="str">
        <f>IFERROR(Sheet1!F210,0)</f>
        <v>Lithuania</v>
      </c>
      <c r="E210" s="39" t="str">
        <f>IFERROR(Sheet1!E210,0)</f>
        <v>UAB Inter Cars Lietuva, Lithuania</v>
      </c>
      <c r="F210" s="39" t="str">
        <f>IFERROR(IF(UPPER(TRIM(Sheet1!J210))="NH","Nhava Sheva",IF(UPPER(TRIM(Sheet1!J210))="ICD","ICD Dhannad",IF(UPPER(TRIM(Sheet1!J210))="TIHI","ICD Tihi",Sheet1!J210))),0)</f>
        <v>ICD Dhannad</v>
      </c>
      <c r="G210" s="39" t="str">
        <f>IFERROR(Sheet1!M210,0)</f>
        <v>Klaipeda</v>
      </c>
      <c r="H210" s="39" t="str">
        <f>IFERROR(Sheet1!H210,0)</f>
        <v>Hellmann</v>
      </c>
      <c r="I210" s="39" t="str">
        <f>IFERROR(Sheet1!G210,0)</f>
        <v>CIF</v>
      </c>
      <c r="J210" s="39" t="str">
        <f>IFERROR(Sheet1!K210,0)</f>
        <v>Hapag</v>
      </c>
      <c r="K210" s="41">
        <f>IFERROR(Sheet1!A210,0)</f>
        <v>45927</v>
      </c>
      <c r="L210" s="41">
        <f>IFERROR(Sheet1!I210,0)</f>
        <v>45926</v>
      </c>
      <c r="M210" s="47" t="str">
        <f>IFERROR(Sheet1!P210,0)</f>
        <v>NA</v>
      </c>
      <c r="N210" s="42">
        <f>IFERROR(IF(ISNUMBER(Sheet1!N210),Sheet1!N210,0),0)</f>
        <v>1395</v>
      </c>
      <c r="O210" s="42">
        <f>IFERROR(IF(TRIM(F210)="Nhava Sheva",SUMPRODUCT((UPPER(TRIM('Origin Costs'!$A$5:$A$44))=UPPER(TRIM(J210)))*'Origin Costs'!$C$5:$C$44),IF(TRIM(F210)="ICD Tihi",SUMPRODUCT((UPPER(TRIM('Origin Costs'!$A$49:$A$88))=UPPER(TRIM(J210)))*'Origin Costs'!$C$49:$C$88),IF(TRIM(F210)="ICD Dhannad",SUMPRODUCT((UPPER(TRIM('Origin Costs'!$A$93:$A$132))=UPPER(TRIM(J210)))*'Origin Costs'!$C$93:$C$132),0))),0)</f>
        <v>1209.3888888888889</v>
      </c>
      <c r="P210" s="42">
        <f t="shared" si="3"/>
        <v>2604.3888888888887</v>
      </c>
      <c r="Q210" s="13" t="str">
        <f>IF(OR(Dashboard!$C$4="All Customers",$E210=Dashboard!$C$4),IF($E210="","",$P210+ROW()/10000000),"")</f>
        <v/>
      </c>
    </row>
    <row r="211" spans="1:17" ht="14.25" customHeight="1" x14ac:dyDescent="0.3">
      <c r="A211" s="43" t="str">
        <f>IFERROR("FY"&amp;TEXT(MOD(IF(MONTH(Sheet1!A211)&gt;=4,YEAR(Sheet1!A211),YEAR(Sheet1!A211)-1),100),"00")&amp;"-"&amp;TEXT(MOD(IF(MONTH(Sheet1!A211)&gt;=4,YEAR(Sheet1!A211),YEAR(Sheet1!A211)-1)+1,100),"00"),"")</f>
        <v>FY25-26</v>
      </c>
      <c r="B211" s="44" t="str">
        <f>IFERROR("Q"&amp;IF(MONTH(Sheet1!A211)&gt;=4,IF(MONTH(Sheet1!A211)&lt;=6,1,IF(MONTH(Sheet1!A211)&lt;=9,2,3)),4),"")</f>
        <v>Q2</v>
      </c>
      <c r="C211" s="43" t="str">
        <f>IFERROR(Sheet1!C211,0)</f>
        <v>Europe</v>
      </c>
      <c r="D211" s="43" t="str">
        <f>IFERROR(Sheet1!F211,0)</f>
        <v>Lithuania</v>
      </c>
      <c r="E211" s="43" t="str">
        <f>IFERROR(Sheet1!E211,0)</f>
        <v>UAB Inter Cars Lietuva, Lithuania</v>
      </c>
      <c r="F211" s="43" t="str">
        <f>IFERROR(IF(UPPER(TRIM(Sheet1!J211))="NH","Nhava Sheva",IF(UPPER(TRIM(Sheet1!J211))="ICD","ICD Dhannad",IF(UPPER(TRIM(Sheet1!J211))="TIHI","ICD Tihi",Sheet1!J211))),0)</f>
        <v>ICD Dhannad</v>
      </c>
      <c r="G211" s="43" t="str">
        <f>IFERROR(Sheet1!M211,0)</f>
        <v>Klaipeda</v>
      </c>
      <c r="H211" s="43" t="str">
        <f>IFERROR(Sheet1!H211,0)</f>
        <v>Hellmann</v>
      </c>
      <c r="I211" s="43" t="str">
        <f>IFERROR(Sheet1!G211,0)</f>
        <v>CIF</v>
      </c>
      <c r="J211" s="43" t="str">
        <f>IFERROR(Sheet1!K211,0)</f>
        <v>Hapag</v>
      </c>
      <c r="K211" s="45">
        <f>IFERROR(Sheet1!A211,0)</f>
        <v>45927</v>
      </c>
      <c r="L211" s="45">
        <f>IFERROR(Sheet1!I211,0)</f>
        <v>45926</v>
      </c>
      <c r="M211" s="47" t="str">
        <f>IFERROR(Sheet1!P211,0)</f>
        <v>NA</v>
      </c>
      <c r="N211" s="46">
        <f>IFERROR(IF(ISNUMBER(Sheet1!N211),Sheet1!N211,0),0)</f>
        <v>1395</v>
      </c>
      <c r="O211" s="46">
        <f>IFERROR(IF(TRIM(F211)="Nhava Sheva",SUMPRODUCT((UPPER(TRIM('Origin Costs'!$A$5:$A$44))=UPPER(TRIM(J211)))*'Origin Costs'!$C$5:$C$44),IF(TRIM(F211)="ICD Tihi",SUMPRODUCT((UPPER(TRIM('Origin Costs'!$A$49:$A$88))=UPPER(TRIM(J211)))*'Origin Costs'!$C$49:$C$88),IF(TRIM(F211)="ICD Dhannad",SUMPRODUCT((UPPER(TRIM('Origin Costs'!$A$93:$A$132))=UPPER(TRIM(J211)))*'Origin Costs'!$C$93:$C$132),0))),0)</f>
        <v>1209.3888888888889</v>
      </c>
      <c r="P211" s="46">
        <f t="shared" si="3"/>
        <v>2604.3888888888887</v>
      </c>
      <c r="Q211" s="13" t="str">
        <f>IF(OR(Dashboard!$C$4="All Customers",$E211=Dashboard!$C$4),IF($E211="","",$P211+ROW()/10000000),"")</f>
        <v/>
      </c>
    </row>
    <row r="212" spans="1:17" ht="14.25" customHeight="1" x14ac:dyDescent="0.3">
      <c r="A212" s="39" t="str">
        <f>IFERROR("FY"&amp;TEXT(MOD(IF(MONTH(Sheet1!A212)&gt;=4,YEAR(Sheet1!A212),YEAR(Sheet1!A212)-1),100),"00")&amp;"-"&amp;TEXT(MOD(IF(MONTH(Sheet1!A212)&gt;=4,YEAR(Sheet1!A212),YEAR(Sheet1!A212)-1)+1,100),"00"),"")</f>
        <v>FY25-26</v>
      </c>
      <c r="B212" s="40" t="str">
        <f>IFERROR("Q"&amp;IF(MONTH(Sheet1!A212)&gt;=4,IF(MONTH(Sheet1!A212)&lt;=6,1,IF(MONTH(Sheet1!A212)&lt;=9,2,3)),4),"")</f>
        <v>Q2</v>
      </c>
      <c r="C212" s="39" t="str">
        <f>IFERROR(Sheet1!C212,0)</f>
        <v>Europe</v>
      </c>
      <c r="D212" s="39" t="str">
        <f>IFERROR(Sheet1!F212,0)</f>
        <v>Lithuania</v>
      </c>
      <c r="E212" s="39" t="str">
        <f>IFERROR(Sheet1!E212,0)</f>
        <v>UAB Inter Cars Lietuva, Lithuania</v>
      </c>
      <c r="F212" s="39" t="str">
        <f>IFERROR(IF(UPPER(TRIM(Sheet1!J212))="NH","Nhava Sheva",IF(UPPER(TRIM(Sheet1!J212))="ICD","ICD Dhannad",IF(UPPER(TRIM(Sheet1!J212))="TIHI","ICD Tihi",Sheet1!J212))),0)</f>
        <v>ICD Dhannad</v>
      </c>
      <c r="G212" s="39" t="str">
        <f>IFERROR(Sheet1!M212,0)</f>
        <v>Klaipeda</v>
      </c>
      <c r="H212" s="39" t="str">
        <f>IFERROR(Sheet1!H212,0)</f>
        <v>Hellmann</v>
      </c>
      <c r="I212" s="39" t="str">
        <f>IFERROR(Sheet1!G212,0)</f>
        <v>CIF</v>
      </c>
      <c r="J212" s="39" t="str">
        <f>IFERROR(Sheet1!K212,0)</f>
        <v>Hapag</v>
      </c>
      <c r="K212" s="41">
        <f>IFERROR(Sheet1!A212,0)</f>
        <v>45927</v>
      </c>
      <c r="L212" s="41">
        <f>IFERROR(Sheet1!I212,0)</f>
        <v>45926</v>
      </c>
      <c r="M212" s="47" t="str">
        <f>IFERROR(Sheet1!P212,0)</f>
        <v>NA</v>
      </c>
      <c r="N212" s="42">
        <f>IFERROR(IF(ISNUMBER(Sheet1!N212),Sheet1!N212,0),0)</f>
        <v>1395</v>
      </c>
      <c r="O212" s="42">
        <f>IFERROR(IF(TRIM(F212)="Nhava Sheva",SUMPRODUCT((UPPER(TRIM('Origin Costs'!$A$5:$A$44))=UPPER(TRIM(J212)))*'Origin Costs'!$C$5:$C$44),IF(TRIM(F212)="ICD Tihi",SUMPRODUCT((UPPER(TRIM('Origin Costs'!$A$49:$A$88))=UPPER(TRIM(J212)))*'Origin Costs'!$C$49:$C$88),IF(TRIM(F212)="ICD Dhannad",SUMPRODUCT((UPPER(TRIM('Origin Costs'!$A$93:$A$132))=UPPER(TRIM(J212)))*'Origin Costs'!$C$93:$C$132),0))),0)</f>
        <v>1209.3888888888889</v>
      </c>
      <c r="P212" s="42">
        <f t="shared" si="3"/>
        <v>2604.3888888888887</v>
      </c>
      <c r="Q212" s="13" t="str">
        <f>IF(OR(Dashboard!$C$4="All Customers",$E212=Dashboard!$C$4),IF($E212="","",$P212+ROW()/10000000),"")</f>
        <v/>
      </c>
    </row>
    <row r="213" spans="1:17" ht="14.25" customHeight="1" x14ac:dyDescent="0.3">
      <c r="A213" s="43" t="str">
        <f>IFERROR("FY"&amp;TEXT(MOD(IF(MONTH(Sheet1!A213)&gt;=4,YEAR(Sheet1!A213),YEAR(Sheet1!A213)-1),100),"00")&amp;"-"&amp;TEXT(MOD(IF(MONTH(Sheet1!A213)&gt;=4,YEAR(Sheet1!A213),YEAR(Sheet1!A213)-1)+1,100),"00"),"")</f>
        <v>FY25-26</v>
      </c>
      <c r="B213" s="44" t="str">
        <f>IFERROR("Q"&amp;IF(MONTH(Sheet1!A213)&gt;=4,IF(MONTH(Sheet1!A213)&lt;=6,1,IF(MONTH(Sheet1!A213)&lt;=9,2,3)),4),"")</f>
        <v>Q2</v>
      </c>
      <c r="C213" s="43" t="str">
        <f>IFERROR(Sheet1!C213,0)</f>
        <v>MEA</v>
      </c>
      <c r="D213" s="43" t="str">
        <f>IFERROR(Sheet1!F213,0)</f>
        <v>South Africa</v>
      </c>
      <c r="E213" s="43" t="str">
        <f>IFERROR(Sheet1!E213,0)</f>
        <v>Vaal Tyre Centre Holdings (Pty) Ltd-S.A</v>
      </c>
      <c r="F213" s="43" t="str">
        <f>IFERROR(IF(UPPER(TRIM(Sheet1!J213))="NH","Nhava Sheva",IF(UPPER(TRIM(Sheet1!J213))="ICD","ICD Dhannad",IF(UPPER(TRIM(Sheet1!J213))="TIHI","ICD Tihi",Sheet1!J213))),0)</f>
        <v>Nhava Sheva</v>
      </c>
      <c r="G213" s="43" t="str">
        <f>IFERROR(Sheet1!M213,0)</f>
        <v>DURBAN</v>
      </c>
      <c r="H213" s="43" t="str">
        <f>IFERROR(Sheet1!H213,0)</f>
        <v>Sevenseas Global</v>
      </c>
      <c r="I213" s="43" t="str">
        <f>IFERROR(Sheet1!G213,0)</f>
        <v>CFR</v>
      </c>
      <c r="J213" s="43" t="str">
        <f>IFERROR(Sheet1!K213,0)</f>
        <v>CMA</v>
      </c>
      <c r="K213" s="45">
        <f>IFERROR(Sheet1!A213,0)</f>
        <v>45927</v>
      </c>
      <c r="L213" s="45">
        <f>IFERROR(Sheet1!I213,0)</f>
        <v>45925</v>
      </c>
      <c r="M213" s="47" t="str">
        <f>IFERROR(Sheet1!P213,0)</f>
        <v>NA</v>
      </c>
      <c r="N213" s="46">
        <f>IFERROR(IF(ISNUMBER(Sheet1!N213),Sheet1!N213,0),0)</f>
        <v>1060</v>
      </c>
      <c r="O213" s="46">
        <f>IFERROR(IF(TRIM(F213)="Nhava Sheva",SUMPRODUCT((UPPER(TRIM('Origin Costs'!$A$5:$A$44))=UPPER(TRIM(J213)))*'Origin Costs'!$C$5:$C$44),IF(TRIM(F213)="ICD Tihi",SUMPRODUCT((UPPER(TRIM('Origin Costs'!$A$49:$A$88))=UPPER(TRIM(J213)))*'Origin Costs'!$C$49:$C$88),IF(TRIM(F213)="ICD Dhannad",SUMPRODUCT((UPPER(TRIM('Origin Costs'!$A$93:$A$132))=UPPER(TRIM(J213)))*'Origin Costs'!$C$93:$C$132),0))),0)</f>
        <v>0</v>
      </c>
      <c r="P213" s="46">
        <f t="shared" si="3"/>
        <v>1060</v>
      </c>
      <c r="Q213" s="13" t="str">
        <f>IF(OR(Dashboard!$C$4="All Customers",$E213=Dashboard!$C$4),IF($E213="","",$P213+ROW()/10000000),"")</f>
        <v/>
      </c>
    </row>
    <row r="214" spans="1:17" ht="14.25" customHeight="1" x14ac:dyDescent="0.3">
      <c r="A214" s="39" t="str">
        <f>IFERROR("FY"&amp;TEXT(MOD(IF(MONTH(Sheet1!A214)&gt;=4,YEAR(Sheet1!A214),YEAR(Sheet1!A214)-1),100),"00")&amp;"-"&amp;TEXT(MOD(IF(MONTH(Sheet1!A214)&gt;=4,YEAR(Sheet1!A214),YEAR(Sheet1!A214)-1)+1,100),"00"),"")</f>
        <v>FY25-26</v>
      </c>
      <c r="B214" s="40" t="str">
        <f>IFERROR("Q"&amp;IF(MONTH(Sheet1!A214)&gt;=4,IF(MONTH(Sheet1!A214)&lt;=6,1,IF(MONTH(Sheet1!A214)&lt;=9,2,3)),4),"")</f>
        <v>Q2</v>
      </c>
      <c r="C214" s="39" t="str">
        <f>IFERROR(Sheet1!C214,0)</f>
        <v>Europe</v>
      </c>
      <c r="D214" s="39" t="str">
        <f>IFERROR(Sheet1!F214,0)</f>
        <v>Poland</v>
      </c>
      <c r="E214" s="39" t="str">
        <f>IFERROR(Sheet1!E214,0)</f>
        <v>Inter Cars S.A., Poland</v>
      </c>
      <c r="F214" s="39" t="str">
        <f>IFERROR(IF(UPPER(TRIM(Sheet1!J214))="NH","Nhava Sheva",IF(UPPER(TRIM(Sheet1!J214))="ICD","ICD Dhannad",IF(UPPER(TRIM(Sheet1!J214))="TIHI","ICD Tihi",Sheet1!J214))),0)</f>
        <v>Nhava Sheva</v>
      </c>
      <c r="G214" s="39" t="str">
        <f>IFERROR(Sheet1!M214,0)</f>
        <v>Gdansk</v>
      </c>
      <c r="H214" s="39" t="str">
        <f>IFERROR(Sheet1!H214,0)</f>
        <v>VR Logistics</v>
      </c>
      <c r="I214" s="39" t="str">
        <f>IFERROR(Sheet1!G214,0)</f>
        <v>CIF</v>
      </c>
      <c r="J214" s="39" t="str">
        <f>IFERROR(Sheet1!K214,0)</f>
        <v>Maersk</v>
      </c>
      <c r="K214" s="41">
        <f>IFERROR(Sheet1!A214,0)</f>
        <v>45928</v>
      </c>
      <c r="L214" s="41">
        <f>IFERROR(Sheet1!I214,0)</f>
        <v>45926</v>
      </c>
      <c r="M214" s="47" t="str">
        <f>IFERROR(Sheet1!P214,0)</f>
        <v>NA</v>
      </c>
      <c r="N214" s="42">
        <f>IFERROR(IF(ISNUMBER(Sheet1!N214),Sheet1!N214,0),0)</f>
        <v>1395</v>
      </c>
      <c r="O214" s="42">
        <f>IFERROR(IF(TRIM(F214)="Nhava Sheva",SUMPRODUCT((UPPER(TRIM('Origin Costs'!$A$5:$A$44))=UPPER(TRIM(J214)))*'Origin Costs'!$C$5:$C$44),IF(TRIM(F214)="ICD Tihi",SUMPRODUCT((UPPER(TRIM('Origin Costs'!$A$49:$A$88))=UPPER(TRIM(J214)))*'Origin Costs'!$C$49:$C$88),IF(TRIM(F214)="ICD Dhannad",SUMPRODUCT((UPPER(TRIM('Origin Costs'!$A$93:$A$132))=UPPER(TRIM(J214)))*'Origin Costs'!$C$93:$C$132),0))),0)</f>
        <v>1148.588888888889</v>
      </c>
      <c r="P214" s="42">
        <f t="shared" si="3"/>
        <v>2543.588888888889</v>
      </c>
      <c r="Q214" s="13" t="str">
        <f>IF(OR(Dashboard!$C$4="All Customers",$E214=Dashboard!$C$4),IF($E214="","",$P214+ROW()/10000000),"")</f>
        <v/>
      </c>
    </row>
    <row r="215" spans="1:17" ht="14.25" customHeight="1" x14ac:dyDescent="0.3">
      <c r="A215" s="43" t="str">
        <f>IFERROR("FY"&amp;TEXT(MOD(IF(MONTH(Sheet1!A215)&gt;=4,YEAR(Sheet1!A215),YEAR(Sheet1!A215)-1),100),"00")&amp;"-"&amp;TEXT(MOD(IF(MONTH(Sheet1!A215)&gt;=4,YEAR(Sheet1!A215),YEAR(Sheet1!A215)-1)+1,100),"00"),"")</f>
        <v>FY25-26</v>
      </c>
      <c r="B215" s="44" t="str">
        <f>IFERROR("Q"&amp;IF(MONTH(Sheet1!A215)&gt;=4,IF(MONTH(Sheet1!A215)&lt;=6,1,IF(MONTH(Sheet1!A215)&lt;=9,2,3)),4),"")</f>
        <v>Q2</v>
      </c>
      <c r="C215" s="43" t="str">
        <f>IFERROR(Sheet1!C215,0)</f>
        <v>Europe</v>
      </c>
      <c r="D215" s="43" t="str">
        <f>IFERROR(Sheet1!F215,0)</f>
        <v>Poland</v>
      </c>
      <c r="E215" s="43" t="str">
        <f>IFERROR(Sheet1!E215,0)</f>
        <v>Inter Cars S.A., Poland</v>
      </c>
      <c r="F215" s="43" t="str">
        <f>IFERROR(IF(UPPER(TRIM(Sheet1!J215))="NH","Nhava Sheva",IF(UPPER(TRIM(Sheet1!J215))="ICD","ICD Dhannad",IF(UPPER(TRIM(Sheet1!J215))="TIHI","ICD Tihi",Sheet1!J215))),0)</f>
        <v>Nhava Sheva</v>
      </c>
      <c r="G215" s="43" t="str">
        <f>IFERROR(Sheet1!M215,0)</f>
        <v>Gdansk</v>
      </c>
      <c r="H215" s="43" t="str">
        <f>IFERROR(Sheet1!H215,0)</f>
        <v>VR Logistics</v>
      </c>
      <c r="I215" s="43" t="str">
        <f>IFERROR(Sheet1!G215,0)</f>
        <v>CIF</v>
      </c>
      <c r="J215" s="43" t="str">
        <f>IFERROR(Sheet1!K215,0)</f>
        <v>Maersk</v>
      </c>
      <c r="K215" s="45">
        <f>IFERROR(Sheet1!A215,0)</f>
        <v>45928</v>
      </c>
      <c r="L215" s="45">
        <f>IFERROR(Sheet1!I215,0)</f>
        <v>45926</v>
      </c>
      <c r="M215" s="47" t="str">
        <f>IFERROR(Sheet1!P215,0)</f>
        <v>NA</v>
      </c>
      <c r="N215" s="46">
        <f>IFERROR(IF(ISNUMBER(Sheet1!N215),Sheet1!N215,0),0)</f>
        <v>1395</v>
      </c>
      <c r="O215" s="46">
        <f>IFERROR(IF(TRIM(F215)="Nhava Sheva",SUMPRODUCT((UPPER(TRIM('Origin Costs'!$A$5:$A$44))=UPPER(TRIM(J215)))*'Origin Costs'!$C$5:$C$44),IF(TRIM(F215)="ICD Tihi",SUMPRODUCT((UPPER(TRIM('Origin Costs'!$A$49:$A$88))=UPPER(TRIM(J215)))*'Origin Costs'!$C$49:$C$88),IF(TRIM(F215)="ICD Dhannad",SUMPRODUCT((UPPER(TRIM('Origin Costs'!$A$93:$A$132))=UPPER(TRIM(J215)))*'Origin Costs'!$C$93:$C$132),0))),0)</f>
        <v>1148.588888888889</v>
      </c>
      <c r="P215" s="46">
        <f t="shared" si="3"/>
        <v>2543.588888888889</v>
      </c>
      <c r="Q215" s="13" t="str">
        <f>IF(OR(Dashboard!$C$4="All Customers",$E215=Dashboard!$C$4),IF($E215="","",$P215+ROW()/10000000),"")</f>
        <v/>
      </c>
    </row>
    <row r="216" spans="1:17" ht="14.25" customHeight="1" x14ac:dyDescent="0.3">
      <c r="A216" s="39" t="str">
        <f>IFERROR("FY"&amp;TEXT(MOD(IF(MONTH(Sheet1!A216)&gt;=4,YEAR(Sheet1!A216),YEAR(Sheet1!A216)-1),100),"00")&amp;"-"&amp;TEXT(MOD(IF(MONTH(Sheet1!A216)&gt;=4,YEAR(Sheet1!A216),YEAR(Sheet1!A216)-1)+1,100),"00"),"")</f>
        <v>FY25-26</v>
      </c>
      <c r="B216" s="40" t="str">
        <f>IFERROR("Q"&amp;IF(MONTH(Sheet1!A216)&gt;=4,IF(MONTH(Sheet1!A216)&lt;=6,1,IF(MONTH(Sheet1!A216)&lt;=9,2,3)),4),"")</f>
        <v>Q2</v>
      </c>
      <c r="C216" s="39" t="str">
        <f>IFERROR(Sheet1!C216,0)</f>
        <v>S.A</v>
      </c>
      <c r="D216" s="39" t="str">
        <f>IFERROR(Sheet1!F216,0)</f>
        <v>Mexico</v>
      </c>
      <c r="E216" s="39" t="str">
        <f>IFERROR(Sheet1!E216,0)</f>
        <v>PC Tyres, Mexico</v>
      </c>
      <c r="F216" s="39" t="str">
        <f>IFERROR(IF(UPPER(TRIM(Sheet1!J216))="NH","Nhava Sheva",IF(UPPER(TRIM(Sheet1!J216))="ICD","ICD Dhannad",IF(UPPER(TRIM(Sheet1!J216))="TIHI","ICD Tihi",Sheet1!J216))),0)</f>
        <v>Nhava Sheva</v>
      </c>
      <c r="G216" s="39" t="str">
        <f>IFERROR(Sheet1!M216,0)</f>
        <v>Manzanillo, MX</v>
      </c>
      <c r="H216" s="39" t="str">
        <f>IFERROR(Sheet1!H216,0)</f>
        <v>Liyana Logistics</v>
      </c>
      <c r="I216" s="39" t="str">
        <f>IFERROR(Sheet1!G216,0)</f>
        <v>FOB</v>
      </c>
      <c r="J216" s="39" t="str">
        <f>IFERROR(Sheet1!K216,0)</f>
        <v>ONE</v>
      </c>
      <c r="K216" s="41">
        <f>IFERROR(Sheet1!A216,0)</f>
        <v>45929</v>
      </c>
      <c r="L216" s="41">
        <f>IFERROR(Sheet1!I216,0)</f>
        <v>45928</v>
      </c>
      <c r="M216" s="47" t="str">
        <f>IFERROR(Sheet1!P216,0)</f>
        <v>NA</v>
      </c>
      <c r="N216" s="42">
        <f>IFERROR(IF(ISNUMBER(Sheet1!N216),Sheet1!N216,0),0)</f>
        <v>0</v>
      </c>
      <c r="O216" s="42">
        <f>IFERROR(IF(TRIM(F216)="Nhava Sheva",SUMPRODUCT((UPPER(TRIM('Origin Costs'!$A$5:$A$44))=UPPER(TRIM(J216)))*'Origin Costs'!$C$5:$C$44),IF(TRIM(F216)="ICD Tihi",SUMPRODUCT((UPPER(TRIM('Origin Costs'!$A$49:$A$88))=UPPER(TRIM(J216)))*'Origin Costs'!$C$49:$C$88),IF(TRIM(F216)="ICD Dhannad",SUMPRODUCT((UPPER(TRIM('Origin Costs'!$A$93:$A$132))=UPPER(TRIM(J216)))*'Origin Costs'!$C$93:$C$132),0))),0)</f>
        <v>1146.5555555555557</v>
      </c>
      <c r="P216" s="42">
        <f t="shared" si="3"/>
        <v>1146.5555555555557</v>
      </c>
      <c r="Q216" s="13" t="str">
        <f>IF(OR(Dashboard!$C$4="All Customers",$E216=Dashboard!$C$4),IF($E216="","",$P216+ROW()/10000000),"")</f>
        <v/>
      </c>
    </row>
    <row r="217" spans="1:17" ht="14.25" customHeight="1" x14ac:dyDescent="0.3">
      <c r="A217" s="43" t="str">
        <f>IFERROR("FY"&amp;TEXT(MOD(IF(MONTH(Sheet1!A217)&gt;=4,YEAR(Sheet1!A217),YEAR(Sheet1!A217)-1),100),"00")&amp;"-"&amp;TEXT(MOD(IF(MONTH(Sheet1!A217)&gt;=4,YEAR(Sheet1!A217),YEAR(Sheet1!A217)-1)+1,100),"00"),"")</f>
        <v>FY25-26</v>
      </c>
      <c r="B217" s="44" t="str">
        <f>IFERROR("Q"&amp;IF(MONTH(Sheet1!A217)&gt;=4,IF(MONTH(Sheet1!A217)&lt;=6,1,IF(MONTH(Sheet1!A217)&lt;=9,2,3)),4),"")</f>
        <v>Q2</v>
      </c>
      <c r="C217" s="43" t="str">
        <f>IFERROR(Sheet1!C217,0)</f>
        <v>ISC</v>
      </c>
      <c r="D217" s="43" t="str">
        <f>IFERROR(Sheet1!F217,0)</f>
        <v>Singapore</v>
      </c>
      <c r="E217" s="43" t="str">
        <f>IFERROR(Sheet1!E217,0)</f>
        <v>UBTS Pte Ltd-Singapore</v>
      </c>
      <c r="F217" s="43" t="str">
        <f>IFERROR(IF(UPPER(TRIM(Sheet1!J217))="NH","Nhava Sheva",IF(UPPER(TRIM(Sheet1!J217))="ICD","ICD Dhannad",IF(UPPER(TRIM(Sheet1!J217))="TIHI","ICD Tihi",Sheet1!J217))),0)</f>
        <v>Nhava Sheva</v>
      </c>
      <c r="G217" s="43" t="str">
        <f>IFERROR(Sheet1!M217,0)</f>
        <v>Singapore</v>
      </c>
      <c r="H217" s="43" t="str">
        <f>IFERROR(Sheet1!H217,0)</f>
        <v>Hellmann</v>
      </c>
      <c r="I217" s="43" t="str">
        <f>IFERROR(Sheet1!G217,0)</f>
        <v>CIF</v>
      </c>
      <c r="J217" s="43" t="str">
        <f>IFERROR(Sheet1!K217,0)</f>
        <v>OOCL</v>
      </c>
      <c r="K217" s="45">
        <f>IFERROR(Sheet1!A217,0)</f>
        <v>45929</v>
      </c>
      <c r="L217" s="45">
        <f>IFERROR(Sheet1!I217,0)</f>
        <v>45927</v>
      </c>
      <c r="M217" s="47" t="str">
        <f>IFERROR(Sheet1!P217,0)</f>
        <v>NA</v>
      </c>
      <c r="N217" s="46">
        <f>IFERROR(IF(ISNUMBER(Sheet1!N217),Sheet1!N217,0),0)</f>
        <v>5</v>
      </c>
      <c r="O217" s="46">
        <f>IFERROR(IF(TRIM(F217)="Nhava Sheva",SUMPRODUCT((UPPER(TRIM('Origin Costs'!$A$5:$A$44))=UPPER(TRIM(J217)))*'Origin Costs'!$C$5:$C$44),IF(TRIM(F217)="ICD Tihi",SUMPRODUCT((UPPER(TRIM('Origin Costs'!$A$49:$A$88))=UPPER(TRIM(J217)))*'Origin Costs'!$C$49:$C$88),IF(TRIM(F217)="ICD Dhannad",SUMPRODUCT((UPPER(TRIM('Origin Costs'!$A$93:$A$132))=UPPER(TRIM(J217)))*'Origin Costs'!$C$93:$C$132),0))),0)</f>
        <v>0</v>
      </c>
      <c r="P217" s="46">
        <f t="shared" si="3"/>
        <v>5</v>
      </c>
      <c r="Q217" s="13" t="str">
        <f>IF(OR(Dashboard!$C$4="All Customers",$E217=Dashboard!$C$4),IF($E217="","",$P217+ROW()/10000000),"")</f>
        <v/>
      </c>
    </row>
    <row r="218" spans="1:17" ht="14.25" customHeight="1" x14ac:dyDescent="0.3">
      <c r="A218" s="39" t="str">
        <f>IFERROR("FY"&amp;TEXT(MOD(IF(MONTH(Sheet1!A218)&gt;=4,YEAR(Sheet1!A218),YEAR(Sheet1!A218)-1),100),"00")&amp;"-"&amp;TEXT(MOD(IF(MONTH(Sheet1!A218)&gt;=4,YEAR(Sheet1!A218),YEAR(Sheet1!A218)-1)+1,100),"00"),"")</f>
        <v>FY25-26</v>
      </c>
      <c r="B218" s="40" t="str">
        <f>IFERROR("Q"&amp;IF(MONTH(Sheet1!A218)&gt;=4,IF(MONTH(Sheet1!A218)&lt;=6,1,IF(MONTH(Sheet1!A218)&lt;=9,2,3)),4),"")</f>
        <v>Q2</v>
      </c>
      <c r="C218" s="39" t="str">
        <f>IFERROR(Sheet1!C218,0)</f>
        <v>Europe</v>
      </c>
      <c r="D218" s="39" t="str">
        <f>IFERROR(Sheet1!F218,0)</f>
        <v>Slovenia</v>
      </c>
      <c r="E218" s="39" t="str">
        <f>IFERROR(Sheet1!E218,0)</f>
        <v>Inter Cars INT d.o.o. Slovenia</v>
      </c>
      <c r="F218" s="39" t="str">
        <f>IFERROR(IF(UPPER(TRIM(Sheet1!J218))="NH","Nhava Sheva",IF(UPPER(TRIM(Sheet1!J218))="ICD","ICD Dhannad",IF(UPPER(TRIM(Sheet1!J218))="TIHI","ICD Tihi",Sheet1!J218))),0)</f>
        <v>ICD Tihi</v>
      </c>
      <c r="G218" s="39" t="str">
        <f>IFERROR(Sheet1!M218,0)</f>
        <v>Koper</v>
      </c>
      <c r="H218" s="39" t="str">
        <f>IFERROR(Sheet1!H218,0)</f>
        <v>VR Logistics</v>
      </c>
      <c r="I218" s="39" t="str">
        <f>IFERROR(Sheet1!G218,0)</f>
        <v>CIF</v>
      </c>
      <c r="J218" s="39" t="str">
        <f>IFERROR(Sheet1!K218,0)</f>
        <v>MSC</v>
      </c>
      <c r="K218" s="41">
        <f>IFERROR(Sheet1!A218,0)</f>
        <v>45930</v>
      </c>
      <c r="L218" s="41">
        <f>IFERROR(Sheet1!I218,0)</f>
        <v>45929</v>
      </c>
      <c r="M218" s="47" t="str">
        <f>IFERROR(Sheet1!P218,0)</f>
        <v>NA</v>
      </c>
      <c r="N218" s="42">
        <f>IFERROR(IF(ISNUMBER(Sheet1!N218),Sheet1!N218,0),0)</f>
        <v>1784</v>
      </c>
      <c r="O218" s="42">
        <f>IFERROR(IF(TRIM(F218)="Nhava Sheva",SUMPRODUCT((UPPER(TRIM('Origin Costs'!$A$5:$A$44))=UPPER(TRIM(J218)))*'Origin Costs'!$C$5:$C$44),IF(TRIM(F218)="ICD Tihi",SUMPRODUCT((UPPER(TRIM('Origin Costs'!$A$49:$A$88))=UPPER(TRIM(J218)))*'Origin Costs'!$C$49:$C$88),IF(TRIM(F218)="ICD Dhannad",SUMPRODUCT((UPPER(TRIM('Origin Costs'!$A$93:$A$132))=UPPER(TRIM(J218)))*'Origin Costs'!$C$93:$C$132),0))),0)</f>
        <v>1081.3333333333333</v>
      </c>
      <c r="P218" s="42">
        <f t="shared" si="3"/>
        <v>2865.333333333333</v>
      </c>
      <c r="Q218" s="13" t="str">
        <f>IF(OR(Dashboard!$C$4="All Customers",$E218=Dashboard!$C$4),IF($E218="","",$P218+ROW()/10000000),"")</f>
        <v/>
      </c>
    </row>
    <row r="219" spans="1:17" ht="14.25" customHeight="1" x14ac:dyDescent="0.3">
      <c r="A219" s="43" t="str">
        <f>IFERROR("FY"&amp;TEXT(MOD(IF(MONTH(Sheet1!A219)&gt;=4,YEAR(Sheet1!A219),YEAR(Sheet1!A219)-1),100),"00")&amp;"-"&amp;TEXT(MOD(IF(MONTH(Sheet1!A219)&gt;=4,YEAR(Sheet1!A219),YEAR(Sheet1!A219)-1)+1,100),"00"),"")</f>
        <v>FY25-26</v>
      </c>
      <c r="B219" s="44" t="str">
        <f>IFERROR("Q"&amp;IF(MONTH(Sheet1!A219)&gt;=4,IF(MONTH(Sheet1!A219)&lt;=6,1,IF(MONTH(Sheet1!A219)&lt;=9,2,3)),4),"")</f>
        <v>Q2</v>
      </c>
      <c r="C219" s="43" t="str">
        <f>IFERROR(Sheet1!C219,0)</f>
        <v>Europe</v>
      </c>
      <c r="D219" s="43" t="str">
        <f>IFERROR(Sheet1!F219,0)</f>
        <v>Poland</v>
      </c>
      <c r="E219" s="43" t="str">
        <f>IFERROR(Sheet1!E219,0)</f>
        <v>Inter Cars S.A., Poland</v>
      </c>
      <c r="F219" s="43" t="str">
        <f>IFERROR(IF(UPPER(TRIM(Sheet1!J219))="NH","Nhava Sheva",IF(UPPER(TRIM(Sheet1!J219))="ICD","ICD Dhannad",IF(UPPER(TRIM(Sheet1!J219))="TIHI","ICD Tihi",Sheet1!J219))),0)</f>
        <v>Nhava Sheva</v>
      </c>
      <c r="G219" s="43" t="str">
        <f>IFERROR(Sheet1!M219,0)</f>
        <v>Gdynia</v>
      </c>
      <c r="H219" s="43" t="str">
        <f>IFERROR(Sheet1!H219,0)</f>
        <v>Ligentia Global</v>
      </c>
      <c r="I219" s="43" t="str">
        <f>IFERROR(Sheet1!G219,0)</f>
        <v>FOB</v>
      </c>
      <c r="J219" s="43" t="str">
        <f>IFERROR(Sheet1!K219,0)</f>
        <v>ONE</v>
      </c>
      <c r="K219" s="45">
        <f>IFERROR(Sheet1!A219,0)</f>
        <v>45930</v>
      </c>
      <c r="L219" s="45">
        <f>IFERROR(Sheet1!I219,0)</f>
        <v>45928</v>
      </c>
      <c r="M219" s="47" t="str">
        <f>IFERROR(Sheet1!P219,0)</f>
        <v>NA</v>
      </c>
      <c r="N219" s="46">
        <f>IFERROR(IF(ISNUMBER(Sheet1!N219),Sheet1!N219,0),0)</f>
        <v>0</v>
      </c>
      <c r="O219" s="46">
        <f>IFERROR(IF(TRIM(F219)="Nhava Sheva",SUMPRODUCT((UPPER(TRIM('Origin Costs'!$A$5:$A$44))=UPPER(TRIM(J219)))*'Origin Costs'!$C$5:$C$44),IF(TRIM(F219)="ICD Tihi",SUMPRODUCT((UPPER(TRIM('Origin Costs'!$A$49:$A$88))=UPPER(TRIM(J219)))*'Origin Costs'!$C$49:$C$88),IF(TRIM(F219)="ICD Dhannad",SUMPRODUCT((UPPER(TRIM('Origin Costs'!$A$93:$A$132))=UPPER(TRIM(J219)))*'Origin Costs'!$C$93:$C$132),0))),0)</f>
        <v>1146.5555555555557</v>
      </c>
      <c r="P219" s="46">
        <f t="shared" si="3"/>
        <v>1146.5555555555557</v>
      </c>
      <c r="Q219" s="13" t="str">
        <f>IF(OR(Dashboard!$C$4="All Customers",$E219=Dashboard!$C$4),IF($E219="","",$P219+ROW()/10000000),"")</f>
        <v/>
      </c>
    </row>
    <row r="220" spans="1:17" ht="14.25" customHeight="1" x14ac:dyDescent="0.3">
      <c r="A220" s="39" t="str">
        <f>IFERROR("FY"&amp;TEXT(MOD(IF(MONTH(Sheet1!A220)&gt;=4,YEAR(Sheet1!A220),YEAR(Sheet1!A220)-1),100),"00")&amp;"-"&amp;TEXT(MOD(IF(MONTH(Sheet1!A220)&gt;=4,YEAR(Sheet1!A220),YEAR(Sheet1!A220)-1)+1,100),"00"),"")</f>
        <v>FY25-26</v>
      </c>
      <c r="B220" s="40" t="str">
        <f>IFERROR("Q"&amp;IF(MONTH(Sheet1!A220)&gt;=4,IF(MONTH(Sheet1!A220)&lt;=6,1,IF(MONTH(Sheet1!A220)&lt;=9,2,3)),4),"")</f>
        <v>Q2</v>
      </c>
      <c r="C220" s="39" t="str">
        <f>IFERROR(Sheet1!C220,0)</f>
        <v>Europe</v>
      </c>
      <c r="D220" s="39" t="str">
        <f>IFERROR(Sheet1!F220,0)</f>
        <v>Poland</v>
      </c>
      <c r="E220" s="39" t="str">
        <f>IFERROR(Sheet1!E220,0)</f>
        <v>Inter Cars S.A., Poland</v>
      </c>
      <c r="F220" s="39" t="str">
        <f>IFERROR(IF(UPPER(TRIM(Sheet1!J220))="NH","Nhava Sheva",IF(UPPER(TRIM(Sheet1!J220))="ICD","ICD Dhannad",IF(UPPER(TRIM(Sheet1!J220))="TIHI","ICD Tihi",Sheet1!J220))),0)</f>
        <v>Nhava Sheva</v>
      </c>
      <c r="G220" s="39" t="str">
        <f>IFERROR(Sheet1!M220,0)</f>
        <v>Gdynia</v>
      </c>
      <c r="H220" s="39" t="str">
        <f>IFERROR(Sheet1!H220,0)</f>
        <v>Ligentia Global</v>
      </c>
      <c r="I220" s="39" t="str">
        <f>IFERROR(Sheet1!G220,0)</f>
        <v>FOB</v>
      </c>
      <c r="J220" s="39" t="str">
        <f>IFERROR(Sheet1!K220,0)</f>
        <v>ONE</v>
      </c>
      <c r="K220" s="41">
        <f>IFERROR(Sheet1!A220,0)</f>
        <v>45930</v>
      </c>
      <c r="L220" s="41">
        <f>IFERROR(Sheet1!I220,0)</f>
        <v>45928</v>
      </c>
      <c r="M220" s="47" t="str">
        <f>IFERROR(Sheet1!P220,0)</f>
        <v>NA</v>
      </c>
      <c r="N220" s="42">
        <f>IFERROR(IF(ISNUMBER(Sheet1!N220),Sheet1!N220,0),0)</f>
        <v>0</v>
      </c>
      <c r="O220" s="42">
        <f>IFERROR(IF(TRIM(F220)="Nhava Sheva",SUMPRODUCT((UPPER(TRIM('Origin Costs'!$A$5:$A$44))=UPPER(TRIM(J220)))*'Origin Costs'!$C$5:$C$44),IF(TRIM(F220)="ICD Tihi",SUMPRODUCT((UPPER(TRIM('Origin Costs'!$A$49:$A$88))=UPPER(TRIM(J220)))*'Origin Costs'!$C$49:$C$88),IF(TRIM(F220)="ICD Dhannad",SUMPRODUCT((UPPER(TRIM('Origin Costs'!$A$93:$A$132))=UPPER(TRIM(J220)))*'Origin Costs'!$C$93:$C$132),0))),0)</f>
        <v>1146.5555555555557</v>
      </c>
      <c r="P220" s="42">
        <f t="shared" si="3"/>
        <v>1146.5555555555557</v>
      </c>
      <c r="Q220" s="13" t="str">
        <f>IF(OR(Dashboard!$C$4="All Customers",$E220=Dashboard!$C$4),IF($E220="","",$P220+ROW()/10000000),"")</f>
        <v/>
      </c>
    </row>
    <row r="221" spans="1:17" ht="14.25" customHeight="1" x14ac:dyDescent="0.3">
      <c r="A221" s="43" t="str">
        <f>IFERROR("FY"&amp;TEXT(MOD(IF(MONTH(Sheet1!A221)&gt;=4,YEAR(Sheet1!A221),YEAR(Sheet1!A221)-1),100),"00")&amp;"-"&amp;TEXT(MOD(IF(MONTH(Sheet1!A221)&gt;=4,YEAR(Sheet1!A221),YEAR(Sheet1!A221)-1)+1,100),"00"),"")</f>
        <v>FY25-26</v>
      </c>
      <c r="B221" s="44" t="str">
        <f>IFERROR("Q"&amp;IF(MONTH(Sheet1!A221)&gt;=4,IF(MONTH(Sheet1!A221)&lt;=6,1,IF(MONTH(Sheet1!A221)&lt;=9,2,3)),4),"")</f>
        <v>Q3</v>
      </c>
      <c r="C221" s="43" t="str">
        <f>IFERROR(Sheet1!C221,0)</f>
        <v>S.A</v>
      </c>
      <c r="D221" s="43" t="str">
        <f>IFERROR(Sheet1!F221,0)</f>
        <v>Argentina</v>
      </c>
      <c r="E221" s="43" t="str">
        <f>IFERROR(Sheet1!E221,0)</f>
        <v>Rappazzo Neumaticos S.A, Argentina</v>
      </c>
      <c r="F221" s="43" t="str">
        <f>IFERROR(IF(UPPER(TRIM(Sheet1!J221))="NH","Nhava Sheva",IF(UPPER(TRIM(Sheet1!J221))="ICD","ICD Dhannad",IF(UPPER(TRIM(Sheet1!J221))="TIHI","ICD Tihi",Sheet1!J221))),0)</f>
        <v>Nhava Sheva</v>
      </c>
      <c r="G221" s="43" t="str">
        <f>IFERROR(Sheet1!M221,0)</f>
        <v>Buenos Aires</v>
      </c>
      <c r="H221" s="43" t="str">
        <f>IFERROR(Sheet1!H221,0)</f>
        <v>Marinair Cargo</v>
      </c>
      <c r="I221" s="43" t="str">
        <f>IFERROR(Sheet1!G221,0)</f>
        <v>FOB</v>
      </c>
      <c r="J221" s="43" t="str">
        <f>IFERROR(Sheet1!K221,0)</f>
        <v>CMA</v>
      </c>
      <c r="K221" s="45">
        <f>IFERROR(Sheet1!A221,0)</f>
        <v>45939</v>
      </c>
      <c r="L221" s="45">
        <f>IFERROR(Sheet1!I221,0)</f>
        <v>45937</v>
      </c>
      <c r="M221" s="47" t="str">
        <f>IFERROR(Sheet1!P221,0)</f>
        <v>NA</v>
      </c>
      <c r="N221" s="46">
        <f>IFERROR(IF(ISNUMBER(Sheet1!N221),Sheet1!N221,0),0)</f>
        <v>0</v>
      </c>
      <c r="O221" s="46">
        <f>IFERROR(IF(TRIM(F221)="Nhava Sheva",SUMPRODUCT((UPPER(TRIM('Origin Costs'!$A$5:$A$44))=UPPER(TRIM(J221)))*'Origin Costs'!$C$5:$C$44),IF(TRIM(F221)="ICD Tihi",SUMPRODUCT((UPPER(TRIM('Origin Costs'!$A$49:$A$88))=UPPER(TRIM(J221)))*'Origin Costs'!$C$49:$C$88),IF(TRIM(F221)="ICD Dhannad",SUMPRODUCT((UPPER(TRIM('Origin Costs'!$A$93:$A$132))=UPPER(TRIM(J221)))*'Origin Costs'!$C$93:$C$132),0))),0)</f>
        <v>0</v>
      </c>
      <c r="P221" s="46">
        <f t="shared" si="3"/>
        <v>0</v>
      </c>
      <c r="Q221" s="13" t="str">
        <f>IF(OR(Dashboard!$C$4="All Customers",$E221=Dashboard!$C$4),IF($E221="","",$P221+ROW()/10000000),"")</f>
        <v/>
      </c>
    </row>
    <row r="222" spans="1:17" ht="14.25" customHeight="1" x14ac:dyDescent="0.3">
      <c r="A222" s="39" t="str">
        <f>IFERROR("FY"&amp;TEXT(MOD(IF(MONTH(Sheet1!A222)&gt;=4,YEAR(Sheet1!A222),YEAR(Sheet1!A222)-1),100),"00")&amp;"-"&amp;TEXT(MOD(IF(MONTH(Sheet1!A222)&gt;=4,YEAR(Sheet1!A222),YEAR(Sheet1!A222)-1)+1,100),"00"),"")</f>
        <v>FY25-26</v>
      </c>
      <c r="B222" s="40" t="str">
        <f>IFERROR("Q"&amp;IF(MONTH(Sheet1!A222)&gt;=4,IF(MONTH(Sheet1!A222)&lt;=6,1,IF(MONTH(Sheet1!A222)&lt;=9,2,3)),4),"")</f>
        <v>Q3</v>
      </c>
      <c r="C222" s="39" t="str">
        <f>IFERROR(Sheet1!C222,0)</f>
        <v>S.A</v>
      </c>
      <c r="D222" s="39" t="str">
        <f>IFERROR(Sheet1!F222,0)</f>
        <v>Argentina</v>
      </c>
      <c r="E222" s="39" t="str">
        <f>IFERROR(Sheet1!E222,0)</f>
        <v>Rappazzo Neumaticos S.A, Argentina</v>
      </c>
      <c r="F222" s="39" t="str">
        <f>IFERROR(IF(UPPER(TRIM(Sheet1!J222))="NH","Nhava Sheva",IF(UPPER(TRIM(Sheet1!J222))="ICD","ICD Dhannad",IF(UPPER(TRIM(Sheet1!J222))="TIHI","ICD Tihi",Sheet1!J222))),0)</f>
        <v>Nhava Sheva</v>
      </c>
      <c r="G222" s="39" t="str">
        <f>IFERROR(Sheet1!M222,0)</f>
        <v>Buenos Aires</v>
      </c>
      <c r="H222" s="39" t="str">
        <f>IFERROR(Sheet1!H222,0)</f>
        <v>Marinair Cargo</v>
      </c>
      <c r="I222" s="39" t="str">
        <f>IFERROR(Sheet1!G222,0)</f>
        <v>FOB</v>
      </c>
      <c r="J222" s="39" t="str">
        <f>IFERROR(Sheet1!K222,0)</f>
        <v>CMA</v>
      </c>
      <c r="K222" s="41">
        <f>IFERROR(Sheet1!A222,0)</f>
        <v>45939</v>
      </c>
      <c r="L222" s="41">
        <f>IFERROR(Sheet1!I222,0)</f>
        <v>45937</v>
      </c>
      <c r="M222" s="47" t="str">
        <f>IFERROR(Sheet1!P222,0)</f>
        <v>NA</v>
      </c>
      <c r="N222" s="42">
        <f>IFERROR(IF(ISNUMBER(Sheet1!N222),Sheet1!N222,0),0)</f>
        <v>0</v>
      </c>
      <c r="O222" s="42">
        <f>IFERROR(IF(TRIM(F222)="Nhava Sheva",SUMPRODUCT((UPPER(TRIM('Origin Costs'!$A$5:$A$44))=UPPER(TRIM(J222)))*'Origin Costs'!$C$5:$C$44),IF(TRIM(F222)="ICD Tihi",SUMPRODUCT((UPPER(TRIM('Origin Costs'!$A$49:$A$88))=UPPER(TRIM(J222)))*'Origin Costs'!$C$49:$C$88),IF(TRIM(F222)="ICD Dhannad",SUMPRODUCT((UPPER(TRIM('Origin Costs'!$A$93:$A$132))=UPPER(TRIM(J222)))*'Origin Costs'!$C$93:$C$132),0))),0)</f>
        <v>0</v>
      </c>
      <c r="P222" s="42">
        <f t="shared" si="3"/>
        <v>0</v>
      </c>
      <c r="Q222" s="13" t="str">
        <f>IF(OR(Dashboard!$C$4="All Customers",$E222=Dashboard!$C$4),IF($E222="","",$P222+ROW()/10000000),"")</f>
        <v/>
      </c>
    </row>
    <row r="223" spans="1:17" ht="14.25" customHeight="1" x14ac:dyDescent="0.3">
      <c r="A223" s="43" t="str">
        <f>IFERROR("FY"&amp;TEXT(MOD(IF(MONTH(Sheet1!A223)&gt;=4,YEAR(Sheet1!A223),YEAR(Sheet1!A223)-1),100),"00")&amp;"-"&amp;TEXT(MOD(IF(MONTH(Sheet1!A223)&gt;=4,YEAR(Sheet1!A223),YEAR(Sheet1!A223)-1)+1,100),"00"),"")</f>
        <v>FY25-26</v>
      </c>
      <c r="B223" s="44" t="str">
        <f>IFERROR("Q"&amp;IF(MONTH(Sheet1!A223)&gt;=4,IF(MONTH(Sheet1!A223)&lt;=6,1,IF(MONTH(Sheet1!A223)&lt;=9,2,3)),4),"")</f>
        <v>Q3</v>
      </c>
      <c r="C223" s="43" t="str">
        <f>IFERROR(Sheet1!C223,0)</f>
        <v>MEA</v>
      </c>
      <c r="D223" s="43" t="str">
        <f>IFERROR(Sheet1!F223,0)</f>
        <v>Kuwait</v>
      </c>
      <c r="E223" s="43" t="str">
        <f>IFERROR(Sheet1!E223,0)</f>
        <v>AHMED YOUSIF ABDULHADI ALMAILEM &amp; B, Kuwait</v>
      </c>
      <c r="F223" s="43" t="str">
        <f>IFERROR(IF(UPPER(TRIM(Sheet1!J223))="NH","Nhava Sheva",IF(UPPER(TRIM(Sheet1!J223))="ICD","ICD Dhannad",IF(UPPER(TRIM(Sheet1!J223))="TIHI","ICD Tihi",Sheet1!J223))),0)</f>
        <v>Nhava Sheva</v>
      </c>
      <c r="G223" s="43" t="str">
        <f>IFERROR(Sheet1!M223,0)</f>
        <v>Shuwaikh</v>
      </c>
      <c r="H223" s="43" t="str">
        <f>IFERROR(Sheet1!H223,0)</f>
        <v>Sevenseas Global</v>
      </c>
      <c r="I223" s="43" t="str">
        <f>IFERROR(Sheet1!G223,0)</f>
        <v>CIF</v>
      </c>
      <c r="J223" s="43" t="str">
        <f>IFERROR(Sheet1!K223,0)</f>
        <v>OOCL</v>
      </c>
      <c r="K223" s="45">
        <f>IFERROR(Sheet1!A223,0)</f>
        <v>45940</v>
      </c>
      <c r="L223" s="45">
        <f>IFERROR(Sheet1!I223,0)</f>
        <v>45939</v>
      </c>
      <c r="M223" s="47" t="str">
        <f>IFERROR(Sheet1!P223,0)</f>
        <v>NA</v>
      </c>
      <c r="N223" s="46">
        <f>IFERROR(IF(ISNUMBER(Sheet1!N223),Sheet1!N223,0),0)</f>
        <v>595</v>
      </c>
      <c r="O223" s="46">
        <f>IFERROR(IF(TRIM(F223)="Nhava Sheva",SUMPRODUCT((UPPER(TRIM('Origin Costs'!$A$5:$A$44))=UPPER(TRIM(J223)))*'Origin Costs'!$C$5:$C$44),IF(TRIM(F223)="ICD Tihi",SUMPRODUCT((UPPER(TRIM('Origin Costs'!$A$49:$A$88))=UPPER(TRIM(J223)))*'Origin Costs'!$C$49:$C$88),IF(TRIM(F223)="ICD Dhannad",SUMPRODUCT((UPPER(TRIM('Origin Costs'!$A$93:$A$132))=UPPER(TRIM(J223)))*'Origin Costs'!$C$93:$C$132),0))),0)</f>
        <v>0</v>
      </c>
      <c r="P223" s="46">
        <f t="shared" si="3"/>
        <v>595</v>
      </c>
      <c r="Q223" s="13" t="str">
        <f>IF(OR(Dashboard!$C$4="All Customers",$E223=Dashboard!$C$4),IF($E223="","",$P223+ROW()/10000000),"")</f>
        <v/>
      </c>
    </row>
    <row r="224" spans="1:17" ht="14.25" customHeight="1" x14ac:dyDescent="0.3">
      <c r="A224" s="39" t="str">
        <f>IFERROR("FY"&amp;TEXT(MOD(IF(MONTH(Sheet1!A224)&gt;=4,YEAR(Sheet1!A224),YEAR(Sheet1!A224)-1),100),"00")&amp;"-"&amp;TEXT(MOD(IF(MONTH(Sheet1!A224)&gt;=4,YEAR(Sheet1!A224),YEAR(Sheet1!A224)-1)+1,100),"00"),"")</f>
        <v>FY25-26</v>
      </c>
      <c r="B224" s="40" t="str">
        <f>IFERROR("Q"&amp;IF(MONTH(Sheet1!A224)&gt;=4,IF(MONTH(Sheet1!A224)&lt;=6,1,IF(MONTH(Sheet1!A224)&lt;=9,2,3)),4),"")</f>
        <v>Q3</v>
      </c>
      <c r="C224" s="39" t="str">
        <f>IFERROR(Sheet1!C224,0)</f>
        <v>Europe</v>
      </c>
      <c r="D224" s="39" t="str">
        <f>IFERROR(Sheet1!F224,0)</f>
        <v>UK</v>
      </c>
      <c r="E224" s="39" t="str">
        <f>IFERROR(Sheet1!E224,0)</f>
        <v>BA Bush Tyres</v>
      </c>
      <c r="F224" s="39" t="str">
        <f>IFERROR(IF(UPPER(TRIM(Sheet1!J224))="NH","Nhava Sheva",IF(UPPER(TRIM(Sheet1!J224))="ICD","ICD Dhannad",IF(UPPER(TRIM(Sheet1!J224))="TIHI","ICD Tihi",Sheet1!J224))),0)</f>
        <v>ICD Tihi</v>
      </c>
      <c r="G224" s="39" t="str">
        <f>IFERROR(Sheet1!M224,0)</f>
        <v>London Gateway</v>
      </c>
      <c r="H224" s="39" t="str">
        <f>IFERROR(Sheet1!H224,0)</f>
        <v>Hellmann</v>
      </c>
      <c r="I224" s="39" t="str">
        <f>IFERROR(Sheet1!G224,0)</f>
        <v>CIF</v>
      </c>
      <c r="J224" s="39" t="str">
        <f>IFERROR(Sheet1!K224,0)</f>
        <v>Hapag</v>
      </c>
      <c r="K224" s="41">
        <f>IFERROR(Sheet1!A224,0)</f>
        <v>45940</v>
      </c>
      <c r="L224" s="41">
        <f>IFERROR(Sheet1!I224,0)</f>
        <v>45939</v>
      </c>
      <c r="M224" s="47" t="str">
        <f>IFERROR(Sheet1!P224,0)</f>
        <v>NA</v>
      </c>
      <c r="N224" s="42">
        <f>IFERROR(IF(ISNUMBER(Sheet1!N224),Sheet1!N224,0),0)</f>
        <v>1100</v>
      </c>
      <c r="O224" s="42">
        <f>IFERROR(IF(TRIM(F224)="Nhava Sheva",SUMPRODUCT((UPPER(TRIM('Origin Costs'!$A$5:$A$44))=UPPER(TRIM(J224)))*'Origin Costs'!$C$5:$C$44),IF(TRIM(F224)="ICD Tihi",SUMPRODUCT((UPPER(TRIM('Origin Costs'!$A$49:$A$88))=UPPER(TRIM(J224)))*'Origin Costs'!$C$49:$C$88),IF(TRIM(F224)="ICD Dhannad",SUMPRODUCT((UPPER(TRIM('Origin Costs'!$A$93:$A$132))=UPPER(TRIM(J224)))*'Origin Costs'!$C$93:$C$132),0))),0)</f>
        <v>1027.4444444444443</v>
      </c>
      <c r="P224" s="42">
        <f t="shared" si="3"/>
        <v>2127.4444444444443</v>
      </c>
      <c r="Q224" s="13" t="str">
        <f>IF(OR(Dashboard!$C$4="All Customers",$E224=Dashboard!$C$4),IF($E224="","",$P224+ROW()/10000000),"")</f>
        <v/>
      </c>
    </row>
    <row r="225" spans="1:17" ht="14.25" customHeight="1" x14ac:dyDescent="0.3">
      <c r="A225" s="43" t="str">
        <f>IFERROR("FY"&amp;TEXT(MOD(IF(MONTH(Sheet1!A225)&gt;=4,YEAR(Sheet1!A225),YEAR(Sheet1!A225)-1),100),"00")&amp;"-"&amp;TEXT(MOD(IF(MONTH(Sheet1!A225)&gt;=4,YEAR(Sheet1!A225),YEAR(Sheet1!A225)-1)+1,100),"00"),"")</f>
        <v>FY25-26</v>
      </c>
      <c r="B225" s="44" t="str">
        <f>IFERROR("Q"&amp;IF(MONTH(Sheet1!A225)&gt;=4,IF(MONTH(Sheet1!A225)&lt;=6,1,IF(MONTH(Sheet1!A225)&lt;=9,2,3)),4),"")</f>
        <v>Q3</v>
      </c>
      <c r="C225" s="43" t="str">
        <f>IFERROR(Sheet1!C225,0)</f>
        <v>Europe</v>
      </c>
      <c r="D225" s="43" t="str">
        <f>IFERROR(Sheet1!F225,0)</f>
        <v>UK</v>
      </c>
      <c r="E225" s="43" t="str">
        <f>IFERROR(Sheet1!E225,0)</f>
        <v>BA Bush Tyres</v>
      </c>
      <c r="F225" s="43" t="str">
        <f>IFERROR(IF(UPPER(TRIM(Sheet1!J225))="NH","Nhava Sheva",IF(UPPER(TRIM(Sheet1!J225))="ICD","ICD Dhannad",IF(UPPER(TRIM(Sheet1!J225))="TIHI","ICD Tihi",Sheet1!J225))),0)</f>
        <v>ICD Tihi</v>
      </c>
      <c r="G225" s="43" t="str">
        <f>IFERROR(Sheet1!M225,0)</f>
        <v>London Gateway</v>
      </c>
      <c r="H225" s="43" t="str">
        <f>IFERROR(Sheet1!H225,0)</f>
        <v>Hellmann</v>
      </c>
      <c r="I225" s="43" t="str">
        <f>IFERROR(Sheet1!G225,0)</f>
        <v>CIF</v>
      </c>
      <c r="J225" s="43" t="str">
        <f>IFERROR(Sheet1!K225,0)</f>
        <v>Hapag</v>
      </c>
      <c r="K225" s="45">
        <f>IFERROR(Sheet1!A225,0)</f>
        <v>45940</v>
      </c>
      <c r="L225" s="45">
        <f>IFERROR(Sheet1!I225,0)</f>
        <v>45939</v>
      </c>
      <c r="M225" s="47" t="str">
        <f>IFERROR(Sheet1!P225,0)</f>
        <v>NA</v>
      </c>
      <c r="N225" s="46">
        <f>IFERROR(IF(ISNUMBER(Sheet1!N225),Sheet1!N225,0),0)</f>
        <v>1100</v>
      </c>
      <c r="O225" s="46">
        <f>IFERROR(IF(TRIM(F225)="Nhava Sheva",SUMPRODUCT((UPPER(TRIM('Origin Costs'!$A$5:$A$44))=UPPER(TRIM(J225)))*'Origin Costs'!$C$5:$C$44),IF(TRIM(F225)="ICD Tihi",SUMPRODUCT((UPPER(TRIM('Origin Costs'!$A$49:$A$88))=UPPER(TRIM(J225)))*'Origin Costs'!$C$49:$C$88),IF(TRIM(F225)="ICD Dhannad",SUMPRODUCT((UPPER(TRIM('Origin Costs'!$A$93:$A$132))=UPPER(TRIM(J225)))*'Origin Costs'!$C$93:$C$132),0))),0)</f>
        <v>1027.4444444444443</v>
      </c>
      <c r="P225" s="46">
        <f t="shared" si="3"/>
        <v>2127.4444444444443</v>
      </c>
      <c r="Q225" s="13" t="str">
        <f>IF(OR(Dashboard!$C$4="All Customers",$E225=Dashboard!$C$4),IF($E225="","",$P225+ROW()/10000000),"")</f>
        <v/>
      </c>
    </row>
    <row r="226" spans="1:17" ht="14.25" customHeight="1" x14ac:dyDescent="0.3">
      <c r="A226" s="39" t="str">
        <f>IFERROR("FY"&amp;TEXT(MOD(IF(MONTH(Sheet1!A226)&gt;=4,YEAR(Sheet1!A226),YEAR(Sheet1!A226)-1),100),"00")&amp;"-"&amp;TEXT(MOD(IF(MONTH(Sheet1!A226)&gt;=4,YEAR(Sheet1!A226),YEAR(Sheet1!A226)-1)+1,100),"00"),"")</f>
        <v>FY25-26</v>
      </c>
      <c r="B226" s="40" t="str">
        <f>IFERROR("Q"&amp;IF(MONTH(Sheet1!A226)&gt;=4,IF(MONTH(Sheet1!A226)&lt;=6,1,IF(MONTH(Sheet1!A226)&lt;=9,2,3)),4),"")</f>
        <v>Q3</v>
      </c>
      <c r="C226" s="39" t="str">
        <f>IFERROR(Sheet1!C226,0)</f>
        <v>Europe</v>
      </c>
      <c r="D226" s="39" t="str">
        <f>IFERROR(Sheet1!F226,0)</f>
        <v>UK</v>
      </c>
      <c r="E226" s="39" t="str">
        <f>IFERROR(Sheet1!E226,0)</f>
        <v>BA Bush Tyres</v>
      </c>
      <c r="F226" s="39" t="str">
        <f>IFERROR(IF(UPPER(TRIM(Sheet1!J226))="NH","Nhava Sheva",IF(UPPER(TRIM(Sheet1!J226))="ICD","ICD Dhannad",IF(UPPER(TRIM(Sheet1!J226))="TIHI","ICD Tihi",Sheet1!J226))),0)</f>
        <v>Nhava Sheva</v>
      </c>
      <c r="G226" s="39" t="str">
        <f>IFERROR(Sheet1!M226,0)</f>
        <v>London Gateway</v>
      </c>
      <c r="H226" s="39" t="str">
        <f>IFERROR(Sheet1!H226,0)</f>
        <v>Sevenseas Global</v>
      </c>
      <c r="I226" s="39" t="str">
        <f>IFERROR(Sheet1!G226,0)</f>
        <v>CIF</v>
      </c>
      <c r="J226" s="39" t="str">
        <f>IFERROR(Sheet1!K226,0)</f>
        <v>Hapag</v>
      </c>
      <c r="K226" s="41">
        <f>IFERROR(Sheet1!A226,0)</f>
        <v>45940</v>
      </c>
      <c r="L226" s="41">
        <f>IFERROR(Sheet1!I226,0)</f>
        <v>45939</v>
      </c>
      <c r="M226" s="47" t="str">
        <f>IFERROR(Sheet1!P226,0)</f>
        <v>NA</v>
      </c>
      <c r="N226" s="42">
        <f>IFERROR(IF(ISNUMBER(Sheet1!N226),Sheet1!N226,0),0)</f>
        <v>1100</v>
      </c>
      <c r="O226" s="42">
        <f>IFERROR(IF(TRIM(F226)="Nhava Sheva",SUMPRODUCT((UPPER(TRIM('Origin Costs'!$A$5:$A$44))=UPPER(TRIM(J226)))*'Origin Costs'!$C$5:$C$44),IF(TRIM(F226)="ICD Tihi",SUMPRODUCT((UPPER(TRIM('Origin Costs'!$A$49:$A$88))=UPPER(TRIM(J226)))*'Origin Costs'!$C$49:$C$88),IF(TRIM(F226)="ICD Dhannad",SUMPRODUCT((UPPER(TRIM('Origin Costs'!$A$93:$A$132))=UPPER(TRIM(J226)))*'Origin Costs'!$C$93:$C$132),0))),0)</f>
        <v>1192.9777777777779</v>
      </c>
      <c r="P226" s="42">
        <f t="shared" si="3"/>
        <v>2292.9777777777781</v>
      </c>
      <c r="Q226" s="13" t="str">
        <f>IF(OR(Dashboard!$C$4="All Customers",$E226=Dashboard!$C$4),IF($E226="","",$P226+ROW()/10000000),"")</f>
        <v/>
      </c>
    </row>
    <row r="227" spans="1:17" ht="14.25" customHeight="1" x14ac:dyDescent="0.3">
      <c r="A227" s="43" t="str">
        <f>IFERROR("FY"&amp;TEXT(MOD(IF(MONTH(Sheet1!A227)&gt;=4,YEAR(Sheet1!A227),YEAR(Sheet1!A227)-1),100),"00")&amp;"-"&amp;TEXT(MOD(IF(MONTH(Sheet1!A227)&gt;=4,YEAR(Sheet1!A227),YEAR(Sheet1!A227)-1)+1,100),"00"),"")</f>
        <v>FY25-26</v>
      </c>
      <c r="B227" s="44" t="str">
        <f>IFERROR("Q"&amp;IF(MONTH(Sheet1!A227)&gt;=4,IF(MONTH(Sheet1!A227)&lt;=6,1,IF(MONTH(Sheet1!A227)&lt;=9,2,3)),4),"")</f>
        <v>Q3</v>
      </c>
      <c r="C227" s="43" t="str">
        <f>IFERROR(Sheet1!C227,0)</f>
        <v>Europe</v>
      </c>
      <c r="D227" s="43" t="str">
        <f>IFERROR(Sheet1!F227,0)</f>
        <v>UK</v>
      </c>
      <c r="E227" s="43" t="str">
        <f>IFERROR(Sheet1!E227,0)</f>
        <v>BA Bush Tyres</v>
      </c>
      <c r="F227" s="43" t="str">
        <f>IFERROR(IF(UPPER(TRIM(Sheet1!J227))="NH","Nhava Sheva",IF(UPPER(TRIM(Sheet1!J227))="ICD","ICD Dhannad",IF(UPPER(TRIM(Sheet1!J227))="TIHI","ICD Tihi",Sheet1!J227))),0)</f>
        <v>Nhava Sheva</v>
      </c>
      <c r="G227" s="43" t="str">
        <f>IFERROR(Sheet1!M227,0)</f>
        <v>London Gateway</v>
      </c>
      <c r="H227" s="43" t="str">
        <f>IFERROR(Sheet1!H227,0)</f>
        <v>Sevenseas Global</v>
      </c>
      <c r="I227" s="43" t="str">
        <f>IFERROR(Sheet1!G227,0)</f>
        <v>CIF</v>
      </c>
      <c r="J227" s="43" t="str">
        <f>IFERROR(Sheet1!K227,0)</f>
        <v>Hapag</v>
      </c>
      <c r="K227" s="45">
        <f>IFERROR(Sheet1!A227,0)</f>
        <v>45940</v>
      </c>
      <c r="L227" s="45">
        <f>IFERROR(Sheet1!I227,0)</f>
        <v>45939</v>
      </c>
      <c r="M227" s="47" t="str">
        <f>IFERROR(Sheet1!P227,0)</f>
        <v>NA</v>
      </c>
      <c r="N227" s="46">
        <f>IFERROR(IF(ISNUMBER(Sheet1!N227),Sheet1!N227,0),0)</f>
        <v>1100</v>
      </c>
      <c r="O227" s="46">
        <f>IFERROR(IF(TRIM(F227)="Nhava Sheva",SUMPRODUCT((UPPER(TRIM('Origin Costs'!$A$5:$A$44))=UPPER(TRIM(J227)))*'Origin Costs'!$C$5:$C$44),IF(TRIM(F227)="ICD Tihi",SUMPRODUCT((UPPER(TRIM('Origin Costs'!$A$49:$A$88))=UPPER(TRIM(J227)))*'Origin Costs'!$C$49:$C$88),IF(TRIM(F227)="ICD Dhannad",SUMPRODUCT((UPPER(TRIM('Origin Costs'!$A$93:$A$132))=UPPER(TRIM(J227)))*'Origin Costs'!$C$93:$C$132),0))),0)</f>
        <v>1192.9777777777779</v>
      </c>
      <c r="P227" s="46">
        <f t="shared" si="3"/>
        <v>2292.9777777777781</v>
      </c>
      <c r="Q227" s="13" t="str">
        <f>IF(OR(Dashboard!$C$4="All Customers",$E227=Dashboard!$C$4),IF($E227="","",$P227+ROW()/10000000),"")</f>
        <v/>
      </c>
    </row>
    <row r="228" spans="1:17" ht="14.25" customHeight="1" x14ac:dyDescent="0.3">
      <c r="A228" s="39" t="str">
        <f>IFERROR("FY"&amp;TEXT(MOD(IF(MONTH(Sheet1!A228)&gt;=4,YEAR(Sheet1!A228),YEAR(Sheet1!A228)-1),100),"00")&amp;"-"&amp;TEXT(MOD(IF(MONTH(Sheet1!A228)&gt;=4,YEAR(Sheet1!A228),YEAR(Sheet1!A228)-1)+1,100),"00"),"")</f>
        <v>FY25-26</v>
      </c>
      <c r="B228" s="40" t="str">
        <f>IFERROR("Q"&amp;IF(MONTH(Sheet1!A228)&gt;=4,IF(MONTH(Sheet1!A228)&lt;=6,1,IF(MONTH(Sheet1!A228)&lt;=9,2,3)),4),"")</f>
        <v>Q3</v>
      </c>
      <c r="C228" s="39" t="str">
        <f>IFERROR(Sheet1!C228,0)</f>
        <v>Europe</v>
      </c>
      <c r="D228" s="39" t="str">
        <f>IFERROR(Sheet1!F228,0)</f>
        <v>Poland</v>
      </c>
      <c r="E228" s="39" t="str">
        <f>IFERROR(Sheet1!E228,0)</f>
        <v>Inter Cars S.A., Poland</v>
      </c>
      <c r="F228" s="39" t="str">
        <f>IFERROR(IF(UPPER(TRIM(Sheet1!J228))="NH","Nhava Sheva",IF(UPPER(TRIM(Sheet1!J228))="ICD","ICD Dhannad",IF(UPPER(TRIM(Sheet1!J228))="TIHI","ICD Tihi",Sheet1!J228))),0)</f>
        <v>Nhava Sheva</v>
      </c>
      <c r="G228" s="39" t="str">
        <f>IFERROR(Sheet1!M228,0)</f>
        <v>Gdansk</v>
      </c>
      <c r="H228" s="39" t="str">
        <f>IFERROR(Sheet1!H228,0)</f>
        <v>FEI Cargo</v>
      </c>
      <c r="I228" s="39" t="str">
        <f>IFERROR(Sheet1!G228,0)</f>
        <v>FOB</v>
      </c>
      <c r="J228" s="39" t="str">
        <f>IFERROR(Sheet1!K228,0)</f>
        <v>Maersk</v>
      </c>
      <c r="K228" s="41">
        <f>IFERROR(Sheet1!A228,0)</f>
        <v>45943</v>
      </c>
      <c r="L228" s="41">
        <f>IFERROR(Sheet1!I228,0)</f>
        <v>45942</v>
      </c>
      <c r="M228" s="47" t="str">
        <f>IFERROR(Sheet1!P228,0)</f>
        <v>NA</v>
      </c>
      <c r="N228" s="42">
        <f>IFERROR(IF(ISNUMBER(Sheet1!N228),Sheet1!N228,0),0)</f>
        <v>0</v>
      </c>
      <c r="O228" s="42">
        <f>IFERROR(IF(TRIM(F228)="Nhava Sheva",SUMPRODUCT((UPPER(TRIM('Origin Costs'!$A$5:$A$44))=UPPER(TRIM(J228)))*'Origin Costs'!$C$5:$C$44),IF(TRIM(F228)="ICD Tihi",SUMPRODUCT((UPPER(TRIM('Origin Costs'!$A$49:$A$88))=UPPER(TRIM(J228)))*'Origin Costs'!$C$49:$C$88),IF(TRIM(F228)="ICD Dhannad",SUMPRODUCT((UPPER(TRIM('Origin Costs'!$A$93:$A$132))=UPPER(TRIM(J228)))*'Origin Costs'!$C$93:$C$132),0))),0)</f>
        <v>1148.588888888889</v>
      </c>
      <c r="P228" s="42">
        <f t="shared" si="3"/>
        <v>1148.588888888889</v>
      </c>
      <c r="Q228" s="13" t="str">
        <f>IF(OR(Dashboard!$C$4="All Customers",$E228=Dashboard!$C$4),IF($E228="","",$P228+ROW()/10000000),"")</f>
        <v/>
      </c>
    </row>
    <row r="229" spans="1:17" ht="14.25" customHeight="1" x14ac:dyDescent="0.3">
      <c r="A229" s="43" t="str">
        <f>IFERROR("FY"&amp;TEXT(MOD(IF(MONTH(Sheet1!A229)&gt;=4,YEAR(Sheet1!A229),YEAR(Sheet1!A229)-1),100),"00")&amp;"-"&amp;TEXT(MOD(IF(MONTH(Sheet1!A229)&gt;=4,YEAR(Sheet1!A229),YEAR(Sheet1!A229)-1)+1,100),"00"),"")</f>
        <v>FY25-26</v>
      </c>
      <c r="B229" s="44" t="str">
        <f>IFERROR("Q"&amp;IF(MONTH(Sheet1!A229)&gt;=4,IF(MONTH(Sheet1!A229)&lt;=6,1,IF(MONTH(Sheet1!A229)&lt;=9,2,3)),4),"")</f>
        <v>Q3</v>
      </c>
      <c r="C229" s="43" t="str">
        <f>IFERROR(Sheet1!C229,0)</f>
        <v>Europe</v>
      </c>
      <c r="D229" s="43" t="str">
        <f>IFERROR(Sheet1!F229,0)</f>
        <v>Greece</v>
      </c>
      <c r="E229" s="43" t="str">
        <f>IFERROR(Sheet1!E229,0)</f>
        <v>INTER CARS GREECE LTD</v>
      </c>
      <c r="F229" s="43" t="str">
        <f>IFERROR(IF(UPPER(TRIM(Sheet1!J229))="NH","Nhava Sheva",IF(UPPER(TRIM(Sheet1!J229))="ICD","ICD Dhannad",IF(UPPER(TRIM(Sheet1!J229))="TIHI","ICD Tihi",Sheet1!J229))),0)</f>
        <v>ICD Tihi</v>
      </c>
      <c r="G229" s="43" t="str">
        <f>IFERROR(Sheet1!M229,0)</f>
        <v>Piraeus</v>
      </c>
      <c r="H229" s="43" t="str">
        <f>IFERROR(Sheet1!H229,0)</f>
        <v>VS Trans Logitsik</v>
      </c>
      <c r="I229" s="43" t="str">
        <f>IFERROR(Sheet1!G229,0)</f>
        <v>FOB</v>
      </c>
      <c r="J229" s="43" t="str">
        <f>IFERROR(Sheet1!K229,0)</f>
        <v>CMA</v>
      </c>
      <c r="K229" s="45">
        <f>IFERROR(Sheet1!A229,0)</f>
        <v>45944</v>
      </c>
      <c r="L229" s="45">
        <f>IFERROR(Sheet1!I229,0)</f>
        <v>45941</v>
      </c>
      <c r="M229" s="47" t="str">
        <f>IFERROR(Sheet1!P229,0)</f>
        <v>NA</v>
      </c>
      <c r="N229" s="46">
        <f>IFERROR(IF(ISNUMBER(Sheet1!N229),Sheet1!N229,0),0)</f>
        <v>0</v>
      </c>
      <c r="O229" s="46">
        <f>IFERROR(IF(TRIM(F229)="Nhava Sheva",SUMPRODUCT((UPPER(TRIM('Origin Costs'!$A$5:$A$44))=UPPER(TRIM(J229)))*'Origin Costs'!$C$5:$C$44),IF(TRIM(F229)="ICD Tihi",SUMPRODUCT((UPPER(TRIM('Origin Costs'!$A$49:$A$88))=UPPER(TRIM(J229)))*'Origin Costs'!$C$49:$C$88),IF(TRIM(F229)="ICD Dhannad",SUMPRODUCT((UPPER(TRIM('Origin Costs'!$A$93:$A$132))=UPPER(TRIM(J229)))*'Origin Costs'!$C$93:$C$132),0))),0)</f>
        <v>1110.9666666666667</v>
      </c>
      <c r="P229" s="46">
        <f t="shared" si="3"/>
        <v>1110.9666666666667</v>
      </c>
      <c r="Q229" s="13" t="str">
        <f>IF(OR(Dashboard!$C$4="All Customers",$E229=Dashboard!$C$4),IF($E229="","",$P229+ROW()/10000000),"")</f>
        <v/>
      </c>
    </row>
    <row r="230" spans="1:17" ht="14.25" customHeight="1" x14ac:dyDescent="0.3">
      <c r="A230" s="39" t="str">
        <f>IFERROR("FY"&amp;TEXT(MOD(IF(MONTH(Sheet1!A230)&gt;=4,YEAR(Sheet1!A230),YEAR(Sheet1!A230)-1),100),"00")&amp;"-"&amp;TEXT(MOD(IF(MONTH(Sheet1!A230)&gt;=4,YEAR(Sheet1!A230),YEAR(Sheet1!A230)-1)+1,100),"00"),"")</f>
        <v>FY25-26</v>
      </c>
      <c r="B230" s="40" t="str">
        <f>IFERROR("Q"&amp;IF(MONTH(Sheet1!A230)&gt;=4,IF(MONTH(Sheet1!A230)&lt;=6,1,IF(MONTH(Sheet1!A230)&lt;=9,2,3)),4),"")</f>
        <v>Q3</v>
      </c>
      <c r="C230" s="39" t="str">
        <f>IFERROR(Sheet1!C230,0)</f>
        <v>Europe</v>
      </c>
      <c r="D230" s="39" t="str">
        <f>IFERROR(Sheet1!F230,0)</f>
        <v>Ireland</v>
      </c>
      <c r="E230" s="39" t="str">
        <f>IFERROR(Sheet1!E230,0)</f>
        <v>Agrigear LTD, Ireland</v>
      </c>
      <c r="F230" s="39" t="str">
        <f>IFERROR(IF(UPPER(TRIM(Sheet1!J230))="NH","Nhava Sheva",IF(UPPER(TRIM(Sheet1!J230))="ICD","ICD Dhannad",IF(UPPER(TRIM(Sheet1!J230))="TIHI","ICD Tihi",Sheet1!J230))),0)</f>
        <v>Nhava Sheva</v>
      </c>
      <c r="G230" s="39" t="str">
        <f>IFERROR(Sheet1!M230,0)</f>
        <v>Dublin</v>
      </c>
      <c r="H230" s="39" t="str">
        <f>IFERROR(Sheet1!H230,0)</f>
        <v>Sevenseas Global</v>
      </c>
      <c r="I230" s="39" t="str">
        <f>IFERROR(Sheet1!G230,0)</f>
        <v>CIF</v>
      </c>
      <c r="J230" s="39" t="str">
        <f>IFERROR(Sheet1!K230,0)</f>
        <v>Evergreen</v>
      </c>
      <c r="K230" s="41">
        <f>IFERROR(Sheet1!A230,0)</f>
        <v>45946</v>
      </c>
      <c r="L230" s="41">
        <f>IFERROR(Sheet1!I230,0)</f>
        <v>45944</v>
      </c>
      <c r="M230" s="47" t="str">
        <f>IFERROR(Sheet1!P230,0)</f>
        <v>NA</v>
      </c>
      <c r="N230" s="42">
        <f>IFERROR(IF(ISNUMBER(Sheet1!N230),Sheet1!N230,0),0)</f>
        <v>1650</v>
      </c>
      <c r="O230" s="42">
        <f>IFERROR(IF(TRIM(F230)="Nhava Sheva",SUMPRODUCT((UPPER(TRIM('Origin Costs'!$A$5:$A$44))=UPPER(TRIM(J230)))*'Origin Costs'!$C$5:$C$44),IF(TRIM(F230)="ICD Tihi",SUMPRODUCT((UPPER(TRIM('Origin Costs'!$A$49:$A$88))=UPPER(TRIM(J230)))*'Origin Costs'!$C$49:$C$88),IF(TRIM(F230)="ICD Dhannad",SUMPRODUCT((UPPER(TRIM('Origin Costs'!$A$93:$A$132))=UPPER(TRIM(J230)))*'Origin Costs'!$C$93:$C$132),0))),0)</f>
        <v>0</v>
      </c>
      <c r="P230" s="42">
        <f t="shared" si="3"/>
        <v>1650</v>
      </c>
      <c r="Q230" s="13" t="str">
        <f>IF(OR(Dashboard!$C$4="All Customers",$E230=Dashboard!$C$4),IF($E230="","",$P230+ROW()/10000000),"")</f>
        <v/>
      </c>
    </row>
    <row r="231" spans="1:17" ht="14.25" customHeight="1" x14ac:dyDescent="0.3">
      <c r="A231" s="43" t="str">
        <f>IFERROR("FY"&amp;TEXT(MOD(IF(MONTH(Sheet1!A231)&gt;=4,YEAR(Sheet1!A231),YEAR(Sheet1!A231)-1),100),"00")&amp;"-"&amp;TEXT(MOD(IF(MONTH(Sheet1!A231)&gt;=4,YEAR(Sheet1!A231),YEAR(Sheet1!A231)-1)+1,100),"00"),"")</f>
        <v>FY25-26</v>
      </c>
      <c r="B231" s="44" t="str">
        <f>IFERROR("Q"&amp;IF(MONTH(Sheet1!A231)&gt;=4,IF(MONTH(Sheet1!A231)&lt;=6,1,IF(MONTH(Sheet1!A231)&lt;=9,2,3)),4),"")</f>
        <v>Q3</v>
      </c>
      <c r="C231" s="43" t="str">
        <f>IFERROR(Sheet1!C231,0)</f>
        <v>Europe</v>
      </c>
      <c r="D231" s="43" t="str">
        <f>IFERROR(Sheet1!F231,0)</f>
        <v>Ireland</v>
      </c>
      <c r="E231" s="43" t="str">
        <f>IFERROR(Sheet1!E231,0)</f>
        <v>Agrigear LTD, Ireland</v>
      </c>
      <c r="F231" s="43" t="str">
        <f>IFERROR(IF(UPPER(TRIM(Sheet1!J231))="NH","Nhava Sheva",IF(UPPER(TRIM(Sheet1!J231))="ICD","ICD Dhannad",IF(UPPER(TRIM(Sheet1!J231))="TIHI","ICD Tihi",Sheet1!J231))),0)</f>
        <v>Nhava Sheva</v>
      </c>
      <c r="G231" s="43" t="str">
        <f>IFERROR(Sheet1!M231,0)</f>
        <v>Dublin</v>
      </c>
      <c r="H231" s="43" t="str">
        <f>IFERROR(Sheet1!H231,0)</f>
        <v>Sevenseas Global</v>
      </c>
      <c r="I231" s="43" t="str">
        <f>IFERROR(Sheet1!G231,0)</f>
        <v>CIF</v>
      </c>
      <c r="J231" s="43" t="str">
        <f>IFERROR(Sheet1!K231,0)</f>
        <v>Evergreen</v>
      </c>
      <c r="K231" s="45">
        <f>IFERROR(Sheet1!A231,0)</f>
        <v>45946</v>
      </c>
      <c r="L231" s="45">
        <f>IFERROR(Sheet1!I231,0)</f>
        <v>45944</v>
      </c>
      <c r="M231" s="47" t="str">
        <f>IFERROR(Sheet1!P231,0)</f>
        <v>NA</v>
      </c>
      <c r="N231" s="46">
        <f>IFERROR(IF(ISNUMBER(Sheet1!N231),Sheet1!N231,0),0)</f>
        <v>1650</v>
      </c>
      <c r="O231" s="46">
        <f>IFERROR(IF(TRIM(F231)="Nhava Sheva",SUMPRODUCT((UPPER(TRIM('Origin Costs'!$A$5:$A$44))=UPPER(TRIM(J231)))*'Origin Costs'!$C$5:$C$44),IF(TRIM(F231)="ICD Tihi",SUMPRODUCT((UPPER(TRIM('Origin Costs'!$A$49:$A$88))=UPPER(TRIM(J231)))*'Origin Costs'!$C$49:$C$88),IF(TRIM(F231)="ICD Dhannad",SUMPRODUCT((UPPER(TRIM('Origin Costs'!$A$93:$A$132))=UPPER(TRIM(J231)))*'Origin Costs'!$C$93:$C$132),0))),0)</f>
        <v>0</v>
      </c>
      <c r="P231" s="46">
        <f t="shared" si="3"/>
        <v>1650</v>
      </c>
      <c r="Q231" s="13" t="str">
        <f>IF(OR(Dashboard!$C$4="All Customers",$E231=Dashboard!$C$4),IF($E231="","",$P231+ROW()/10000000),"")</f>
        <v/>
      </c>
    </row>
    <row r="232" spans="1:17" ht="14.25" customHeight="1" x14ac:dyDescent="0.3">
      <c r="A232" s="39" t="str">
        <f>IFERROR("FY"&amp;TEXT(MOD(IF(MONTH(Sheet1!A232)&gt;=4,YEAR(Sheet1!A232),YEAR(Sheet1!A232)-1),100),"00")&amp;"-"&amp;TEXT(MOD(IF(MONTH(Sheet1!A232)&gt;=4,YEAR(Sheet1!A232),YEAR(Sheet1!A232)-1)+1,100),"00"),"")</f>
        <v>FY25-26</v>
      </c>
      <c r="B232" s="40" t="str">
        <f>IFERROR("Q"&amp;IF(MONTH(Sheet1!A232)&gt;=4,IF(MONTH(Sheet1!A232)&lt;=6,1,IF(MONTH(Sheet1!A232)&lt;=9,2,3)),4),"")</f>
        <v>Q3</v>
      </c>
      <c r="C232" s="39" t="str">
        <f>IFERROR(Sheet1!C232,0)</f>
        <v>MEA</v>
      </c>
      <c r="D232" s="39" t="str">
        <f>IFERROR(Sheet1!F232,0)</f>
        <v>Kuwait</v>
      </c>
      <c r="E232" s="39" t="str">
        <f>IFERROR(Sheet1!E232,0)</f>
        <v>AHMED YOUSIF ABDULHADI ALMAILEM &amp; B, Kuwait</v>
      </c>
      <c r="F232" s="39" t="str">
        <f>IFERROR(IF(UPPER(TRIM(Sheet1!J232))="NH","Nhava Sheva",IF(UPPER(TRIM(Sheet1!J232))="ICD","ICD Dhannad",IF(UPPER(TRIM(Sheet1!J232))="TIHI","ICD Tihi",Sheet1!J232))),0)</f>
        <v>Nhava Sheva</v>
      </c>
      <c r="G232" s="39" t="str">
        <f>IFERROR(Sheet1!M232,0)</f>
        <v>Shuwaikh</v>
      </c>
      <c r="H232" s="39" t="str">
        <f>IFERROR(Sheet1!H232,0)</f>
        <v>Sevenseas Global</v>
      </c>
      <c r="I232" s="39" t="str">
        <f>IFERROR(Sheet1!G232,0)</f>
        <v>CIF</v>
      </c>
      <c r="J232" s="39" t="str">
        <f>IFERROR(Sheet1!K232,0)</f>
        <v>OOCL</v>
      </c>
      <c r="K232" s="41">
        <f>IFERROR(Sheet1!A232,0)</f>
        <v>45948</v>
      </c>
      <c r="L232" s="41">
        <f>IFERROR(Sheet1!I232,0)</f>
        <v>45945</v>
      </c>
      <c r="M232" s="47" t="str">
        <f>IFERROR(Sheet1!P232,0)</f>
        <v>NA</v>
      </c>
      <c r="N232" s="42">
        <f>IFERROR(IF(ISNUMBER(Sheet1!N232),Sheet1!N232,0),0)</f>
        <v>595</v>
      </c>
      <c r="O232" s="42">
        <f>IFERROR(IF(TRIM(F232)="Nhava Sheva",SUMPRODUCT((UPPER(TRIM('Origin Costs'!$A$5:$A$44))=UPPER(TRIM(J232)))*'Origin Costs'!$C$5:$C$44),IF(TRIM(F232)="ICD Tihi",SUMPRODUCT((UPPER(TRIM('Origin Costs'!$A$49:$A$88))=UPPER(TRIM(J232)))*'Origin Costs'!$C$49:$C$88),IF(TRIM(F232)="ICD Dhannad",SUMPRODUCT((UPPER(TRIM('Origin Costs'!$A$93:$A$132))=UPPER(TRIM(J232)))*'Origin Costs'!$C$93:$C$132),0))),0)</f>
        <v>0</v>
      </c>
      <c r="P232" s="42">
        <f t="shared" si="3"/>
        <v>595</v>
      </c>
      <c r="Q232" s="13" t="str">
        <f>IF(OR(Dashboard!$C$4="All Customers",$E232=Dashboard!$C$4),IF($E232="","",$P232+ROW()/10000000),"")</f>
        <v/>
      </c>
    </row>
    <row r="233" spans="1:17" ht="14.25" customHeight="1" x14ac:dyDescent="0.3">
      <c r="A233" s="43" t="str">
        <f>IFERROR("FY"&amp;TEXT(MOD(IF(MONTH(Sheet1!A233)&gt;=4,YEAR(Sheet1!A233),YEAR(Sheet1!A233)-1),100),"00")&amp;"-"&amp;TEXT(MOD(IF(MONTH(Sheet1!A233)&gt;=4,YEAR(Sheet1!A233),YEAR(Sheet1!A233)-1)+1,100),"00"),"")</f>
        <v>FY25-26</v>
      </c>
      <c r="B233" s="44" t="str">
        <f>IFERROR("Q"&amp;IF(MONTH(Sheet1!A233)&gt;=4,IF(MONTH(Sheet1!A233)&lt;=6,1,IF(MONTH(Sheet1!A233)&lt;=9,2,3)),4),"")</f>
        <v>Q3</v>
      </c>
      <c r="C233" s="43" t="str">
        <f>IFERROR(Sheet1!C233,0)</f>
        <v>S.A</v>
      </c>
      <c r="D233" s="43" t="str">
        <f>IFERROR(Sheet1!F233,0)</f>
        <v>Columbia</v>
      </c>
      <c r="E233" s="43" t="str">
        <f>IFERROR(Sheet1!E233,0)</f>
        <v>Acostallantas S.A, Colombia</v>
      </c>
      <c r="F233" s="43" t="str">
        <f>IFERROR(IF(UPPER(TRIM(Sheet1!J233))="NH","Nhava Sheva",IF(UPPER(TRIM(Sheet1!J233))="ICD","ICD Dhannad",IF(UPPER(TRIM(Sheet1!J233))="TIHI","ICD Tihi",Sheet1!J233))),0)</f>
        <v>Nhava Sheva</v>
      </c>
      <c r="G233" s="43" t="str">
        <f>IFERROR(Sheet1!M233,0)</f>
        <v>Buenaventura</v>
      </c>
      <c r="H233" s="43" t="str">
        <f>IFERROR(Sheet1!H233,0)</f>
        <v>Sanjay Forwarder</v>
      </c>
      <c r="I233" s="43" t="str">
        <f>IFERROR(Sheet1!G233,0)</f>
        <v>CIF</v>
      </c>
      <c r="J233" s="43" t="str">
        <f>IFERROR(Sheet1!K233,0)</f>
        <v>Maersk</v>
      </c>
      <c r="K233" s="45">
        <f>IFERROR(Sheet1!A233,0)</f>
        <v>45949</v>
      </c>
      <c r="L233" s="45">
        <f>IFERROR(Sheet1!I233,0)</f>
        <v>45948</v>
      </c>
      <c r="M233" s="47" t="str">
        <f>IFERROR(Sheet1!P233,0)</f>
        <v>NA</v>
      </c>
      <c r="N233" s="46">
        <f>IFERROR(IF(ISNUMBER(Sheet1!N233),Sheet1!N233,0),0)</f>
        <v>1885</v>
      </c>
      <c r="O233" s="46">
        <f>IFERROR(IF(TRIM(F233)="Nhava Sheva",SUMPRODUCT((UPPER(TRIM('Origin Costs'!$A$5:$A$44))=UPPER(TRIM(J233)))*'Origin Costs'!$C$5:$C$44),IF(TRIM(F233)="ICD Tihi",SUMPRODUCT((UPPER(TRIM('Origin Costs'!$A$49:$A$88))=UPPER(TRIM(J233)))*'Origin Costs'!$C$49:$C$88),IF(TRIM(F233)="ICD Dhannad",SUMPRODUCT((UPPER(TRIM('Origin Costs'!$A$93:$A$132))=UPPER(TRIM(J233)))*'Origin Costs'!$C$93:$C$132),0))),0)</f>
        <v>1148.588888888889</v>
      </c>
      <c r="P233" s="46">
        <f t="shared" si="3"/>
        <v>3033.588888888889</v>
      </c>
      <c r="Q233" s="13">
        <f>IF(OR(Dashboard!$C$4="All Customers",$E233=Dashboard!$C$4),IF($E233="","",$P233+ROW()/10000000),"")</f>
        <v>3033.588912188889</v>
      </c>
    </row>
    <row r="234" spans="1:17" ht="14.25" customHeight="1" x14ac:dyDescent="0.3">
      <c r="A234" s="39" t="str">
        <f>IFERROR("FY"&amp;TEXT(MOD(IF(MONTH(Sheet1!A234)&gt;=4,YEAR(Sheet1!A234),YEAR(Sheet1!A234)-1),100),"00")&amp;"-"&amp;TEXT(MOD(IF(MONTH(Sheet1!A234)&gt;=4,YEAR(Sheet1!A234),YEAR(Sheet1!A234)-1)+1,100),"00"),"")</f>
        <v>FY25-26</v>
      </c>
      <c r="B234" s="40" t="str">
        <f>IFERROR("Q"&amp;IF(MONTH(Sheet1!A234)&gt;=4,IF(MONTH(Sheet1!A234)&lt;=6,1,IF(MONTH(Sheet1!A234)&lt;=9,2,3)),4),"")</f>
        <v>Q3</v>
      </c>
      <c r="C234" s="39" t="str">
        <f>IFERROR(Sheet1!C234,0)</f>
        <v>S.A</v>
      </c>
      <c r="D234" s="39" t="str">
        <f>IFERROR(Sheet1!F234,0)</f>
        <v>Columbia</v>
      </c>
      <c r="E234" s="39" t="str">
        <f>IFERROR(Sheet1!E234,0)</f>
        <v>Acostallantas S.A, Colombia</v>
      </c>
      <c r="F234" s="39" t="str">
        <f>IFERROR(IF(UPPER(TRIM(Sheet1!J234))="NH","Nhava Sheva",IF(UPPER(TRIM(Sheet1!J234))="ICD","ICD Dhannad",IF(UPPER(TRIM(Sheet1!J234))="TIHI","ICD Tihi",Sheet1!J234))),0)</f>
        <v>Nhava Sheva</v>
      </c>
      <c r="G234" s="39" t="str">
        <f>IFERROR(Sheet1!M234,0)</f>
        <v>Buenaventura</v>
      </c>
      <c r="H234" s="39" t="str">
        <f>IFERROR(Sheet1!H234,0)</f>
        <v>Sanjay Forwarder</v>
      </c>
      <c r="I234" s="39" t="str">
        <f>IFERROR(Sheet1!G234,0)</f>
        <v>CIF</v>
      </c>
      <c r="J234" s="39" t="str">
        <f>IFERROR(Sheet1!K234,0)</f>
        <v>Maersk</v>
      </c>
      <c r="K234" s="41">
        <f>IFERROR(Sheet1!A234,0)</f>
        <v>45949</v>
      </c>
      <c r="L234" s="41">
        <f>IFERROR(Sheet1!I234,0)</f>
        <v>45948</v>
      </c>
      <c r="M234" s="47" t="str">
        <f>IFERROR(Sheet1!P234,0)</f>
        <v>NA</v>
      </c>
      <c r="N234" s="42">
        <f>IFERROR(IF(ISNUMBER(Sheet1!N234),Sheet1!N234,0),0)</f>
        <v>1885</v>
      </c>
      <c r="O234" s="42">
        <f>IFERROR(IF(TRIM(F234)="Nhava Sheva",SUMPRODUCT((UPPER(TRIM('Origin Costs'!$A$5:$A$44))=UPPER(TRIM(J234)))*'Origin Costs'!$C$5:$C$44),IF(TRIM(F234)="ICD Tihi",SUMPRODUCT((UPPER(TRIM('Origin Costs'!$A$49:$A$88))=UPPER(TRIM(J234)))*'Origin Costs'!$C$49:$C$88),IF(TRIM(F234)="ICD Dhannad",SUMPRODUCT((UPPER(TRIM('Origin Costs'!$A$93:$A$132))=UPPER(TRIM(J234)))*'Origin Costs'!$C$93:$C$132),0))),0)</f>
        <v>1148.588888888889</v>
      </c>
      <c r="P234" s="42">
        <f t="shared" si="3"/>
        <v>3033.588888888889</v>
      </c>
      <c r="Q234" s="13">
        <f>IF(OR(Dashboard!$C$4="All Customers",$E234=Dashboard!$C$4),IF($E234="","",$P234+ROW()/10000000),"")</f>
        <v>3033.5889122888889</v>
      </c>
    </row>
    <row r="235" spans="1:17" ht="14.25" customHeight="1" x14ac:dyDescent="0.3">
      <c r="A235" s="43" t="str">
        <f>IFERROR("FY"&amp;TEXT(MOD(IF(MONTH(Sheet1!A235)&gt;=4,YEAR(Sheet1!A235),YEAR(Sheet1!A235)-1),100),"00")&amp;"-"&amp;TEXT(MOD(IF(MONTH(Sheet1!A235)&gt;=4,YEAR(Sheet1!A235),YEAR(Sheet1!A235)-1)+1,100),"00"),"")</f>
        <v>FY25-26</v>
      </c>
      <c r="B235" s="44" t="str">
        <f>IFERROR("Q"&amp;IF(MONTH(Sheet1!A235)&gt;=4,IF(MONTH(Sheet1!A235)&lt;=6,1,IF(MONTH(Sheet1!A235)&lt;=9,2,3)),4),"")</f>
        <v>Q3</v>
      </c>
      <c r="C235" s="43" t="str">
        <f>IFERROR(Sheet1!C235,0)</f>
        <v>Europe</v>
      </c>
      <c r="D235" s="43" t="str">
        <f>IFERROR(Sheet1!F235,0)</f>
        <v>Italy</v>
      </c>
      <c r="E235" s="43" t="str">
        <f>IFERROR(Sheet1!E235,0)</f>
        <v>Fintyre Spa, Italy</v>
      </c>
      <c r="F235" s="43" t="str">
        <f>IFERROR(IF(UPPER(TRIM(Sheet1!J235))="NH","Nhava Sheva",IF(UPPER(TRIM(Sheet1!J235))="ICD","ICD Dhannad",IF(UPPER(TRIM(Sheet1!J235))="TIHI","ICD Tihi",Sheet1!J235))),0)</f>
        <v>Nhava Sheva</v>
      </c>
      <c r="G235" s="43" t="str">
        <f>IFERROR(Sheet1!M235,0)</f>
        <v>Genoa</v>
      </c>
      <c r="H235" s="43" t="str">
        <f>IFERROR(Sheet1!H235,0)</f>
        <v>FEI Cargo</v>
      </c>
      <c r="I235" s="43" t="str">
        <f>IFERROR(Sheet1!G235,0)</f>
        <v>FOB</v>
      </c>
      <c r="J235" s="43" t="str">
        <f>IFERROR(Sheet1!K235,0)</f>
        <v>Hapag</v>
      </c>
      <c r="K235" s="45">
        <f>IFERROR(Sheet1!A235,0)</f>
        <v>45949</v>
      </c>
      <c r="L235" s="45">
        <f>IFERROR(Sheet1!I235,0)</f>
        <v>45947</v>
      </c>
      <c r="M235" s="47" t="str">
        <f>IFERROR(Sheet1!P235,0)</f>
        <v>NA</v>
      </c>
      <c r="N235" s="46">
        <f>IFERROR(IF(ISNUMBER(Sheet1!N235),Sheet1!N235,0),0)</f>
        <v>0</v>
      </c>
      <c r="O235" s="46">
        <f>IFERROR(IF(TRIM(F235)="Nhava Sheva",SUMPRODUCT((UPPER(TRIM('Origin Costs'!$A$5:$A$44))=UPPER(TRIM(J235)))*'Origin Costs'!$C$5:$C$44),IF(TRIM(F235)="ICD Tihi",SUMPRODUCT((UPPER(TRIM('Origin Costs'!$A$49:$A$88))=UPPER(TRIM(J235)))*'Origin Costs'!$C$49:$C$88),IF(TRIM(F235)="ICD Dhannad",SUMPRODUCT((UPPER(TRIM('Origin Costs'!$A$93:$A$132))=UPPER(TRIM(J235)))*'Origin Costs'!$C$93:$C$132),0))),0)</f>
        <v>1192.9777777777779</v>
      </c>
      <c r="P235" s="46">
        <f t="shared" si="3"/>
        <v>1192.9777777777779</v>
      </c>
      <c r="Q235" s="13" t="str">
        <f>IF(OR(Dashboard!$C$4="All Customers",$E235=Dashboard!$C$4),IF($E235="","",$P235+ROW()/10000000),"")</f>
        <v/>
      </c>
    </row>
    <row r="236" spans="1:17" ht="14.25" customHeight="1" x14ac:dyDescent="0.3">
      <c r="A236" s="39" t="str">
        <f>IFERROR("FY"&amp;TEXT(MOD(IF(MONTH(Sheet1!A236)&gt;=4,YEAR(Sheet1!A236),YEAR(Sheet1!A236)-1),100),"00")&amp;"-"&amp;TEXT(MOD(IF(MONTH(Sheet1!A236)&gt;=4,YEAR(Sheet1!A236),YEAR(Sheet1!A236)-1)+1,100),"00"),"")</f>
        <v>FY25-26</v>
      </c>
      <c r="B236" s="40" t="str">
        <f>IFERROR("Q"&amp;IF(MONTH(Sheet1!A236)&gt;=4,IF(MONTH(Sheet1!A236)&lt;=6,1,IF(MONTH(Sheet1!A236)&lt;=9,2,3)),4),"")</f>
        <v>Q3</v>
      </c>
      <c r="C236" s="39" t="str">
        <f>IFERROR(Sheet1!C236,0)</f>
        <v>Europe</v>
      </c>
      <c r="D236" s="39" t="str">
        <f>IFERROR(Sheet1!F236,0)</f>
        <v>Italy</v>
      </c>
      <c r="E236" s="39" t="str">
        <f>IFERROR(Sheet1!E236,0)</f>
        <v>Fintyre Spa, Italy</v>
      </c>
      <c r="F236" s="39" t="str">
        <f>IFERROR(IF(UPPER(TRIM(Sheet1!J236))="NH","Nhava Sheva",IF(UPPER(TRIM(Sheet1!J236))="ICD","ICD Dhannad",IF(UPPER(TRIM(Sheet1!J236))="TIHI","ICD Tihi",Sheet1!J236))),0)</f>
        <v>Nhava Sheva</v>
      </c>
      <c r="G236" s="39" t="str">
        <f>IFERROR(Sheet1!M236,0)</f>
        <v>Genoa</v>
      </c>
      <c r="H236" s="39" t="str">
        <f>IFERROR(Sheet1!H236,0)</f>
        <v>FEI Cargo</v>
      </c>
      <c r="I236" s="39" t="str">
        <f>IFERROR(Sheet1!G236,0)</f>
        <v>FOB</v>
      </c>
      <c r="J236" s="39" t="str">
        <f>IFERROR(Sheet1!K236,0)</f>
        <v>Hapag</v>
      </c>
      <c r="K236" s="41">
        <f>IFERROR(Sheet1!A236,0)</f>
        <v>45949</v>
      </c>
      <c r="L236" s="41">
        <f>IFERROR(Sheet1!I236,0)</f>
        <v>45947</v>
      </c>
      <c r="M236" s="47" t="str">
        <f>IFERROR(Sheet1!P236,0)</f>
        <v>NA</v>
      </c>
      <c r="N236" s="42">
        <f>IFERROR(IF(ISNUMBER(Sheet1!N236),Sheet1!N236,0),0)</f>
        <v>0</v>
      </c>
      <c r="O236" s="42">
        <f>IFERROR(IF(TRIM(F236)="Nhava Sheva",SUMPRODUCT((UPPER(TRIM('Origin Costs'!$A$5:$A$44))=UPPER(TRIM(J236)))*'Origin Costs'!$C$5:$C$44),IF(TRIM(F236)="ICD Tihi",SUMPRODUCT((UPPER(TRIM('Origin Costs'!$A$49:$A$88))=UPPER(TRIM(J236)))*'Origin Costs'!$C$49:$C$88),IF(TRIM(F236)="ICD Dhannad",SUMPRODUCT((UPPER(TRIM('Origin Costs'!$A$93:$A$132))=UPPER(TRIM(J236)))*'Origin Costs'!$C$93:$C$132),0))),0)</f>
        <v>1192.9777777777779</v>
      </c>
      <c r="P236" s="42">
        <f t="shared" si="3"/>
        <v>1192.9777777777779</v>
      </c>
      <c r="Q236" s="13" t="str">
        <f>IF(OR(Dashboard!$C$4="All Customers",$E236=Dashboard!$C$4),IF($E236="","",$P236+ROW()/10000000),"")</f>
        <v/>
      </c>
    </row>
    <row r="237" spans="1:17" ht="14.25" customHeight="1" x14ac:dyDescent="0.3">
      <c r="A237" s="43" t="str">
        <f>IFERROR("FY"&amp;TEXT(MOD(IF(MONTH(Sheet1!A237)&gt;=4,YEAR(Sheet1!A237),YEAR(Sheet1!A237)-1),100),"00")&amp;"-"&amp;TEXT(MOD(IF(MONTH(Sheet1!A237)&gt;=4,YEAR(Sheet1!A237),YEAR(Sheet1!A237)-1)+1,100),"00"),"")</f>
        <v>FY25-26</v>
      </c>
      <c r="B237" s="44" t="str">
        <f>IFERROR("Q"&amp;IF(MONTH(Sheet1!A237)&gt;=4,IF(MONTH(Sheet1!A237)&lt;=6,1,IF(MONTH(Sheet1!A237)&lt;=9,2,3)),4),"")</f>
        <v>Q3</v>
      </c>
      <c r="C237" s="43" t="str">
        <f>IFERROR(Sheet1!C237,0)</f>
        <v>Europe</v>
      </c>
      <c r="D237" s="43" t="str">
        <f>IFERROR(Sheet1!F237,0)</f>
        <v>Italy</v>
      </c>
      <c r="E237" s="43" t="str">
        <f>IFERROR(Sheet1!E237,0)</f>
        <v>Fintyre Spa, Italy</v>
      </c>
      <c r="F237" s="43" t="str">
        <f>IFERROR(IF(UPPER(TRIM(Sheet1!J237))="NH","Nhava Sheva",IF(UPPER(TRIM(Sheet1!J237))="ICD","ICD Dhannad",IF(UPPER(TRIM(Sheet1!J237))="TIHI","ICD Tihi",Sheet1!J237))),0)</f>
        <v>Nhava Sheva</v>
      </c>
      <c r="G237" s="43" t="str">
        <f>IFERROR(Sheet1!M237,0)</f>
        <v>Genoa</v>
      </c>
      <c r="H237" s="43" t="str">
        <f>IFERROR(Sheet1!H237,0)</f>
        <v>FEI Cargo</v>
      </c>
      <c r="I237" s="43" t="str">
        <f>IFERROR(Sheet1!G237,0)</f>
        <v>FOB</v>
      </c>
      <c r="J237" s="43" t="str">
        <f>IFERROR(Sheet1!K237,0)</f>
        <v>Hapag</v>
      </c>
      <c r="K237" s="45">
        <f>IFERROR(Sheet1!A237,0)</f>
        <v>45949</v>
      </c>
      <c r="L237" s="45">
        <f>IFERROR(Sheet1!I237,0)</f>
        <v>45947</v>
      </c>
      <c r="M237" s="47" t="str">
        <f>IFERROR(Sheet1!P237,0)</f>
        <v>NA</v>
      </c>
      <c r="N237" s="46">
        <f>IFERROR(IF(ISNUMBER(Sheet1!N237),Sheet1!N237,0),0)</f>
        <v>0</v>
      </c>
      <c r="O237" s="46">
        <f>IFERROR(IF(TRIM(F237)="Nhava Sheva",SUMPRODUCT((UPPER(TRIM('Origin Costs'!$A$5:$A$44))=UPPER(TRIM(J237)))*'Origin Costs'!$C$5:$C$44),IF(TRIM(F237)="ICD Tihi",SUMPRODUCT((UPPER(TRIM('Origin Costs'!$A$49:$A$88))=UPPER(TRIM(J237)))*'Origin Costs'!$C$49:$C$88),IF(TRIM(F237)="ICD Dhannad",SUMPRODUCT((UPPER(TRIM('Origin Costs'!$A$93:$A$132))=UPPER(TRIM(J237)))*'Origin Costs'!$C$93:$C$132),0))),0)</f>
        <v>1192.9777777777779</v>
      </c>
      <c r="P237" s="46">
        <f t="shared" si="3"/>
        <v>1192.9777777777779</v>
      </c>
      <c r="Q237" s="13" t="str">
        <f>IF(OR(Dashboard!$C$4="All Customers",$E237=Dashboard!$C$4),IF($E237="","",$P237+ROW()/10000000),"")</f>
        <v/>
      </c>
    </row>
    <row r="238" spans="1:17" ht="14.25" customHeight="1" x14ac:dyDescent="0.3">
      <c r="A238" s="39" t="str">
        <f>IFERROR("FY"&amp;TEXT(MOD(IF(MONTH(Sheet1!A238)&gt;=4,YEAR(Sheet1!A238),YEAR(Sheet1!A238)-1),100),"00")&amp;"-"&amp;TEXT(MOD(IF(MONTH(Sheet1!A238)&gt;=4,YEAR(Sheet1!A238),YEAR(Sheet1!A238)-1)+1,100),"00"),"")</f>
        <v>FY25-26</v>
      </c>
      <c r="B238" s="40" t="str">
        <f>IFERROR("Q"&amp;IF(MONTH(Sheet1!A238)&gt;=4,IF(MONTH(Sheet1!A238)&lt;=6,1,IF(MONTH(Sheet1!A238)&lt;=9,2,3)),4),"")</f>
        <v>Q3</v>
      </c>
      <c r="C238" s="39" t="str">
        <f>IFERROR(Sheet1!C238,0)</f>
        <v>Europe</v>
      </c>
      <c r="D238" s="39" t="str">
        <f>IFERROR(Sheet1!F238,0)</f>
        <v>Italy</v>
      </c>
      <c r="E238" s="39" t="str">
        <f>IFERROR(Sheet1!E238,0)</f>
        <v>Fintyre Spa, Italy</v>
      </c>
      <c r="F238" s="39" t="str">
        <f>IFERROR(IF(UPPER(TRIM(Sheet1!J238))="NH","Nhava Sheva",IF(UPPER(TRIM(Sheet1!J238))="ICD","ICD Dhannad",IF(UPPER(TRIM(Sheet1!J238))="TIHI","ICD Tihi",Sheet1!J238))),0)</f>
        <v>Nhava Sheva</v>
      </c>
      <c r="G238" s="39" t="str">
        <f>IFERROR(Sheet1!M238,0)</f>
        <v>Genoa</v>
      </c>
      <c r="H238" s="39" t="str">
        <f>IFERROR(Sheet1!H238,0)</f>
        <v>FEI Cargo</v>
      </c>
      <c r="I238" s="39" t="str">
        <f>IFERROR(Sheet1!G238,0)</f>
        <v>FOB</v>
      </c>
      <c r="J238" s="39" t="str">
        <f>IFERROR(Sheet1!K238,0)</f>
        <v>Hapag</v>
      </c>
      <c r="K238" s="41">
        <f>IFERROR(Sheet1!A238,0)</f>
        <v>45949</v>
      </c>
      <c r="L238" s="41">
        <f>IFERROR(Sheet1!I238,0)</f>
        <v>45947</v>
      </c>
      <c r="M238" s="47" t="str">
        <f>IFERROR(Sheet1!P238,0)</f>
        <v>NA</v>
      </c>
      <c r="N238" s="42">
        <f>IFERROR(IF(ISNUMBER(Sheet1!N238),Sheet1!N238,0),0)</f>
        <v>0</v>
      </c>
      <c r="O238" s="42">
        <f>IFERROR(IF(TRIM(F238)="Nhava Sheva",SUMPRODUCT((UPPER(TRIM('Origin Costs'!$A$5:$A$44))=UPPER(TRIM(J238)))*'Origin Costs'!$C$5:$C$44),IF(TRIM(F238)="ICD Tihi",SUMPRODUCT((UPPER(TRIM('Origin Costs'!$A$49:$A$88))=UPPER(TRIM(J238)))*'Origin Costs'!$C$49:$C$88),IF(TRIM(F238)="ICD Dhannad",SUMPRODUCT((UPPER(TRIM('Origin Costs'!$A$93:$A$132))=UPPER(TRIM(J238)))*'Origin Costs'!$C$93:$C$132),0))),0)</f>
        <v>1192.9777777777779</v>
      </c>
      <c r="P238" s="42">
        <f t="shared" si="3"/>
        <v>1192.9777777777779</v>
      </c>
      <c r="Q238" s="13" t="str">
        <f>IF(OR(Dashboard!$C$4="All Customers",$E238=Dashboard!$C$4),IF($E238="","",$P238+ROW()/10000000),"")</f>
        <v/>
      </c>
    </row>
    <row r="239" spans="1:17" ht="14.25" customHeight="1" x14ac:dyDescent="0.3">
      <c r="A239" s="43" t="str">
        <f>IFERROR("FY"&amp;TEXT(MOD(IF(MONTH(Sheet1!A239)&gt;=4,YEAR(Sheet1!A239),YEAR(Sheet1!A239)-1),100),"00")&amp;"-"&amp;TEXT(MOD(IF(MONTH(Sheet1!A239)&gt;=4,YEAR(Sheet1!A239),YEAR(Sheet1!A239)-1)+1,100),"00"),"")</f>
        <v>FY25-26</v>
      </c>
      <c r="B239" s="44" t="str">
        <f>IFERROR("Q"&amp;IF(MONTH(Sheet1!A239)&gt;=4,IF(MONTH(Sheet1!A239)&lt;=6,1,IF(MONTH(Sheet1!A239)&lt;=9,2,3)),4),"")</f>
        <v>Q3</v>
      </c>
      <c r="C239" s="43" t="str">
        <f>IFERROR(Sheet1!C239,0)</f>
        <v>MEA</v>
      </c>
      <c r="D239" s="43" t="str">
        <f>IFERROR(Sheet1!F239,0)</f>
        <v>Iraq</v>
      </c>
      <c r="E239" s="43" t="str">
        <f>IFERROR(Sheet1!E239,0)</f>
        <v>AL-DYAR AL-KHADRAA TIRE AND BATTERY, Iraq</v>
      </c>
      <c r="F239" s="43" t="str">
        <f>IFERROR(IF(UPPER(TRIM(Sheet1!J239))="NH","Nhava Sheva",IF(UPPER(TRIM(Sheet1!J239))="ICD","ICD Dhannad",IF(UPPER(TRIM(Sheet1!J239))="TIHI","ICD Tihi",Sheet1!J239))),0)</f>
        <v>ICD Tihi</v>
      </c>
      <c r="G239" s="43" t="str">
        <f>IFERROR(Sheet1!M239,0)</f>
        <v>Umm Qasr</v>
      </c>
      <c r="H239" s="43" t="str">
        <f>IFERROR(Sheet1!H239,0)</f>
        <v>Sevenseas Global</v>
      </c>
      <c r="I239" s="43" t="str">
        <f>IFERROR(Sheet1!G239,0)</f>
        <v>CIF</v>
      </c>
      <c r="J239" s="43" t="str">
        <f>IFERROR(Sheet1!K239,0)</f>
        <v>CMA</v>
      </c>
      <c r="K239" s="45">
        <f>IFERROR(Sheet1!A239,0)</f>
        <v>45952</v>
      </c>
      <c r="L239" s="45">
        <f>IFERROR(Sheet1!I239,0)</f>
        <v>45948</v>
      </c>
      <c r="M239" s="47" t="str">
        <f>IFERROR(Sheet1!P239,0)</f>
        <v>NA</v>
      </c>
      <c r="N239" s="46">
        <f>IFERROR(IF(ISNUMBER(Sheet1!N239),Sheet1!N239,0),0)</f>
        <v>1050</v>
      </c>
      <c r="O239" s="46">
        <f>IFERROR(IF(TRIM(F239)="Nhava Sheva",SUMPRODUCT((UPPER(TRIM('Origin Costs'!$A$5:$A$44))=UPPER(TRIM(J239)))*'Origin Costs'!$C$5:$C$44),IF(TRIM(F239)="ICD Tihi",SUMPRODUCT((UPPER(TRIM('Origin Costs'!$A$49:$A$88))=UPPER(TRIM(J239)))*'Origin Costs'!$C$49:$C$88),IF(TRIM(F239)="ICD Dhannad",SUMPRODUCT((UPPER(TRIM('Origin Costs'!$A$93:$A$132))=UPPER(TRIM(J239)))*'Origin Costs'!$C$93:$C$132),0))),0)</f>
        <v>1110.9666666666667</v>
      </c>
      <c r="P239" s="46">
        <f t="shared" si="3"/>
        <v>2160.9666666666667</v>
      </c>
      <c r="Q239" s="13" t="str">
        <f>IF(OR(Dashboard!$C$4="All Customers",$E239=Dashboard!$C$4),IF($E239="","",$P239+ROW()/10000000),"")</f>
        <v/>
      </c>
    </row>
    <row r="240" spans="1:17" ht="14.25" customHeight="1" x14ac:dyDescent="0.3">
      <c r="A240" s="39" t="str">
        <f>IFERROR("FY"&amp;TEXT(MOD(IF(MONTH(Sheet1!A240)&gt;=4,YEAR(Sheet1!A240),YEAR(Sheet1!A240)-1),100),"00")&amp;"-"&amp;TEXT(MOD(IF(MONTH(Sheet1!A240)&gt;=4,YEAR(Sheet1!A240),YEAR(Sheet1!A240)-1)+1,100),"00"),"")</f>
        <v>FY25-26</v>
      </c>
      <c r="B240" s="40" t="str">
        <f>IFERROR("Q"&amp;IF(MONTH(Sheet1!A240)&gt;=4,IF(MONTH(Sheet1!A240)&lt;=6,1,IF(MONTH(Sheet1!A240)&lt;=9,2,3)),4),"")</f>
        <v>Q3</v>
      </c>
      <c r="C240" s="39" t="str">
        <f>IFERROR(Sheet1!C240,0)</f>
        <v>Europe</v>
      </c>
      <c r="D240" s="39" t="str">
        <f>IFERROR(Sheet1!F240,0)</f>
        <v>UK</v>
      </c>
      <c r="E240" s="39" t="str">
        <f>IFERROR(Sheet1!E240,0)</f>
        <v>BA Bush Tyres</v>
      </c>
      <c r="F240" s="39" t="str">
        <f>IFERROR(IF(UPPER(TRIM(Sheet1!J240))="NH","Nhava Sheva",IF(UPPER(TRIM(Sheet1!J240))="ICD","ICD Dhannad",IF(UPPER(TRIM(Sheet1!J240))="TIHI","ICD Tihi",Sheet1!J240))),0)</f>
        <v>ICD Tihi</v>
      </c>
      <c r="G240" s="39" t="str">
        <f>IFERROR(Sheet1!M240,0)</f>
        <v>London Gateway</v>
      </c>
      <c r="H240" s="39" t="str">
        <f>IFERROR(Sheet1!H240,0)</f>
        <v>Sevenseas Global</v>
      </c>
      <c r="I240" s="39" t="str">
        <f>IFERROR(Sheet1!G240,0)</f>
        <v>CIF</v>
      </c>
      <c r="J240" s="39" t="str">
        <f>IFERROR(Sheet1!K240,0)</f>
        <v>Hapag</v>
      </c>
      <c r="K240" s="41">
        <f>IFERROR(Sheet1!A240,0)</f>
        <v>45952</v>
      </c>
      <c r="L240" s="41">
        <f>IFERROR(Sheet1!I240,0)</f>
        <v>45952</v>
      </c>
      <c r="M240" s="47" t="str">
        <f>IFERROR(Sheet1!P240,0)</f>
        <v>NA</v>
      </c>
      <c r="N240" s="42">
        <f>IFERROR(IF(ISNUMBER(Sheet1!N240),Sheet1!N240,0),0)</f>
        <v>1100</v>
      </c>
      <c r="O240" s="42">
        <f>IFERROR(IF(TRIM(F240)="Nhava Sheva",SUMPRODUCT((UPPER(TRIM('Origin Costs'!$A$5:$A$44))=UPPER(TRIM(J240)))*'Origin Costs'!$C$5:$C$44),IF(TRIM(F240)="ICD Tihi",SUMPRODUCT((UPPER(TRIM('Origin Costs'!$A$49:$A$88))=UPPER(TRIM(J240)))*'Origin Costs'!$C$49:$C$88),IF(TRIM(F240)="ICD Dhannad",SUMPRODUCT((UPPER(TRIM('Origin Costs'!$A$93:$A$132))=UPPER(TRIM(J240)))*'Origin Costs'!$C$93:$C$132),0))),0)</f>
        <v>1027.4444444444443</v>
      </c>
      <c r="P240" s="42">
        <f t="shared" si="3"/>
        <v>2127.4444444444443</v>
      </c>
      <c r="Q240" s="13" t="str">
        <f>IF(OR(Dashboard!$C$4="All Customers",$E240=Dashboard!$C$4),IF($E240="","",$P240+ROW()/10000000),"")</f>
        <v/>
      </c>
    </row>
    <row r="241" spans="1:17" ht="14.25" customHeight="1" x14ac:dyDescent="0.3">
      <c r="A241" s="43" t="str">
        <f>IFERROR("FY"&amp;TEXT(MOD(IF(MONTH(Sheet1!A241)&gt;=4,YEAR(Sheet1!A241),YEAR(Sheet1!A241)-1),100),"00")&amp;"-"&amp;TEXT(MOD(IF(MONTH(Sheet1!A241)&gt;=4,YEAR(Sheet1!A241),YEAR(Sheet1!A241)-1)+1,100),"00"),"")</f>
        <v>FY25-26</v>
      </c>
      <c r="B241" s="44" t="str">
        <f>IFERROR("Q"&amp;IF(MONTH(Sheet1!A241)&gt;=4,IF(MONTH(Sheet1!A241)&lt;=6,1,IF(MONTH(Sheet1!A241)&lt;=9,2,3)),4),"")</f>
        <v>Q3</v>
      </c>
      <c r="C241" s="43" t="str">
        <f>IFERROR(Sheet1!C241,0)</f>
        <v>Europe</v>
      </c>
      <c r="D241" s="43" t="str">
        <f>IFERROR(Sheet1!F241,0)</f>
        <v>UK</v>
      </c>
      <c r="E241" s="43" t="str">
        <f>IFERROR(Sheet1!E241,0)</f>
        <v>BA Bush Tyres</v>
      </c>
      <c r="F241" s="43" t="str">
        <f>IFERROR(IF(UPPER(TRIM(Sheet1!J241))="NH","Nhava Sheva",IF(UPPER(TRIM(Sheet1!J241))="ICD","ICD Dhannad",IF(UPPER(TRIM(Sheet1!J241))="TIHI","ICD Tihi",Sheet1!J241))),0)</f>
        <v>ICD Tihi</v>
      </c>
      <c r="G241" s="43" t="str">
        <f>IFERROR(Sheet1!M241,0)</f>
        <v>London Gateway</v>
      </c>
      <c r="H241" s="43" t="str">
        <f>IFERROR(Sheet1!H241,0)</f>
        <v>Sevenseas Global</v>
      </c>
      <c r="I241" s="43" t="str">
        <f>IFERROR(Sheet1!G241,0)</f>
        <v>CIF</v>
      </c>
      <c r="J241" s="43" t="str">
        <f>IFERROR(Sheet1!K241,0)</f>
        <v>Hapag</v>
      </c>
      <c r="K241" s="45">
        <f>IFERROR(Sheet1!A241,0)</f>
        <v>45952</v>
      </c>
      <c r="L241" s="45">
        <f>IFERROR(Sheet1!I241,0)</f>
        <v>45952</v>
      </c>
      <c r="M241" s="47" t="str">
        <f>IFERROR(Sheet1!P241,0)</f>
        <v>NA</v>
      </c>
      <c r="N241" s="46">
        <f>IFERROR(IF(ISNUMBER(Sheet1!N241),Sheet1!N241,0),0)</f>
        <v>1100</v>
      </c>
      <c r="O241" s="46">
        <f>IFERROR(IF(TRIM(F241)="Nhava Sheva",SUMPRODUCT((UPPER(TRIM('Origin Costs'!$A$5:$A$44))=UPPER(TRIM(J241)))*'Origin Costs'!$C$5:$C$44),IF(TRIM(F241)="ICD Tihi",SUMPRODUCT((UPPER(TRIM('Origin Costs'!$A$49:$A$88))=UPPER(TRIM(J241)))*'Origin Costs'!$C$49:$C$88),IF(TRIM(F241)="ICD Dhannad",SUMPRODUCT((UPPER(TRIM('Origin Costs'!$A$93:$A$132))=UPPER(TRIM(J241)))*'Origin Costs'!$C$93:$C$132),0))),0)</f>
        <v>1027.4444444444443</v>
      </c>
      <c r="P241" s="46">
        <f t="shared" si="3"/>
        <v>2127.4444444444443</v>
      </c>
      <c r="Q241" s="13" t="str">
        <f>IF(OR(Dashboard!$C$4="All Customers",$E241=Dashboard!$C$4),IF($E241="","",$P241+ROW()/10000000),"")</f>
        <v/>
      </c>
    </row>
    <row r="242" spans="1:17" ht="14.25" customHeight="1" x14ac:dyDescent="0.3">
      <c r="A242" s="39" t="str">
        <f>IFERROR("FY"&amp;TEXT(MOD(IF(MONTH(Sheet1!A242)&gt;=4,YEAR(Sheet1!A242),YEAR(Sheet1!A242)-1),100),"00")&amp;"-"&amp;TEXT(MOD(IF(MONTH(Sheet1!A242)&gt;=4,YEAR(Sheet1!A242),YEAR(Sheet1!A242)-1)+1,100),"00"),"")</f>
        <v>FY25-26</v>
      </c>
      <c r="B242" s="40" t="str">
        <f>IFERROR("Q"&amp;IF(MONTH(Sheet1!A242)&gt;=4,IF(MONTH(Sheet1!A242)&lt;=6,1,IF(MONTH(Sheet1!A242)&lt;=9,2,3)),4),"")</f>
        <v>Q3</v>
      </c>
      <c r="C242" s="39" t="str">
        <f>IFERROR(Sheet1!C242,0)</f>
        <v>Europe</v>
      </c>
      <c r="D242" s="39" t="str">
        <f>IFERROR(Sheet1!F242,0)</f>
        <v>Romania</v>
      </c>
      <c r="E242" s="39" t="str">
        <f>IFERROR(Sheet1!E242,0)</f>
        <v>Inter Cars Romania Srl</v>
      </c>
      <c r="F242" s="39" t="str">
        <f>IFERROR(IF(UPPER(TRIM(Sheet1!J242))="NH","Nhava Sheva",IF(UPPER(TRIM(Sheet1!J242))="ICD","ICD Dhannad",IF(UPPER(TRIM(Sheet1!J242))="TIHI","ICD Tihi",Sheet1!J242))),0)</f>
        <v>ICD Tihi</v>
      </c>
      <c r="G242" s="39" t="str">
        <f>IFERROR(Sheet1!M242,0)</f>
        <v>Constanta</v>
      </c>
      <c r="H242" s="39" t="str">
        <f>IFERROR(Sheet1!H242,0)</f>
        <v>DSV Air &amp; Sea</v>
      </c>
      <c r="I242" s="39" t="str">
        <f>IFERROR(Sheet1!G242,0)</f>
        <v>FOB</v>
      </c>
      <c r="J242" s="39" t="str">
        <f>IFERROR(Sheet1!K242,0)</f>
        <v>MSC</v>
      </c>
      <c r="K242" s="41">
        <f>IFERROR(Sheet1!A242,0)</f>
        <v>45953</v>
      </c>
      <c r="L242" s="41">
        <f>IFERROR(Sheet1!I242,0)</f>
        <v>45952</v>
      </c>
      <c r="M242" s="47" t="str">
        <f>IFERROR(Sheet1!P242,0)</f>
        <v>NA</v>
      </c>
      <c r="N242" s="42">
        <f>IFERROR(IF(ISNUMBER(Sheet1!N242),Sheet1!N242,0),0)</f>
        <v>0</v>
      </c>
      <c r="O242" s="42">
        <f>IFERROR(IF(TRIM(F242)="Nhava Sheva",SUMPRODUCT((UPPER(TRIM('Origin Costs'!$A$5:$A$44))=UPPER(TRIM(J242)))*'Origin Costs'!$C$5:$C$44),IF(TRIM(F242)="ICD Tihi",SUMPRODUCT((UPPER(TRIM('Origin Costs'!$A$49:$A$88))=UPPER(TRIM(J242)))*'Origin Costs'!$C$49:$C$88),IF(TRIM(F242)="ICD Dhannad",SUMPRODUCT((UPPER(TRIM('Origin Costs'!$A$93:$A$132))=UPPER(TRIM(J242)))*'Origin Costs'!$C$93:$C$132),0))),0)</f>
        <v>1081.3333333333333</v>
      </c>
      <c r="P242" s="42">
        <f t="shared" si="3"/>
        <v>1081.3333333333333</v>
      </c>
      <c r="Q242" s="13" t="str">
        <f>IF(OR(Dashboard!$C$4="All Customers",$E242=Dashboard!$C$4),IF($E242="","",$P242+ROW()/10000000),"")</f>
        <v/>
      </c>
    </row>
    <row r="243" spans="1:17" ht="14.25" customHeight="1" x14ac:dyDescent="0.3">
      <c r="A243" s="43" t="str">
        <f>IFERROR("FY"&amp;TEXT(MOD(IF(MONTH(Sheet1!A243)&gt;=4,YEAR(Sheet1!A243),YEAR(Sheet1!A243)-1),100),"00")&amp;"-"&amp;TEXT(MOD(IF(MONTH(Sheet1!A243)&gt;=4,YEAR(Sheet1!A243),YEAR(Sheet1!A243)-1)+1,100),"00"),"")</f>
        <v>FY25-26</v>
      </c>
      <c r="B243" s="44" t="str">
        <f>IFERROR("Q"&amp;IF(MONTH(Sheet1!A243)&gt;=4,IF(MONTH(Sheet1!A243)&lt;=6,1,IF(MONTH(Sheet1!A243)&lt;=9,2,3)),4),"")</f>
        <v>Q3</v>
      </c>
      <c r="C243" s="43" t="str">
        <f>IFERROR(Sheet1!C243,0)</f>
        <v>CIS</v>
      </c>
      <c r="D243" s="43" t="str">
        <f>IFERROR(Sheet1!F243,0)</f>
        <v>Russia</v>
      </c>
      <c r="E243" s="43" t="str">
        <f>IFERROR(Sheet1!E243,0)</f>
        <v>West Lake Russia Co. Ltd.</v>
      </c>
      <c r="F243" s="43" t="str">
        <f>IFERROR(IF(UPPER(TRIM(Sheet1!J243))="NH","Nhava Sheva",IF(UPPER(TRIM(Sheet1!J243))="ICD","ICD Dhannad",IF(UPPER(TRIM(Sheet1!J243))="TIHI","ICD Tihi",Sheet1!J243))),0)</f>
        <v>Nhava Sheva</v>
      </c>
      <c r="G243" s="43" t="str">
        <f>IFERROR(Sheet1!M243,0)</f>
        <v>SAINT PETERSBURG</v>
      </c>
      <c r="H243" s="43" t="str">
        <f>IFERROR(Sheet1!H243,0)</f>
        <v>Corten Shipping</v>
      </c>
      <c r="I243" s="43" t="str">
        <f>IFERROR(Sheet1!G243,0)</f>
        <v>FOB</v>
      </c>
      <c r="J243" s="43" t="str">
        <f>IFERROR(Sheet1!K243,0)</f>
        <v>Corten Shipping</v>
      </c>
      <c r="K243" s="45">
        <f>IFERROR(Sheet1!A243,0)</f>
        <v>45956</v>
      </c>
      <c r="L243" s="45">
        <f>IFERROR(Sheet1!I243,0)</f>
        <v>45954</v>
      </c>
      <c r="M243" s="47" t="str">
        <f>IFERROR(Sheet1!P243,0)</f>
        <v>NA</v>
      </c>
      <c r="N243" s="46">
        <f>IFERROR(IF(ISNUMBER(Sheet1!N243),Sheet1!N243,0),0)</f>
        <v>0</v>
      </c>
      <c r="O243" s="46">
        <f>IFERROR(IF(TRIM(F243)="Nhava Sheva",SUMPRODUCT((UPPER(TRIM('Origin Costs'!$A$5:$A$44))=UPPER(TRIM(J243)))*'Origin Costs'!$C$5:$C$44),IF(TRIM(F243)="ICD Tihi",SUMPRODUCT((UPPER(TRIM('Origin Costs'!$A$49:$A$88))=UPPER(TRIM(J243)))*'Origin Costs'!$C$49:$C$88),IF(TRIM(F243)="ICD Dhannad",SUMPRODUCT((UPPER(TRIM('Origin Costs'!$A$93:$A$132))=UPPER(TRIM(J243)))*'Origin Costs'!$C$93:$C$132),0))),0)</f>
        <v>0</v>
      </c>
      <c r="P243" s="46">
        <f t="shared" si="3"/>
        <v>0</v>
      </c>
      <c r="Q243" s="13" t="str">
        <f>IF(OR(Dashboard!$C$4="All Customers",$E243=Dashboard!$C$4),IF($E243="","",$P243+ROW()/10000000),"")</f>
        <v/>
      </c>
    </row>
    <row r="244" spans="1:17" ht="14.25" customHeight="1" x14ac:dyDescent="0.3">
      <c r="A244" s="39" t="str">
        <f>IFERROR("FY"&amp;TEXT(MOD(IF(MONTH(Sheet1!A244)&gt;=4,YEAR(Sheet1!A244),YEAR(Sheet1!A244)-1),100),"00")&amp;"-"&amp;TEXT(MOD(IF(MONTH(Sheet1!A244)&gt;=4,YEAR(Sheet1!A244),YEAR(Sheet1!A244)-1)+1,100),"00"),"")</f>
        <v>FY25-26</v>
      </c>
      <c r="B244" s="40" t="str">
        <f>IFERROR("Q"&amp;IF(MONTH(Sheet1!A244)&gt;=4,IF(MONTH(Sheet1!A244)&lt;=6,1,IF(MONTH(Sheet1!A244)&lt;=9,2,3)),4),"")</f>
        <v>Q3</v>
      </c>
      <c r="C244" s="39" t="str">
        <f>IFERROR(Sheet1!C244,0)</f>
        <v>CIS</v>
      </c>
      <c r="D244" s="39" t="str">
        <f>IFERROR(Sheet1!F244,0)</f>
        <v>Russia</v>
      </c>
      <c r="E244" s="39" t="str">
        <f>IFERROR(Sheet1!E244,0)</f>
        <v>West Lake Russia Co. Ltd.</v>
      </c>
      <c r="F244" s="39" t="str">
        <f>IFERROR(IF(UPPER(TRIM(Sheet1!J244))="NH","Nhava Sheva",IF(UPPER(TRIM(Sheet1!J244))="ICD","ICD Dhannad",IF(UPPER(TRIM(Sheet1!J244))="TIHI","ICD Tihi",Sheet1!J244))),0)</f>
        <v>Nhava Sheva</v>
      </c>
      <c r="G244" s="39" t="str">
        <f>IFERROR(Sheet1!M244,0)</f>
        <v>SAINT PETERSBURG</v>
      </c>
      <c r="H244" s="39" t="str">
        <f>IFERROR(Sheet1!H244,0)</f>
        <v>Corten Shipping</v>
      </c>
      <c r="I244" s="39" t="str">
        <f>IFERROR(Sheet1!G244,0)</f>
        <v>FOB</v>
      </c>
      <c r="J244" s="39" t="str">
        <f>IFERROR(Sheet1!K244,0)</f>
        <v>Corten Shipping</v>
      </c>
      <c r="K244" s="41">
        <f>IFERROR(Sheet1!A244,0)</f>
        <v>45956</v>
      </c>
      <c r="L244" s="41">
        <f>IFERROR(Sheet1!I244,0)</f>
        <v>45954</v>
      </c>
      <c r="M244" s="47" t="str">
        <f>IFERROR(Sheet1!P244,0)</f>
        <v>NA</v>
      </c>
      <c r="N244" s="42">
        <f>IFERROR(IF(ISNUMBER(Sheet1!N244),Sheet1!N244,0),0)</f>
        <v>0</v>
      </c>
      <c r="O244" s="42">
        <f>IFERROR(IF(TRIM(F244)="Nhava Sheva",SUMPRODUCT((UPPER(TRIM('Origin Costs'!$A$5:$A$44))=UPPER(TRIM(J244)))*'Origin Costs'!$C$5:$C$44),IF(TRIM(F244)="ICD Tihi",SUMPRODUCT((UPPER(TRIM('Origin Costs'!$A$49:$A$88))=UPPER(TRIM(J244)))*'Origin Costs'!$C$49:$C$88),IF(TRIM(F244)="ICD Dhannad",SUMPRODUCT((UPPER(TRIM('Origin Costs'!$A$93:$A$132))=UPPER(TRIM(J244)))*'Origin Costs'!$C$93:$C$132),0))),0)</f>
        <v>0</v>
      </c>
      <c r="P244" s="42">
        <f t="shared" si="3"/>
        <v>0</v>
      </c>
      <c r="Q244" s="13" t="str">
        <f>IF(OR(Dashboard!$C$4="All Customers",$E244=Dashboard!$C$4),IF($E244="","",$P244+ROW()/10000000),"")</f>
        <v/>
      </c>
    </row>
    <row r="245" spans="1:17" ht="14.25" customHeight="1" x14ac:dyDescent="0.3">
      <c r="A245" s="43" t="str">
        <f>IFERROR("FY"&amp;TEXT(MOD(IF(MONTH(Sheet1!A245)&gt;=4,YEAR(Sheet1!A245),YEAR(Sheet1!A245)-1),100),"00")&amp;"-"&amp;TEXT(MOD(IF(MONTH(Sheet1!A245)&gt;=4,YEAR(Sheet1!A245),YEAR(Sheet1!A245)-1)+1,100),"00"),"")</f>
        <v>FY25-26</v>
      </c>
      <c r="B245" s="44" t="str">
        <f>IFERROR("Q"&amp;IF(MONTH(Sheet1!A245)&gt;=4,IF(MONTH(Sheet1!A245)&lt;=6,1,IF(MONTH(Sheet1!A245)&lt;=9,2,3)),4),"")</f>
        <v>Q3</v>
      </c>
      <c r="C245" s="43" t="str">
        <f>IFERROR(Sheet1!C245,0)</f>
        <v>CIS</v>
      </c>
      <c r="D245" s="43" t="str">
        <f>IFERROR(Sheet1!F245,0)</f>
        <v>Russia</v>
      </c>
      <c r="E245" s="43" t="str">
        <f>IFERROR(Sheet1!E245,0)</f>
        <v>West Lake Russia Co. Ltd.</v>
      </c>
      <c r="F245" s="43" t="str">
        <f>IFERROR(IF(UPPER(TRIM(Sheet1!J245))="NH","Nhava Sheva",IF(UPPER(TRIM(Sheet1!J245))="ICD","ICD Dhannad",IF(UPPER(TRIM(Sheet1!J245))="TIHI","ICD Tihi",Sheet1!J245))),0)</f>
        <v>Nhava Sheva</v>
      </c>
      <c r="G245" s="43" t="str">
        <f>IFERROR(Sheet1!M245,0)</f>
        <v>SAINT PETERSBURG</v>
      </c>
      <c r="H245" s="43" t="str">
        <f>IFERROR(Sheet1!H245,0)</f>
        <v>Corten Shipping</v>
      </c>
      <c r="I245" s="43" t="str">
        <f>IFERROR(Sheet1!G245,0)</f>
        <v>FOB</v>
      </c>
      <c r="J245" s="43" t="str">
        <f>IFERROR(Sheet1!K245,0)</f>
        <v>Corten Shipping</v>
      </c>
      <c r="K245" s="45">
        <f>IFERROR(Sheet1!A245,0)</f>
        <v>45956</v>
      </c>
      <c r="L245" s="45">
        <f>IFERROR(Sheet1!I245,0)</f>
        <v>45954</v>
      </c>
      <c r="M245" s="47" t="str">
        <f>IFERROR(Sheet1!P245,0)</f>
        <v>NA</v>
      </c>
      <c r="N245" s="46">
        <f>IFERROR(IF(ISNUMBER(Sheet1!N245),Sheet1!N245,0),0)</f>
        <v>0</v>
      </c>
      <c r="O245" s="46">
        <f>IFERROR(IF(TRIM(F245)="Nhava Sheva",SUMPRODUCT((UPPER(TRIM('Origin Costs'!$A$5:$A$44))=UPPER(TRIM(J245)))*'Origin Costs'!$C$5:$C$44),IF(TRIM(F245)="ICD Tihi",SUMPRODUCT((UPPER(TRIM('Origin Costs'!$A$49:$A$88))=UPPER(TRIM(J245)))*'Origin Costs'!$C$49:$C$88),IF(TRIM(F245)="ICD Dhannad",SUMPRODUCT((UPPER(TRIM('Origin Costs'!$A$93:$A$132))=UPPER(TRIM(J245)))*'Origin Costs'!$C$93:$C$132),0))),0)</f>
        <v>0</v>
      </c>
      <c r="P245" s="46">
        <f t="shared" si="3"/>
        <v>0</v>
      </c>
      <c r="Q245" s="13" t="str">
        <f>IF(OR(Dashboard!$C$4="All Customers",$E245=Dashboard!$C$4),IF($E245="","",$P245+ROW()/10000000),"")</f>
        <v/>
      </c>
    </row>
    <row r="246" spans="1:17" ht="14.25" customHeight="1" x14ac:dyDescent="0.3">
      <c r="A246" s="39" t="str">
        <f>IFERROR("FY"&amp;TEXT(MOD(IF(MONTH(Sheet1!A246)&gt;=4,YEAR(Sheet1!A246),YEAR(Sheet1!A246)-1),100),"00")&amp;"-"&amp;TEXT(MOD(IF(MONTH(Sheet1!A246)&gt;=4,YEAR(Sheet1!A246),YEAR(Sheet1!A246)-1)+1,100),"00"),"")</f>
        <v>FY25-26</v>
      </c>
      <c r="B246" s="40" t="str">
        <f>IFERROR("Q"&amp;IF(MONTH(Sheet1!A246)&gt;=4,IF(MONTH(Sheet1!A246)&lt;=6,1,IF(MONTH(Sheet1!A246)&lt;=9,2,3)),4),"")</f>
        <v>Q3</v>
      </c>
      <c r="C246" s="39" t="str">
        <f>IFERROR(Sheet1!C246,0)</f>
        <v>S.A</v>
      </c>
      <c r="D246" s="39" t="str">
        <f>IFERROR(Sheet1!F246,0)</f>
        <v>Paraguay</v>
      </c>
      <c r="E246" s="39" t="str">
        <f>IFERROR(Sheet1!E246,0)</f>
        <v>Autopiezas Comercial E Industrial</v>
      </c>
      <c r="F246" s="39" t="str">
        <f>IFERROR(IF(UPPER(TRIM(Sheet1!J246))="NH","Nhava Sheva",IF(UPPER(TRIM(Sheet1!J246))="ICD","ICD Dhannad",IF(UPPER(TRIM(Sheet1!J246))="TIHI","ICD Tihi",Sheet1!J246))),0)</f>
        <v>ICD Tihi</v>
      </c>
      <c r="G246" s="39" t="str">
        <f>IFERROR(Sheet1!M246,0)</f>
        <v>Asuncion Port</v>
      </c>
      <c r="H246" s="39" t="str">
        <f>IFERROR(Sheet1!H246,0)</f>
        <v>Sanjay Forwarder</v>
      </c>
      <c r="I246" s="39" t="str">
        <f>IFERROR(Sheet1!G246,0)</f>
        <v>CIF</v>
      </c>
      <c r="J246" s="39" t="str">
        <f>IFERROR(Sheet1!K246,0)</f>
        <v>Hapag</v>
      </c>
      <c r="K246" s="41">
        <f>IFERROR(Sheet1!A246,0)</f>
        <v>45959</v>
      </c>
      <c r="L246" s="41">
        <f>IFERROR(Sheet1!I246,0)</f>
        <v>45961</v>
      </c>
      <c r="M246" s="47" t="str">
        <f>IFERROR(Sheet1!P246,0)</f>
        <v>NA</v>
      </c>
      <c r="N246" s="42">
        <f>IFERROR(IF(ISNUMBER(Sheet1!N246),Sheet1!N246,0),0)</f>
        <v>3890</v>
      </c>
      <c r="O246" s="42">
        <f>IFERROR(IF(TRIM(F246)="Nhava Sheva",SUMPRODUCT((UPPER(TRIM('Origin Costs'!$A$5:$A$44))=UPPER(TRIM(J246)))*'Origin Costs'!$C$5:$C$44),IF(TRIM(F246)="ICD Tihi",SUMPRODUCT((UPPER(TRIM('Origin Costs'!$A$49:$A$88))=UPPER(TRIM(J246)))*'Origin Costs'!$C$49:$C$88),IF(TRIM(F246)="ICD Dhannad",SUMPRODUCT((UPPER(TRIM('Origin Costs'!$A$93:$A$132))=UPPER(TRIM(J246)))*'Origin Costs'!$C$93:$C$132),0))),0)</f>
        <v>1027.4444444444443</v>
      </c>
      <c r="P246" s="42">
        <f t="shared" si="3"/>
        <v>4917.4444444444443</v>
      </c>
      <c r="Q246" s="13" t="str">
        <f>IF(OR(Dashboard!$C$4="All Customers",$E246=Dashboard!$C$4),IF($E246="","",$P246+ROW()/10000000),"")</f>
        <v/>
      </c>
    </row>
    <row r="247" spans="1:17" ht="14.25" customHeight="1" x14ac:dyDescent="0.3">
      <c r="A247" s="43" t="str">
        <f>IFERROR("FY"&amp;TEXT(MOD(IF(MONTH(Sheet1!A247)&gt;=4,YEAR(Sheet1!A247),YEAR(Sheet1!A247)-1),100),"00")&amp;"-"&amp;TEXT(MOD(IF(MONTH(Sheet1!A247)&gt;=4,YEAR(Sheet1!A247),YEAR(Sheet1!A247)-1)+1,100),"00"),"")</f>
        <v>FY25-26</v>
      </c>
      <c r="B247" s="44" t="str">
        <f>IFERROR("Q"&amp;IF(MONTH(Sheet1!A247)&gt;=4,IF(MONTH(Sheet1!A247)&lt;=6,1,IF(MONTH(Sheet1!A247)&lt;=9,2,3)),4),"")</f>
        <v>Q3</v>
      </c>
      <c r="C247" s="43" t="str">
        <f>IFERROR(Sheet1!C247,0)</f>
        <v>S.A</v>
      </c>
      <c r="D247" s="43" t="str">
        <f>IFERROR(Sheet1!F247,0)</f>
        <v>Paraguay</v>
      </c>
      <c r="E247" s="43" t="str">
        <f>IFERROR(Sheet1!E247,0)</f>
        <v>Autopiezas Comercial E Industrial</v>
      </c>
      <c r="F247" s="43" t="str">
        <f>IFERROR(IF(UPPER(TRIM(Sheet1!J247))="NH","Nhava Sheva",IF(UPPER(TRIM(Sheet1!J247))="ICD","ICD Dhannad",IF(UPPER(TRIM(Sheet1!J247))="TIHI","ICD Tihi",Sheet1!J247))),0)</f>
        <v>ICD Tihi</v>
      </c>
      <c r="G247" s="43" t="str">
        <f>IFERROR(Sheet1!M247,0)</f>
        <v>Asuncion Port</v>
      </c>
      <c r="H247" s="43" t="str">
        <f>IFERROR(Sheet1!H247,0)</f>
        <v>Sanjay Forwarder</v>
      </c>
      <c r="I247" s="43" t="str">
        <f>IFERROR(Sheet1!G247,0)</f>
        <v>CIF</v>
      </c>
      <c r="J247" s="43" t="str">
        <f>IFERROR(Sheet1!K247,0)</f>
        <v>Hapag</v>
      </c>
      <c r="K247" s="45">
        <f>IFERROR(Sheet1!A247,0)</f>
        <v>45959</v>
      </c>
      <c r="L247" s="45">
        <f>IFERROR(Sheet1!I247,0)</f>
        <v>45961</v>
      </c>
      <c r="M247" s="47" t="str">
        <f>IFERROR(Sheet1!P247,0)</f>
        <v>NA</v>
      </c>
      <c r="N247" s="46">
        <f>IFERROR(IF(ISNUMBER(Sheet1!N247),Sheet1!N247,0),0)</f>
        <v>3890</v>
      </c>
      <c r="O247" s="46">
        <f>IFERROR(IF(TRIM(F247)="Nhava Sheva",SUMPRODUCT((UPPER(TRIM('Origin Costs'!$A$5:$A$44))=UPPER(TRIM(J247)))*'Origin Costs'!$C$5:$C$44),IF(TRIM(F247)="ICD Tihi",SUMPRODUCT((UPPER(TRIM('Origin Costs'!$A$49:$A$88))=UPPER(TRIM(J247)))*'Origin Costs'!$C$49:$C$88),IF(TRIM(F247)="ICD Dhannad",SUMPRODUCT((UPPER(TRIM('Origin Costs'!$A$93:$A$132))=UPPER(TRIM(J247)))*'Origin Costs'!$C$93:$C$132),0))),0)</f>
        <v>1027.4444444444443</v>
      </c>
      <c r="P247" s="46">
        <f t="shared" si="3"/>
        <v>4917.4444444444443</v>
      </c>
      <c r="Q247" s="13" t="str">
        <f>IF(OR(Dashboard!$C$4="All Customers",$E247=Dashboard!$C$4),IF($E247="","",$P247+ROW()/10000000),"")</f>
        <v/>
      </c>
    </row>
    <row r="248" spans="1:17" ht="14.25" customHeight="1" x14ac:dyDescent="0.3">
      <c r="A248" s="39" t="str">
        <f>IFERROR("FY"&amp;TEXT(MOD(IF(MONTH(Sheet1!A248)&gt;=4,YEAR(Sheet1!A248),YEAR(Sheet1!A248)-1),100),"00")&amp;"-"&amp;TEXT(MOD(IF(MONTH(Sheet1!A248)&gt;=4,YEAR(Sheet1!A248),YEAR(Sheet1!A248)-1)+1,100),"00"),"")</f>
        <v>FY25-26</v>
      </c>
      <c r="B248" s="40" t="str">
        <f>IFERROR("Q"&amp;IF(MONTH(Sheet1!A248)&gt;=4,IF(MONTH(Sheet1!A248)&lt;=6,1,IF(MONTH(Sheet1!A248)&lt;=9,2,3)),4),"")</f>
        <v>Q3</v>
      </c>
      <c r="C248" s="39" t="str">
        <f>IFERROR(Sheet1!C248,0)</f>
        <v>S.A</v>
      </c>
      <c r="D248" s="39" t="str">
        <f>IFERROR(Sheet1!F248,0)</f>
        <v>Paraguay</v>
      </c>
      <c r="E248" s="39" t="str">
        <f>IFERROR(Sheet1!E248,0)</f>
        <v>Autopiezas Comercial E Industrial</v>
      </c>
      <c r="F248" s="39" t="str">
        <f>IFERROR(IF(UPPER(TRIM(Sheet1!J248))="NH","Nhava Sheva",IF(UPPER(TRIM(Sheet1!J248))="ICD","ICD Dhannad",IF(UPPER(TRIM(Sheet1!J248))="TIHI","ICD Tihi",Sheet1!J248))),0)</f>
        <v>ICD Tihi</v>
      </c>
      <c r="G248" s="39" t="str">
        <f>IFERROR(Sheet1!M248,0)</f>
        <v>Asuncion Port</v>
      </c>
      <c r="H248" s="39" t="str">
        <f>IFERROR(Sheet1!H248,0)</f>
        <v>Sanjay Forwarder</v>
      </c>
      <c r="I248" s="39" t="str">
        <f>IFERROR(Sheet1!G248,0)</f>
        <v>CIF</v>
      </c>
      <c r="J248" s="39" t="str">
        <f>IFERROR(Sheet1!K248,0)</f>
        <v>Hapag</v>
      </c>
      <c r="K248" s="41">
        <f>IFERROR(Sheet1!A248,0)</f>
        <v>45959</v>
      </c>
      <c r="L248" s="41">
        <f>IFERROR(Sheet1!I248,0)</f>
        <v>45961</v>
      </c>
      <c r="M248" s="47" t="str">
        <f>IFERROR(Sheet1!P248,0)</f>
        <v>NA</v>
      </c>
      <c r="N248" s="42">
        <f>IFERROR(IF(ISNUMBER(Sheet1!N248),Sheet1!N248,0),0)</f>
        <v>3890</v>
      </c>
      <c r="O248" s="42">
        <f>IFERROR(IF(TRIM(F248)="Nhava Sheva",SUMPRODUCT((UPPER(TRIM('Origin Costs'!$A$5:$A$44))=UPPER(TRIM(J248)))*'Origin Costs'!$C$5:$C$44),IF(TRIM(F248)="ICD Tihi",SUMPRODUCT((UPPER(TRIM('Origin Costs'!$A$49:$A$88))=UPPER(TRIM(J248)))*'Origin Costs'!$C$49:$C$88),IF(TRIM(F248)="ICD Dhannad",SUMPRODUCT((UPPER(TRIM('Origin Costs'!$A$93:$A$132))=UPPER(TRIM(J248)))*'Origin Costs'!$C$93:$C$132),0))),0)</f>
        <v>1027.4444444444443</v>
      </c>
      <c r="P248" s="42">
        <f t="shared" si="3"/>
        <v>4917.4444444444443</v>
      </c>
      <c r="Q248" s="13" t="str">
        <f>IF(OR(Dashboard!$C$4="All Customers",$E248=Dashboard!$C$4),IF($E248="","",$P248+ROW()/10000000),"")</f>
        <v/>
      </c>
    </row>
    <row r="249" spans="1:17" ht="14.25" customHeight="1" x14ac:dyDescent="0.3">
      <c r="A249" s="43" t="str">
        <f>IFERROR("FY"&amp;TEXT(MOD(IF(MONTH(Sheet1!A249)&gt;=4,YEAR(Sheet1!A249),YEAR(Sheet1!A249)-1),100),"00")&amp;"-"&amp;TEXT(MOD(IF(MONTH(Sheet1!A249)&gt;=4,YEAR(Sheet1!A249),YEAR(Sheet1!A249)-1)+1,100),"00"),"")</f>
        <v>FY25-26</v>
      </c>
      <c r="B249" s="44" t="str">
        <f>IFERROR("Q"&amp;IF(MONTH(Sheet1!A249)&gt;=4,IF(MONTH(Sheet1!A249)&lt;=6,1,IF(MONTH(Sheet1!A249)&lt;=9,2,3)),4),"")</f>
        <v>Q3</v>
      </c>
      <c r="C249" s="43" t="str">
        <f>IFERROR(Sheet1!C249,0)</f>
        <v>S.A</v>
      </c>
      <c r="D249" s="43" t="str">
        <f>IFERROR(Sheet1!F249,0)</f>
        <v>Paraguay</v>
      </c>
      <c r="E249" s="43" t="str">
        <f>IFERROR(Sheet1!E249,0)</f>
        <v>Autopiezas Comercial E Industrial</v>
      </c>
      <c r="F249" s="43" t="str">
        <f>IFERROR(IF(UPPER(TRIM(Sheet1!J249))="NH","Nhava Sheva",IF(UPPER(TRIM(Sheet1!J249))="ICD","ICD Dhannad",IF(UPPER(TRIM(Sheet1!J249))="TIHI","ICD Tihi",Sheet1!J249))),0)</f>
        <v>ICD Tihi</v>
      </c>
      <c r="G249" s="43" t="str">
        <f>IFERROR(Sheet1!M249,0)</f>
        <v>Asuncion Port</v>
      </c>
      <c r="H249" s="43" t="str">
        <f>IFERROR(Sheet1!H249,0)</f>
        <v>Sanjay Forwarder</v>
      </c>
      <c r="I249" s="43" t="str">
        <f>IFERROR(Sheet1!G249,0)</f>
        <v>CIF</v>
      </c>
      <c r="J249" s="43" t="str">
        <f>IFERROR(Sheet1!K249,0)</f>
        <v>Hapag</v>
      </c>
      <c r="K249" s="45">
        <f>IFERROR(Sheet1!A249,0)</f>
        <v>45959</v>
      </c>
      <c r="L249" s="45">
        <f>IFERROR(Sheet1!I249,0)</f>
        <v>45961</v>
      </c>
      <c r="M249" s="47" t="str">
        <f>IFERROR(Sheet1!P249,0)</f>
        <v>NA</v>
      </c>
      <c r="N249" s="46">
        <f>IFERROR(IF(ISNUMBER(Sheet1!N249),Sheet1!N249,0),0)</f>
        <v>3890</v>
      </c>
      <c r="O249" s="46">
        <f>IFERROR(IF(TRIM(F249)="Nhava Sheva",SUMPRODUCT((UPPER(TRIM('Origin Costs'!$A$5:$A$44))=UPPER(TRIM(J249)))*'Origin Costs'!$C$5:$C$44),IF(TRIM(F249)="ICD Tihi",SUMPRODUCT((UPPER(TRIM('Origin Costs'!$A$49:$A$88))=UPPER(TRIM(J249)))*'Origin Costs'!$C$49:$C$88),IF(TRIM(F249)="ICD Dhannad",SUMPRODUCT((UPPER(TRIM('Origin Costs'!$A$93:$A$132))=UPPER(TRIM(J249)))*'Origin Costs'!$C$93:$C$132),0))),0)</f>
        <v>1027.4444444444443</v>
      </c>
      <c r="P249" s="46">
        <f t="shared" si="3"/>
        <v>4917.4444444444443</v>
      </c>
      <c r="Q249" s="13" t="str">
        <f>IF(OR(Dashboard!$C$4="All Customers",$E249=Dashboard!$C$4),IF($E249="","",$P249+ROW()/10000000),"")</f>
        <v/>
      </c>
    </row>
    <row r="250" spans="1:17" ht="14.25" customHeight="1" x14ac:dyDescent="0.3">
      <c r="A250" s="39" t="str">
        <f>IFERROR("FY"&amp;TEXT(MOD(IF(MONTH(Sheet1!A250)&gt;=4,YEAR(Sheet1!A250),YEAR(Sheet1!A250)-1),100),"00")&amp;"-"&amp;TEXT(MOD(IF(MONTH(Sheet1!A250)&gt;=4,YEAR(Sheet1!A250),YEAR(Sheet1!A250)-1)+1,100),"00"),"")</f>
        <v>FY25-26</v>
      </c>
      <c r="B250" s="40" t="str">
        <f>IFERROR("Q"&amp;IF(MONTH(Sheet1!A250)&gt;=4,IF(MONTH(Sheet1!A250)&lt;=6,1,IF(MONTH(Sheet1!A250)&lt;=9,2,3)),4),"")</f>
        <v>Q3</v>
      </c>
      <c r="C250" s="39" t="str">
        <f>IFERROR(Sheet1!C250,0)</f>
        <v>S.A</v>
      </c>
      <c r="D250" s="39" t="str">
        <f>IFERROR(Sheet1!F250,0)</f>
        <v>Brazil</v>
      </c>
      <c r="E250" s="39" t="str">
        <f>IFERROR(Sheet1!E250,0)</f>
        <v>CPX DISTRIBUIDORA S/A-Navegantes</v>
      </c>
      <c r="F250" s="39" t="str">
        <f>IFERROR(IF(UPPER(TRIM(Sheet1!J250))="NH","Nhava Sheva",IF(UPPER(TRIM(Sheet1!J250))="ICD","ICD Dhannad",IF(UPPER(TRIM(Sheet1!J250))="TIHI","ICD Tihi",Sheet1!J250))),0)</f>
        <v>ICD Dhannad</v>
      </c>
      <c r="G250" s="39" t="str">
        <f>IFERROR(Sheet1!M250,0)</f>
        <v>Suape</v>
      </c>
      <c r="H250" s="39" t="str">
        <f>IFERROR(Sheet1!H250,0)</f>
        <v>Cargo Marketing</v>
      </c>
      <c r="I250" s="39" t="str">
        <f>IFERROR(Sheet1!G250,0)</f>
        <v>FOB</v>
      </c>
      <c r="J250" s="39" t="str">
        <f>IFERROR(Sheet1!K250,0)</f>
        <v>MSC</v>
      </c>
      <c r="K250" s="41">
        <f>IFERROR(Sheet1!A250,0)</f>
        <v>45959</v>
      </c>
      <c r="L250" s="41">
        <f>IFERROR(Sheet1!I250,0)</f>
        <v>45959</v>
      </c>
      <c r="M250" s="47" t="str">
        <f>IFERROR(Sheet1!P250,0)</f>
        <v>NA</v>
      </c>
      <c r="N250" s="42">
        <f>IFERROR(IF(ISNUMBER(Sheet1!N250),Sheet1!N250,0),0)</f>
        <v>0</v>
      </c>
      <c r="O250" s="42">
        <f>IFERROR(IF(TRIM(F250)="Nhava Sheva",SUMPRODUCT((UPPER(TRIM('Origin Costs'!$A$5:$A$44))=UPPER(TRIM(J250)))*'Origin Costs'!$C$5:$C$44),IF(TRIM(F250)="ICD Tihi",SUMPRODUCT((UPPER(TRIM('Origin Costs'!$A$49:$A$88))=UPPER(TRIM(J250)))*'Origin Costs'!$C$49:$C$88),IF(TRIM(F250)="ICD Dhannad",SUMPRODUCT((UPPER(TRIM('Origin Costs'!$A$93:$A$132))=UPPER(TRIM(J250)))*'Origin Costs'!$C$93:$C$132),0))),0)</f>
        <v>0</v>
      </c>
      <c r="P250" s="42">
        <f t="shared" si="3"/>
        <v>0</v>
      </c>
      <c r="Q250" s="13" t="str">
        <f>IF(OR(Dashboard!$C$4="All Customers",$E250=Dashboard!$C$4),IF($E250="","",$P250+ROW()/10000000),"")</f>
        <v/>
      </c>
    </row>
    <row r="251" spans="1:17" ht="14.25" customHeight="1" x14ac:dyDescent="0.3">
      <c r="A251" s="43" t="str">
        <f>IFERROR("FY"&amp;TEXT(MOD(IF(MONTH(Sheet1!A251)&gt;=4,YEAR(Sheet1!A251),YEAR(Sheet1!A251)-1),100),"00")&amp;"-"&amp;TEXT(MOD(IF(MONTH(Sheet1!A251)&gt;=4,YEAR(Sheet1!A251),YEAR(Sheet1!A251)-1)+1,100),"00"),"")</f>
        <v>FY25-26</v>
      </c>
      <c r="B251" s="44" t="str">
        <f>IFERROR("Q"&amp;IF(MONTH(Sheet1!A251)&gt;=4,IF(MONTH(Sheet1!A251)&lt;=6,1,IF(MONTH(Sheet1!A251)&lt;=9,2,3)),4),"")</f>
        <v>Q3</v>
      </c>
      <c r="C251" s="43" t="str">
        <f>IFERROR(Sheet1!C251,0)</f>
        <v>S.A</v>
      </c>
      <c r="D251" s="43" t="str">
        <f>IFERROR(Sheet1!F251,0)</f>
        <v>Brazil</v>
      </c>
      <c r="E251" s="43" t="str">
        <f>IFERROR(Sheet1!E251,0)</f>
        <v>CPX DISTRIBUIDORA S/A-Navegantes</v>
      </c>
      <c r="F251" s="43" t="str">
        <f>IFERROR(IF(UPPER(TRIM(Sheet1!J251))="NH","Nhava Sheva",IF(UPPER(TRIM(Sheet1!J251))="ICD","ICD Dhannad",IF(UPPER(TRIM(Sheet1!J251))="TIHI","ICD Tihi",Sheet1!J251))),0)</f>
        <v>ICD Dhannad</v>
      </c>
      <c r="G251" s="43" t="str">
        <f>IFERROR(Sheet1!M251,0)</f>
        <v>Suape</v>
      </c>
      <c r="H251" s="43" t="str">
        <f>IFERROR(Sheet1!H251,0)</f>
        <v>Cargo Marketing</v>
      </c>
      <c r="I251" s="43" t="str">
        <f>IFERROR(Sheet1!G251,0)</f>
        <v>FOB</v>
      </c>
      <c r="J251" s="43" t="str">
        <f>IFERROR(Sheet1!K251,0)</f>
        <v>MSC</v>
      </c>
      <c r="K251" s="45">
        <f>IFERROR(Sheet1!A251,0)</f>
        <v>45959</v>
      </c>
      <c r="L251" s="45">
        <f>IFERROR(Sheet1!I251,0)</f>
        <v>45959</v>
      </c>
      <c r="M251" s="47" t="str">
        <f>IFERROR(Sheet1!P251,0)</f>
        <v>NA</v>
      </c>
      <c r="N251" s="46">
        <f>IFERROR(IF(ISNUMBER(Sheet1!N251),Sheet1!N251,0),0)</f>
        <v>0</v>
      </c>
      <c r="O251" s="46">
        <f>IFERROR(IF(TRIM(F251)="Nhava Sheva",SUMPRODUCT((UPPER(TRIM('Origin Costs'!$A$5:$A$44))=UPPER(TRIM(J251)))*'Origin Costs'!$C$5:$C$44),IF(TRIM(F251)="ICD Tihi",SUMPRODUCT((UPPER(TRIM('Origin Costs'!$A$49:$A$88))=UPPER(TRIM(J251)))*'Origin Costs'!$C$49:$C$88),IF(TRIM(F251)="ICD Dhannad",SUMPRODUCT((UPPER(TRIM('Origin Costs'!$A$93:$A$132))=UPPER(TRIM(J251)))*'Origin Costs'!$C$93:$C$132),0))),0)</f>
        <v>0</v>
      </c>
      <c r="P251" s="46">
        <f t="shared" si="3"/>
        <v>0</v>
      </c>
      <c r="Q251" s="13" t="str">
        <f>IF(OR(Dashboard!$C$4="All Customers",$E251=Dashboard!$C$4),IF($E251="","",$P251+ROW()/10000000),"")</f>
        <v/>
      </c>
    </row>
    <row r="252" spans="1:17" ht="14.25" customHeight="1" x14ac:dyDescent="0.3">
      <c r="A252" s="39" t="str">
        <f>IFERROR("FY"&amp;TEXT(MOD(IF(MONTH(Sheet1!A252)&gt;=4,YEAR(Sheet1!A252),YEAR(Sheet1!A252)-1),100),"00")&amp;"-"&amp;TEXT(MOD(IF(MONTH(Sheet1!A252)&gt;=4,YEAR(Sheet1!A252),YEAR(Sheet1!A252)-1)+1,100),"00"),"")</f>
        <v>FY25-26</v>
      </c>
      <c r="B252" s="40" t="str">
        <f>IFERROR("Q"&amp;IF(MONTH(Sheet1!A252)&gt;=4,IF(MONTH(Sheet1!A252)&lt;=6,1,IF(MONTH(Sheet1!A252)&lt;=9,2,3)),4),"")</f>
        <v>Q3</v>
      </c>
      <c r="C252" s="39" t="str">
        <f>IFERROR(Sheet1!C252,0)</f>
        <v>S.A</v>
      </c>
      <c r="D252" s="39" t="str">
        <f>IFERROR(Sheet1!F252,0)</f>
        <v>Brazil</v>
      </c>
      <c r="E252" s="39" t="str">
        <f>IFERROR(Sheet1!E252,0)</f>
        <v>CPX DISTRIBUIDORA S/A-Navegantes</v>
      </c>
      <c r="F252" s="39" t="str">
        <f>IFERROR(IF(UPPER(TRIM(Sheet1!J252))="NH","Nhava Sheva",IF(UPPER(TRIM(Sheet1!J252))="ICD","ICD Dhannad",IF(UPPER(TRIM(Sheet1!J252))="TIHI","ICD Tihi",Sheet1!J252))),0)</f>
        <v>ICD Dhannad</v>
      </c>
      <c r="G252" s="39" t="str">
        <f>IFERROR(Sheet1!M252,0)</f>
        <v>Suape</v>
      </c>
      <c r="H252" s="39" t="str">
        <f>IFERROR(Sheet1!H252,0)</f>
        <v>Cargo Marketing</v>
      </c>
      <c r="I252" s="39" t="str">
        <f>IFERROR(Sheet1!G252,0)</f>
        <v>FOB</v>
      </c>
      <c r="J252" s="39" t="str">
        <f>IFERROR(Sheet1!K252,0)</f>
        <v>MSC</v>
      </c>
      <c r="K252" s="41">
        <f>IFERROR(Sheet1!A252,0)</f>
        <v>45959</v>
      </c>
      <c r="L252" s="41">
        <f>IFERROR(Sheet1!I252,0)</f>
        <v>45959</v>
      </c>
      <c r="M252" s="47" t="str">
        <f>IFERROR(Sheet1!P252,0)</f>
        <v>NA</v>
      </c>
      <c r="N252" s="42">
        <f>IFERROR(IF(ISNUMBER(Sheet1!N252),Sheet1!N252,0),0)</f>
        <v>0</v>
      </c>
      <c r="O252" s="42">
        <f>IFERROR(IF(TRIM(F252)="Nhava Sheva",SUMPRODUCT((UPPER(TRIM('Origin Costs'!$A$5:$A$44))=UPPER(TRIM(J252)))*'Origin Costs'!$C$5:$C$44),IF(TRIM(F252)="ICD Tihi",SUMPRODUCT((UPPER(TRIM('Origin Costs'!$A$49:$A$88))=UPPER(TRIM(J252)))*'Origin Costs'!$C$49:$C$88),IF(TRIM(F252)="ICD Dhannad",SUMPRODUCT((UPPER(TRIM('Origin Costs'!$A$93:$A$132))=UPPER(TRIM(J252)))*'Origin Costs'!$C$93:$C$132),0))),0)</f>
        <v>0</v>
      </c>
      <c r="P252" s="42">
        <f t="shared" si="3"/>
        <v>0</v>
      </c>
      <c r="Q252" s="13" t="str">
        <f>IF(OR(Dashboard!$C$4="All Customers",$E252=Dashboard!$C$4),IF($E252="","",$P252+ROW()/10000000),"")</f>
        <v/>
      </c>
    </row>
    <row r="253" spans="1:17" ht="14.25" customHeight="1" x14ac:dyDescent="0.3">
      <c r="A253" s="43" t="str">
        <f>IFERROR("FY"&amp;TEXT(MOD(IF(MONTH(Sheet1!A253)&gt;=4,YEAR(Sheet1!A253),YEAR(Sheet1!A253)-1),100),"00")&amp;"-"&amp;TEXT(MOD(IF(MONTH(Sheet1!A253)&gt;=4,YEAR(Sheet1!A253),YEAR(Sheet1!A253)-1)+1,100),"00"),"")</f>
        <v>FY25-26</v>
      </c>
      <c r="B253" s="44" t="str">
        <f>IFERROR("Q"&amp;IF(MONTH(Sheet1!A253)&gt;=4,IF(MONTH(Sheet1!A253)&lt;=6,1,IF(MONTH(Sheet1!A253)&lt;=9,2,3)),4),"")</f>
        <v>Q3</v>
      </c>
      <c r="C253" s="43" t="str">
        <f>IFERROR(Sheet1!C253,0)</f>
        <v>S.A</v>
      </c>
      <c r="D253" s="43" t="str">
        <f>IFERROR(Sheet1!F253,0)</f>
        <v>Brazil</v>
      </c>
      <c r="E253" s="43" t="str">
        <f>IFERROR(Sheet1!E253,0)</f>
        <v>CPX DISTRIBUIDORA S/A-Navegantes</v>
      </c>
      <c r="F253" s="43" t="str">
        <f>IFERROR(IF(UPPER(TRIM(Sheet1!J253))="NH","Nhava Sheva",IF(UPPER(TRIM(Sheet1!J253))="ICD","ICD Dhannad",IF(UPPER(TRIM(Sheet1!J253))="TIHI","ICD Tihi",Sheet1!J253))),0)</f>
        <v>ICD Dhannad</v>
      </c>
      <c r="G253" s="43" t="str">
        <f>IFERROR(Sheet1!M253,0)</f>
        <v>Suape</v>
      </c>
      <c r="H253" s="43" t="str">
        <f>IFERROR(Sheet1!H253,0)</f>
        <v>Cargo Marketing</v>
      </c>
      <c r="I253" s="43" t="str">
        <f>IFERROR(Sheet1!G253,0)</f>
        <v>FOB</v>
      </c>
      <c r="J253" s="43" t="str">
        <f>IFERROR(Sheet1!K253,0)</f>
        <v>MSC</v>
      </c>
      <c r="K253" s="45">
        <f>IFERROR(Sheet1!A253,0)</f>
        <v>45959</v>
      </c>
      <c r="L253" s="45">
        <f>IFERROR(Sheet1!I253,0)</f>
        <v>45959</v>
      </c>
      <c r="M253" s="47" t="str">
        <f>IFERROR(Sheet1!P253,0)</f>
        <v>NA</v>
      </c>
      <c r="N253" s="46">
        <f>IFERROR(IF(ISNUMBER(Sheet1!N253),Sheet1!N253,0),0)</f>
        <v>0</v>
      </c>
      <c r="O253" s="46">
        <f>IFERROR(IF(TRIM(F253)="Nhava Sheva",SUMPRODUCT((UPPER(TRIM('Origin Costs'!$A$5:$A$44))=UPPER(TRIM(J253)))*'Origin Costs'!$C$5:$C$44),IF(TRIM(F253)="ICD Tihi",SUMPRODUCT((UPPER(TRIM('Origin Costs'!$A$49:$A$88))=UPPER(TRIM(J253)))*'Origin Costs'!$C$49:$C$88),IF(TRIM(F253)="ICD Dhannad",SUMPRODUCT((UPPER(TRIM('Origin Costs'!$A$93:$A$132))=UPPER(TRIM(J253)))*'Origin Costs'!$C$93:$C$132),0))),0)</f>
        <v>0</v>
      </c>
      <c r="P253" s="46">
        <f t="shared" si="3"/>
        <v>0</v>
      </c>
      <c r="Q253" s="13" t="str">
        <f>IF(OR(Dashboard!$C$4="All Customers",$E253=Dashboard!$C$4),IF($E253="","",$P253+ROW()/10000000),"")</f>
        <v/>
      </c>
    </row>
    <row r="254" spans="1:17" ht="14.25" customHeight="1" x14ac:dyDescent="0.3">
      <c r="A254" s="39" t="str">
        <f>IFERROR("FY"&amp;TEXT(MOD(IF(MONTH(Sheet1!A254)&gt;=4,YEAR(Sheet1!A254),YEAR(Sheet1!A254)-1),100),"00")&amp;"-"&amp;TEXT(MOD(IF(MONTH(Sheet1!A254)&gt;=4,YEAR(Sheet1!A254),YEAR(Sheet1!A254)-1)+1,100),"00"),"")</f>
        <v>FY25-26</v>
      </c>
      <c r="B254" s="40" t="str">
        <f>IFERROR("Q"&amp;IF(MONTH(Sheet1!A254)&gt;=4,IF(MONTH(Sheet1!A254)&lt;=6,1,IF(MONTH(Sheet1!A254)&lt;=9,2,3)),4),"")</f>
        <v>Q3</v>
      </c>
      <c r="C254" s="39" t="str">
        <f>IFERROR(Sheet1!C254,0)</f>
        <v>S.A</v>
      </c>
      <c r="D254" s="39" t="str">
        <f>IFERROR(Sheet1!F254,0)</f>
        <v>Brazil</v>
      </c>
      <c r="E254" s="39" t="str">
        <f>IFERROR(Sheet1!E254,0)</f>
        <v>CPX DISTRIBUIDORA S/A-Navegantes</v>
      </c>
      <c r="F254" s="39" t="str">
        <f>IFERROR(IF(UPPER(TRIM(Sheet1!J254))="NH","Nhava Sheva",IF(UPPER(TRIM(Sheet1!J254))="ICD","ICD Dhannad",IF(UPPER(TRIM(Sheet1!J254))="TIHI","ICD Tihi",Sheet1!J254))),0)</f>
        <v>ICD Dhannad</v>
      </c>
      <c r="G254" s="39" t="str">
        <f>IFERROR(Sheet1!M254,0)</f>
        <v>Suape</v>
      </c>
      <c r="H254" s="39" t="str">
        <f>IFERROR(Sheet1!H254,0)</f>
        <v>Cargo Marketing</v>
      </c>
      <c r="I254" s="39" t="str">
        <f>IFERROR(Sheet1!G254,0)</f>
        <v>FOB</v>
      </c>
      <c r="J254" s="39" t="str">
        <f>IFERROR(Sheet1!K254,0)</f>
        <v>MSC</v>
      </c>
      <c r="K254" s="41">
        <f>IFERROR(Sheet1!A254,0)</f>
        <v>45959</v>
      </c>
      <c r="L254" s="41">
        <f>IFERROR(Sheet1!I254,0)</f>
        <v>45959</v>
      </c>
      <c r="M254" s="47" t="str">
        <f>IFERROR(Sheet1!P254,0)</f>
        <v>NA</v>
      </c>
      <c r="N254" s="42">
        <f>IFERROR(IF(ISNUMBER(Sheet1!N254),Sheet1!N254,0),0)</f>
        <v>0</v>
      </c>
      <c r="O254" s="42">
        <f>IFERROR(IF(TRIM(F254)="Nhava Sheva",SUMPRODUCT((UPPER(TRIM('Origin Costs'!$A$5:$A$44))=UPPER(TRIM(J254)))*'Origin Costs'!$C$5:$C$44),IF(TRIM(F254)="ICD Tihi",SUMPRODUCT((UPPER(TRIM('Origin Costs'!$A$49:$A$88))=UPPER(TRIM(J254)))*'Origin Costs'!$C$49:$C$88),IF(TRIM(F254)="ICD Dhannad",SUMPRODUCT((UPPER(TRIM('Origin Costs'!$A$93:$A$132))=UPPER(TRIM(J254)))*'Origin Costs'!$C$93:$C$132),0))),0)</f>
        <v>0</v>
      </c>
      <c r="P254" s="42">
        <f t="shared" si="3"/>
        <v>0</v>
      </c>
      <c r="Q254" s="13" t="str">
        <f>IF(OR(Dashboard!$C$4="All Customers",$E254=Dashboard!$C$4),IF($E254="","",$P254+ROW()/10000000),"")</f>
        <v/>
      </c>
    </row>
    <row r="255" spans="1:17" ht="14.25" customHeight="1" x14ac:dyDescent="0.3">
      <c r="A255" s="43" t="str">
        <f>IFERROR("FY"&amp;TEXT(MOD(IF(MONTH(Sheet1!A255)&gt;=4,YEAR(Sheet1!A255),YEAR(Sheet1!A255)-1),100),"00")&amp;"-"&amp;TEXT(MOD(IF(MONTH(Sheet1!A255)&gt;=4,YEAR(Sheet1!A255),YEAR(Sheet1!A255)-1)+1,100),"00"),"")</f>
        <v>FY25-26</v>
      </c>
      <c r="B255" s="44" t="str">
        <f>IFERROR("Q"&amp;IF(MONTH(Sheet1!A255)&gt;=4,IF(MONTH(Sheet1!A255)&lt;=6,1,IF(MONTH(Sheet1!A255)&lt;=9,2,3)),4),"")</f>
        <v>Q3</v>
      </c>
      <c r="C255" s="43" t="str">
        <f>IFERROR(Sheet1!C255,0)</f>
        <v>S.A</v>
      </c>
      <c r="D255" s="43" t="str">
        <f>IFERROR(Sheet1!F255,0)</f>
        <v>Brazil</v>
      </c>
      <c r="E255" s="43" t="str">
        <f>IFERROR(Sheet1!E255,0)</f>
        <v>CPX DISTRIBUIDORA S/A-Navegantes</v>
      </c>
      <c r="F255" s="43" t="str">
        <f>IFERROR(IF(UPPER(TRIM(Sheet1!J255))="NH","Nhava Sheva",IF(UPPER(TRIM(Sheet1!J255))="ICD","ICD Dhannad",IF(UPPER(TRIM(Sheet1!J255))="TIHI","ICD Tihi",Sheet1!J255))),0)</f>
        <v>ICD Dhannad</v>
      </c>
      <c r="G255" s="43" t="str">
        <f>IFERROR(Sheet1!M255,0)</f>
        <v>Suape</v>
      </c>
      <c r="H255" s="43" t="str">
        <f>IFERROR(Sheet1!H255,0)</f>
        <v>Cargo Marketing</v>
      </c>
      <c r="I255" s="43" t="str">
        <f>IFERROR(Sheet1!G255,0)</f>
        <v>FOB</v>
      </c>
      <c r="J255" s="43" t="str">
        <f>IFERROR(Sheet1!K255,0)</f>
        <v>MSC</v>
      </c>
      <c r="K255" s="45">
        <f>IFERROR(Sheet1!A255,0)</f>
        <v>45959</v>
      </c>
      <c r="L255" s="45">
        <f>IFERROR(Sheet1!I255,0)</f>
        <v>45959</v>
      </c>
      <c r="M255" s="47" t="str">
        <f>IFERROR(Sheet1!P255,0)</f>
        <v>NA</v>
      </c>
      <c r="N255" s="46">
        <f>IFERROR(IF(ISNUMBER(Sheet1!N255),Sheet1!N255,0),0)</f>
        <v>0</v>
      </c>
      <c r="O255" s="46">
        <f>IFERROR(IF(TRIM(F255)="Nhava Sheva",SUMPRODUCT((UPPER(TRIM('Origin Costs'!$A$5:$A$44))=UPPER(TRIM(J255)))*'Origin Costs'!$C$5:$C$44),IF(TRIM(F255)="ICD Tihi",SUMPRODUCT((UPPER(TRIM('Origin Costs'!$A$49:$A$88))=UPPER(TRIM(J255)))*'Origin Costs'!$C$49:$C$88),IF(TRIM(F255)="ICD Dhannad",SUMPRODUCT((UPPER(TRIM('Origin Costs'!$A$93:$A$132))=UPPER(TRIM(J255)))*'Origin Costs'!$C$93:$C$132),0))),0)</f>
        <v>0</v>
      </c>
      <c r="P255" s="46">
        <f t="shared" si="3"/>
        <v>0</v>
      </c>
      <c r="Q255" s="13" t="str">
        <f>IF(OR(Dashboard!$C$4="All Customers",$E255=Dashboard!$C$4),IF($E255="","",$P255+ROW()/10000000),"")</f>
        <v/>
      </c>
    </row>
    <row r="256" spans="1:17" ht="14.25" customHeight="1" x14ac:dyDescent="0.3">
      <c r="A256" s="39" t="str">
        <f>IFERROR("FY"&amp;TEXT(MOD(IF(MONTH(Sheet1!A256)&gt;=4,YEAR(Sheet1!A256),YEAR(Sheet1!A256)-1),100),"00")&amp;"-"&amp;TEXT(MOD(IF(MONTH(Sheet1!A256)&gt;=4,YEAR(Sheet1!A256),YEAR(Sheet1!A256)-1)+1,100),"00"),"")</f>
        <v>FY25-26</v>
      </c>
      <c r="B256" s="40" t="str">
        <f>IFERROR("Q"&amp;IF(MONTH(Sheet1!A256)&gt;=4,IF(MONTH(Sheet1!A256)&lt;=6,1,IF(MONTH(Sheet1!A256)&lt;=9,2,3)),4),"")</f>
        <v>Q3</v>
      </c>
      <c r="C256" s="39" t="str">
        <f>IFERROR(Sheet1!C256,0)</f>
        <v>S.A</v>
      </c>
      <c r="D256" s="39" t="str">
        <f>IFERROR(Sheet1!F256,0)</f>
        <v>Brazil</v>
      </c>
      <c r="E256" s="39" t="str">
        <f>IFERROR(Sheet1!E256,0)</f>
        <v>CPX DISTRIBUIDORA S/A-Navegantes</v>
      </c>
      <c r="F256" s="39" t="str">
        <f>IFERROR(IF(UPPER(TRIM(Sheet1!J256))="NH","Nhava Sheva",IF(UPPER(TRIM(Sheet1!J256))="ICD","ICD Dhannad",IF(UPPER(TRIM(Sheet1!J256))="TIHI","ICD Tihi",Sheet1!J256))),0)</f>
        <v>ICD Dhannad</v>
      </c>
      <c r="G256" s="39" t="str">
        <f>IFERROR(Sheet1!M256,0)</f>
        <v>Suape</v>
      </c>
      <c r="H256" s="39" t="str">
        <f>IFERROR(Sheet1!H256,0)</f>
        <v>Cargo Marketing</v>
      </c>
      <c r="I256" s="39" t="str">
        <f>IFERROR(Sheet1!G256,0)</f>
        <v>FOB</v>
      </c>
      <c r="J256" s="39" t="str">
        <f>IFERROR(Sheet1!K256,0)</f>
        <v>MSC</v>
      </c>
      <c r="K256" s="41">
        <f>IFERROR(Sheet1!A256,0)</f>
        <v>45959</v>
      </c>
      <c r="L256" s="41">
        <f>IFERROR(Sheet1!I256,0)</f>
        <v>45959</v>
      </c>
      <c r="M256" s="47" t="str">
        <f>IFERROR(Sheet1!P256,0)</f>
        <v>NA</v>
      </c>
      <c r="N256" s="42">
        <f>IFERROR(IF(ISNUMBER(Sheet1!N256),Sheet1!N256,0),0)</f>
        <v>0</v>
      </c>
      <c r="O256" s="42">
        <f>IFERROR(IF(TRIM(F256)="Nhava Sheva",SUMPRODUCT((UPPER(TRIM('Origin Costs'!$A$5:$A$44))=UPPER(TRIM(J256)))*'Origin Costs'!$C$5:$C$44),IF(TRIM(F256)="ICD Tihi",SUMPRODUCT((UPPER(TRIM('Origin Costs'!$A$49:$A$88))=UPPER(TRIM(J256)))*'Origin Costs'!$C$49:$C$88),IF(TRIM(F256)="ICD Dhannad",SUMPRODUCT((UPPER(TRIM('Origin Costs'!$A$93:$A$132))=UPPER(TRIM(J256)))*'Origin Costs'!$C$93:$C$132),0))),0)</f>
        <v>0</v>
      </c>
      <c r="P256" s="42">
        <f t="shared" si="3"/>
        <v>0</v>
      </c>
      <c r="Q256" s="13" t="str">
        <f>IF(OR(Dashboard!$C$4="All Customers",$E256=Dashboard!$C$4),IF($E256="","",$P256+ROW()/10000000),"")</f>
        <v/>
      </c>
    </row>
    <row r="257" spans="1:17" ht="14.25" customHeight="1" x14ac:dyDescent="0.3">
      <c r="A257" s="43" t="str">
        <f>IFERROR("FY"&amp;TEXT(MOD(IF(MONTH(Sheet1!A257)&gt;=4,YEAR(Sheet1!A257),YEAR(Sheet1!A257)-1),100),"00")&amp;"-"&amp;TEXT(MOD(IF(MONTH(Sheet1!A257)&gt;=4,YEAR(Sheet1!A257),YEAR(Sheet1!A257)-1)+1,100),"00"),"")</f>
        <v>FY25-26</v>
      </c>
      <c r="B257" s="44" t="str">
        <f>IFERROR("Q"&amp;IF(MONTH(Sheet1!A257)&gt;=4,IF(MONTH(Sheet1!A257)&lt;=6,1,IF(MONTH(Sheet1!A257)&lt;=9,2,3)),4),"")</f>
        <v>Q3</v>
      </c>
      <c r="C257" s="43" t="str">
        <f>IFERROR(Sheet1!C257,0)</f>
        <v>S.A</v>
      </c>
      <c r="D257" s="43" t="str">
        <f>IFERROR(Sheet1!F257,0)</f>
        <v>Columbia</v>
      </c>
      <c r="E257" s="43" t="str">
        <f>IFERROR(Sheet1!E257,0)</f>
        <v>REDLLANTAS S.A</v>
      </c>
      <c r="F257" s="43" t="str">
        <f>IFERROR(IF(UPPER(TRIM(Sheet1!J257))="NH","Nhava Sheva",IF(UPPER(TRIM(Sheet1!J257))="ICD","ICD Dhannad",IF(UPPER(TRIM(Sheet1!J257))="TIHI","ICD Tihi",Sheet1!J257))),0)</f>
        <v>Nhava Sheva</v>
      </c>
      <c r="G257" s="43" t="str">
        <f>IFERROR(Sheet1!M257,0)</f>
        <v>Buenaventura</v>
      </c>
      <c r="H257" s="43" t="str">
        <f>IFERROR(Sheet1!H257,0)</f>
        <v>Mentor Freight</v>
      </c>
      <c r="I257" s="43" t="str">
        <f>IFERROR(Sheet1!G257,0)</f>
        <v>FOB</v>
      </c>
      <c r="J257" s="43" t="str">
        <f>IFERROR(Sheet1!K257,0)</f>
        <v>MSC</v>
      </c>
      <c r="K257" s="45">
        <f>IFERROR(Sheet1!A257,0)</f>
        <v>45959</v>
      </c>
      <c r="L257" s="45">
        <f>IFERROR(Sheet1!I257,0)</f>
        <v>45957</v>
      </c>
      <c r="M257" s="47" t="str">
        <f>IFERROR(Sheet1!P257,0)</f>
        <v>NA</v>
      </c>
      <c r="N257" s="46">
        <f>IFERROR(IF(ISNUMBER(Sheet1!N257),Sheet1!N257,0),0)</f>
        <v>0</v>
      </c>
      <c r="O257" s="46">
        <f>IFERROR(IF(TRIM(F257)="Nhava Sheva",SUMPRODUCT((UPPER(TRIM('Origin Costs'!$A$5:$A$44))=UPPER(TRIM(J257)))*'Origin Costs'!$C$5:$C$44),IF(TRIM(F257)="ICD Tihi",SUMPRODUCT((UPPER(TRIM('Origin Costs'!$A$49:$A$88))=UPPER(TRIM(J257)))*'Origin Costs'!$C$49:$C$88),IF(TRIM(F257)="ICD Dhannad",SUMPRODUCT((UPPER(TRIM('Origin Costs'!$A$93:$A$132))=UPPER(TRIM(J257)))*'Origin Costs'!$C$93:$C$132),0))),0)</f>
        <v>1168.8222222222223</v>
      </c>
      <c r="P257" s="46">
        <f t="shared" si="3"/>
        <v>1168.8222222222223</v>
      </c>
      <c r="Q257" s="13" t="str">
        <f>IF(OR(Dashboard!$C$4="All Customers",$E257=Dashboard!$C$4),IF($E257="","",$P257+ROW()/10000000),"")</f>
        <v/>
      </c>
    </row>
    <row r="258" spans="1:17" ht="14.25" customHeight="1" x14ac:dyDescent="0.3">
      <c r="A258" s="39" t="str">
        <f>IFERROR("FY"&amp;TEXT(MOD(IF(MONTH(Sheet1!A258)&gt;=4,YEAR(Sheet1!A258),YEAR(Sheet1!A258)-1),100),"00")&amp;"-"&amp;TEXT(MOD(IF(MONTH(Sheet1!A258)&gt;=4,YEAR(Sheet1!A258),YEAR(Sheet1!A258)-1)+1,100),"00"),"")</f>
        <v>FY25-26</v>
      </c>
      <c r="B258" s="40" t="str">
        <f>IFERROR("Q"&amp;IF(MONTH(Sheet1!A258)&gt;=4,IF(MONTH(Sheet1!A258)&lt;=6,1,IF(MONTH(Sheet1!A258)&lt;=9,2,3)),4),"")</f>
        <v>Q3</v>
      </c>
      <c r="C258" s="39" t="str">
        <f>IFERROR(Sheet1!C258,0)</f>
        <v>Europe</v>
      </c>
      <c r="D258" s="39" t="str">
        <f>IFERROR(Sheet1!F258,0)</f>
        <v>Bulgaria</v>
      </c>
      <c r="E258" s="39" t="str">
        <f>IFERROR(Sheet1!E258,0)</f>
        <v>Transcar Vladi EOOD</v>
      </c>
      <c r="F258" s="39" t="str">
        <f>IFERROR(IF(UPPER(TRIM(Sheet1!J258))="NH","Nhava Sheva",IF(UPPER(TRIM(Sheet1!J258))="ICD","ICD Dhannad",IF(UPPER(TRIM(Sheet1!J258))="TIHI","ICD Tihi",Sheet1!J258))),0)</f>
        <v>Nhava Sheva</v>
      </c>
      <c r="G258" s="39" t="str">
        <f>IFERROR(Sheet1!M258,0)</f>
        <v>Thessaloniki</v>
      </c>
      <c r="H258" s="39" t="str">
        <f>IFERROR(Sheet1!H258,0)</f>
        <v>VS Trans Logitsik</v>
      </c>
      <c r="I258" s="39" t="str">
        <f>IFERROR(Sheet1!G258,0)</f>
        <v>FOB</v>
      </c>
      <c r="J258" s="39" t="str">
        <f>IFERROR(Sheet1!K258,0)</f>
        <v>Maersk</v>
      </c>
      <c r="K258" s="41">
        <f>IFERROR(Sheet1!A258,0)</f>
        <v>45969</v>
      </c>
      <c r="L258" s="41">
        <f>IFERROR(Sheet1!I258,0)</f>
        <v>45967</v>
      </c>
      <c r="M258" s="47" t="str">
        <f>IFERROR(Sheet1!P258,0)</f>
        <v>NA</v>
      </c>
      <c r="N258" s="42">
        <f>IFERROR(IF(ISNUMBER(Sheet1!N258),Sheet1!N258,0),0)</f>
        <v>0</v>
      </c>
      <c r="O258" s="42">
        <f>IFERROR(IF(TRIM(F258)="Nhava Sheva",SUMPRODUCT((UPPER(TRIM('Origin Costs'!$A$5:$A$44))=UPPER(TRIM(J258)))*'Origin Costs'!$C$5:$C$44),IF(TRIM(F258)="ICD Tihi",SUMPRODUCT((UPPER(TRIM('Origin Costs'!$A$49:$A$88))=UPPER(TRIM(J258)))*'Origin Costs'!$C$49:$C$88),IF(TRIM(F258)="ICD Dhannad",SUMPRODUCT((UPPER(TRIM('Origin Costs'!$A$93:$A$132))=UPPER(TRIM(J258)))*'Origin Costs'!$C$93:$C$132),0))),0)</f>
        <v>1148.588888888889</v>
      </c>
      <c r="P258" s="42">
        <f t="shared" ref="P258:P321" si="4">N258+O258</f>
        <v>1148.588888888889</v>
      </c>
      <c r="Q258" s="13" t="str">
        <f>IF(OR(Dashboard!$C$4="All Customers",$E258=Dashboard!$C$4),IF($E258="","",$P258+ROW()/10000000),"")</f>
        <v/>
      </c>
    </row>
    <row r="259" spans="1:17" ht="14.25" customHeight="1" x14ac:dyDescent="0.3">
      <c r="A259" s="43" t="str">
        <f>IFERROR("FY"&amp;TEXT(MOD(IF(MONTH(Sheet1!A259)&gt;=4,YEAR(Sheet1!A259),YEAR(Sheet1!A259)-1),100),"00")&amp;"-"&amp;TEXT(MOD(IF(MONTH(Sheet1!A259)&gt;=4,YEAR(Sheet1!A259),YEAR(Sheet1!A259)-1)+1,100),"00"),"")</f>
        <v>FY25-26</v>
      </c>
      <c r="B259" s="44" t="str">
        <f>IFERROR("Q"&amp;IF(MONTH(Sheet1!A259)&gt;=4,IF(MONTH(Sheet1!A259)&lt;=6,1,IF(MONTH(Sheet1!A259)&lt;=9,2,3)),4),"")</f>
        <v>Q3</v>
      </c>
      <c r="C259" s="43" t="str">
        <f>IFERROR(Sheet1!C259,0)</f>
        <v>Europe</v>
      </c>
      <c r="D259" s="43" t="str">
        <f>IFERROR(Sheet1!F259,0)</f>
        <v>Bulgaria</v>
      </c>
      <c r="E259" s="43" t="str">
        <f>IFERROR(Sheet1!E259,0)</f>
        <v>Transcar Vladi EOOD</v>
      </c>
      <c r="F259" s="43" t="str">
        <f>IFERROR(IF(UPPER(TRIM(Sheet1!J259))="NH","Nhava Sheva",IF(UPPER(TRIM(Sheet1!J259))="ICD","ICD Dhannad",IF(UPPER(TRIM(Sheet1!J259))="TIHI","ICD Tihi",Sheet1!J259))),0)</f>
        <v>Nhava Sheva</v>
      </c>
      <c r="G259" s="43" t="str">
        <f>IFERROR(Sheet1!M259,0)</f>
        <v>Thessaloniki</v>
      </c>
      <c r="H259" s="43" t="str">
        <f>IFERROR(Sheet1!H259,0)</f>
        <v>VS Trans Logitsik</v>
      </c>
      <c r="I259" s="43" t="str">
        <f>IFERROR(Sheet1!G259,0)</f>
        <v>FOB</v>
      </c>
      <c r="J259" s="43" t="str">
        <f>IFERROR(Sheet1!K259,0)</f>
        <v>Maersk</v>
      </c>
      <c r="K259" s="45">
        <f>IFERROR(Sheet1!A259,0)</f>
        <v>45969</v>
      </c>
      <c r="L259" s="45">
        <f>IFERROR(Sheet1!I259,0)</f>
        <v>45967</v>
      </c>
      <c r="M259" s="47" t="str">
        <f>IFERROR(Sheet1!P259,0)</f>
        <v>NA</v>
      </c>
      <c r="N259" s="46">
        <f>IFERROR(IF(ISNUMBER(Sheet1!N259),Sheet1!N259,0),0)</f>
        <v>0</v>
      </c>
      <c r="O259" s="46">
        <f>IFERROR(IF(TRIM(F259)="Nhava Sheva",SUMPRODUCT((UPPER(TRIM('Origin Costs'!$A$5:$A$44))=UPPER(TRIM(J259)))*'Origin Costs'!$C$5:$C$44),IF(TRIM(F259)="ICD Tihi",SUMPRODUCT((UPPER(TRIM('Origin Costs'!$A$49:$A$88))=UPPER(TRIM(J259)))*'Origin Costs'!$C$49:$C$88),IF(TRIM(F259)="ICD Dhannad",SUMPRODUCT((UPPER(TRIM('Origin Costs'!$A$93:$A$132))=UPPER(TRIM(J259)))*'Origin Costs'!$C$93:$C$132),0))),0)</f>
        <v>1148.588888888889</v>
      </c>
      <c r="P259" s="46">
        <f t="shared" si="4"/>
        <v>1148.588888888889</v>
      </c>
      <c r="Q259" s="13" t="str">
        <f>IF(OR(Dashboard!$C$4="All Customers",$E259=Dashboard!$C$4),IF($E259="","",$P259+ROW()/10000000),"")</f>
        <v/>
      </c>
    </row>
    <row r="260" spans="1:17" ht="14.25" customHeight="1" x14ac:dyDescent="0.3">
      <c r="A260" s="39" t="str">
        <f>IFERROR("FY"&amp;TEXT(MOD(IF(MONTH(Sheet1!A260)&gt;=4,YEAR(Sheet1!A260),YEAR(Sheet1!A260)-1),100),"00")&amp;"-"&amp;TEXT(MOD(IF(MONTH(Sheet1!A260)&gt;=4,YEAR(Sheet1!A260),YEAR(Sheet1!A260)-1)+1,100),"00"),"")</f>
        <v>FY25-26</v>
      </c>
      <c r="B260" s="40" t="str">
        <f>IFERROR("Q"&amp;IF(MONTH(Sheet1!A260)&gt;=4,IF(MONTH(Sheet1!A260)&lt;=6,1,IF(MONTH(Sheet1!A260)&lt;=9,2,3)),4),"")</f>
        <v>Q3</v>
      </c>
      <c r="C260" s="39" t="str">
        <f>IFERROR(Sheet1!C260,0)</f>
        <v>Europe</v>
      </c>
      <c r="D260" s="39" t="str">
        <f>IFERROR(Sheet1!F260,0)</f>
        <v>Bulgaria</v>
      </c>
      <c r="E260" s="39" t="str">
        <f>IFERROR(Sheet1!E260,0)</f>
        <v>Transcar Vladi EOOD</v>
      </c>
      <c r="F260" s="39" t="str">
        <f>IFERROR(IF(UPPER(TRIM(Sheet1!J260))="NH","Nhava Sheva",IF(UPPER(TRIM(Sheet1!J260))="ICD","ICD Dhannad",IF(UPPER(TRIM(Sheet1!J260))="TIHI","ICD Tihi",Sheet1!J260))),0)</f>
        <v>Nhava Sheva</v>
      </c>
      <c r="G260" s="39" t="str">
        <f>IFERROR(Sheet1!M260,0)</f>
        <v>Thessaloniki</v>
      </c>
      <c r="H260" s="39" t="str">
        <f>IFERROR(Sheet1!H260,0)</f>
        <v>VS Trans Logitsik</v>
      </c>
      <c r="I260" s="39" t="str">
        <f>IFERROR(Sheet1!G260,0)</f>
        <v>FOB</v>
      </c>
      <c r="J260" s="39" t="str">
        <f>IFERROR(Sheet1!K260,0)</f>
        <v>Maersk</v>
      </c>
      <c r="K260" s="41">
        <f>IFERROR(Sheet1!A260,0)</f>
        <v>45969</v>
      </c>
      <c r="L260" s="41">
        <f>IFERROR(Sheet1!I260,0)</f>
        <v>45967</v>
      </c>
      <c r="M260" s="47" t="str">
        <f>IFERROR(Sheet1!P260,0)</f>
        <v>NA</v>
      </c>
      <c r="N260" s="42">
        <f>IFERROR(IF(ISNUMBER(Sheet1!N260),Sheet1!N260,0),0)</f>
        <v>0</v>
      </c>
      <c r="O260" s="42">
        <f>IFERROR(IF(TRIM(F260)="Nhava Sheva",SUMPRODUCT((UPPER(TRIM('Origin Costs'!$A$5:$A$44))=UPPER(TRIM(J260)))*'Origin Costs'!$C$5:$C$44),IF(TRIM(F260)="ICD Tihi",SUMPRODUCT((UPPER(TRIM('Origin Costs'!$A$49:$A$88))=UPPER(TRIM(J260)))*'Origin Costs'!$C$49:$C$88),IF(TRIM(F260)="ICD Dhannad",SUMPRODUCT((UPPER(TRIM('Origin Costs'!$A$93:$A$132))=UPPER(TRIM(J260)))*'Origin Costs'!$C$93:$C$132),0))),0)</f>
        <v>1148.588888888889</v>
      </c>
      <c r="P260" s="42">
        <f t="shared" si="4"/>
        <v>1148.588888888889</v>
      </c>
      <c r="Q260" s="13" t="str">
        <f>IF(OR(Dashboard!$C$4="All Customers",$E260=Dashboard!$C$4),IF($E260="","",$P260+ROW()/10000000),"")</f>
        <v/>
      </c>
    </row>
    <row r="261" spans="1:17" ht="14.25" customHeight="1" x14ac:dyDescent="0.3">
      <c r="A261" s="43" t="str">
        <f>IFERROR("FY"&amp;TEXT(MOD(IF(MONTH(Sheet1!A261)&gt;=4,YEAR(Sheet1!A261),YEAR(Sheet1!A261)-1),100),"00")&amp;"-"&amp;TEXT(MOD(IF(MONTH(Sheet1!A261)&gt;=4,YEAR(Sheet1!A261),YEAR(Sheet1!A261)-1)+1,100),"00"),"")</f>
        <v>FY25-26</v>
      </c>
      <c r="B261" s="44" t="str">
        <f>IFERROR("Q"&amp;IF(MONTH(Sheet1!A261)&gt;=4,IF(MONTH(Sheet1!A261)&lt;=6,1,IF(MONTH(Sheet1!A261)&lt;=9,2,3)),4),"")</f>
        <v>Q3</v>
      </c>
      <c r="C261" s="43" t="str">
        <f>IFERROR(Sheet1!C261,0)</f>
        <v>Europe</v>
      </c>
      <c r="D261" s="43" t="str">
        <f>IFERROR(Sheet1!F261,0)</f>
        <v>Italy</v>
      </c>
      <c r="E261" s="43" t="str">
        <f>IFERROR(Sheet1!E261,0)</f>
        <v>Gastaldi Gomme SNC di Gastaldi</v>
      </c>
      <c r="F261" s="43" t="str">
        <f>IFERROR(IF(UPPER(TRIM(Sheet1!J261))="NH","Nhava Sheva",IF(UPPER(TRIM(Sheet1!J261))="ICD","ICD Dhannad",IF(UPPER(TRIM(Sheet1!J261))="TIHI","ICD Tihi",Sheet1!J261))),0)</f>
        <v>Nhava Sheva</v>
      </c>
      <c r="G261" s="43" t="str">
        <f>IFERROR(Sheet1!M261,0)</f>
        <v>La Spezia</v>
      </c>
      <c r="H261" s="43" t="str">
        <f>IFERROR(Sheet1!H261,0)</f>
        <v>Rhenus A&amp;O</v>
      </c>
      <c r="I261" s="43" t="str">
        <f>IFERROR(Sheet1!G261,0)</f>
        <v>FOB</v>
      </c>
      <c r="J261" s="43" t="str">
        <f>IFERROR(Sheet1!K261,0)</f>
        <v>ONE</v>
      </c>
      <c r="K261" s="45">
        <f>IFERROR(Sheet1!A261,0)</f>
        <v>45973</v>
      </c>
      <c r="L261" s="45">
        <f>IFERROR(Sheet1!I261,0)</f>
        <v>45970</v>
      </c>
      <c r="M261" s="47" t="str">
        <f>IFERROR(Sheet1!P261,0)</f>
        <v>NA</v>
      </c>
      <c r="N261" s="46">
        <f>IFERROR(IF(ISNUMBER(Sheet1!N261),Sheet1!N261,0),0)</f>
        <v>0</v>
      </c>
      <c r="O261" s="46">
        <f>IFERROR(IF(TRIM(F261)="Nhava Sheva",SUMPRODUCT((UPPER(TRIM('Origin Costs'!$A$5:$A$44))=UPPER(TRIM(J261)))*'Origin Costs'!$C$5:$C$44),IF(TRIM(F261)="ICD Tihi",SUMPRODUCT((UPPER(TRIM('Origin Costs'!$A$49:$A$88))=UPPER(TRIM(J261)))*'Origin Costs'!$C$49:$C$88),IF(TRIM(F261)="ICD Dhannad",SUMPRODUCT((UPPER(TRIM('Origin Costs'!$A$93:$A$132))=UPPER(TRIM(J261)))*'Origin Costs'!$C$93:$C$132),0))),0)</f>
        <v>1146.5555555555557</v>
      </c>
      <c r="P261" s="46">
        <f t="shared" si="4"/>
        <v>1146.5555555555557</v>
      </c>
      <c r="Q261" s="13" t="str">
        <f>IF(OR(Dashboard!$C$4="All Customers",$E261=Dashboard!$C$4),IF($E261="","",$P261+ROW()/10000000),"")</f>
        <v/>
      </c>
    </row>
    <row r="262" spans="1:17" ht="14.25" customHeight="1" x14ac:dyDescent="0.3">
      <c r="A262" s="39" t="str">
        <f>IFERROR("FY"&amp;TEXT(MOD(IF(MONTH(Sheet1!A262)&gt;=4,YEAR(Sheet1!A262),YEAR(Sheet1!A262)-1),100),"00")&amp;"-"&amp;TEXT(MOD(IF(MONTH(Sheet1!A262)&gt;=4,YEAR(Sheet1!A262),YEAR(Sheet1!A262)-1)+1,100),"00"),"")</f>
        <v>FY25-26</v>
      </c>
      <c r="B262" s="40" t="str">
        <f>IFERROR("Q"&amp;IF(MONTH(Sheet1!A262)&gt;=4,IF(MONTH(Sheet1!A262)&lt;=6,1,IF(MONTH(Sheet1!A262)&lt;=9,2,3)),4),"")</f>
        <v>Q3</v>
      </c>
      <c r="C262" s="39" t="str">
        <f>IFERROR(Sheet1!C262,0)</f>
        <v>S.A</v>
      </c>
      <c r="D262" s="39" t="str">
        <f>IFERROR(Sheet1!F262,0)</f>
        <v>Columbia</v>
      </c>
      <c r="E262" s="39" t="str">
        <f>IFERROR(Sheet1!E262,0)</f>
        <v>LLANTAS NARINO SAS, Columbia</v>
      </c>
      <c r="F262" s="39" t="str">
        <f>IFERROR(IF(UPPER(TRIM(Sheet1!J262))="NH","Nhava Sheva",IF(UPPER(TRIM(Sheet1!J262))="ICD","ICD Dhannad",IF(UPPER(TRIM(Sheet1!J262))="TIHI","ICD Tihi",Sheet1!J262))),0)</f>
        <v>Nhava Sheva</v>
      </c>
      <c r="G262" s="39" t="str">
        <f>IFERROR(Sheet1!M262,0)</f>
        <v>Buenaventura</v>
      </c>
      <c r="H262" s="39" t="str">
        <f>IFERROR(Sheet1!H262,0)</f>
        <v>Hind Freight</v>
      </c>
      <c r="I262" s="39" t="str">
        <f>IFERROR(Sheet1!G262,0)</f>
        <v>FOB</v>
      </c>
      <c r="J262" s="39" t="str">
        <f>IFERROR(Sheet1!K262,0)</f>
        <v>Evergreen</v>
      </c>
      <c r="K262" s="41">
        <f>IFERROR(Sheet1!A262,0)</f>
        <v>45975</v>
      </c>
      <c r="L262" s="41">
        <f>IFERROR(Sheet1!I262,0)</f>
        <v>45973</v>
      </c>
      <c r="M262" s="47" t="str">
        <f>IFERROR(Sheet1!P262,0)</f>
        <v>NA</v>
      </c>
      <c r="N262" s="42">
        <f>IFERROR(IF(ISNUMBER(Sheet1!N262),Sheet1!N262,0),0)</f>
        <v>0</v>
      </c>
      <c r="O262" s="42">
        <f>IFERROR(IF(TRIM(F262)="Nhava Sheva",SUMPRODUCT((UPPER(TRIM('Origin Costs'!$A$5:$A$44))=UPPER(TRIM(J262)))*'Origin Costs'!$C$5:$C$44),IF(TRIM(F262)="ICD Tihi",SUMPRODUCT((UPPER(TRIM('Origin Costs'!$A$49:$A$88))=UPPER(TRIM(J262)))*'Origin Costs'!$C$49:$C$88),IF(TRIM(F262)="ICD Dhannad",SUMPRODUCT((UPPER(TRIM('Origin Costs'!$A$93:$A$132))=UPPER(TRIM(J262)))*'Origin Costs'!$C$93:$C$132),0))),0)</f>
        <v>0</v>
      </c>
      <c r="P262" s="42">
        <f t="shared" si="4"/>
        <v>0</v>
      </c>
      <c r="Q262" s="13" t="str">
        <f>IF(OR(Dashboard!$C$4="All Customers",$E262=Dashboard!$C$4),IF($E262="","",$P262+ROW()/10000000),"")</f>
        <v/>
      </c>
    </row>
    <row r="263" spans="1:17" ht="14.25" customHeight="1" x14ac:dyDescent="0.3">
      <c r="A263" s="43" t="str">
        <f>IFERROR("FY"&amp;TEXT(MOD(IF(MONTH(Sheet1!A263)&gt;=4,YEAR(Sheet1!A263),YEAR(Sheet1!A263)-1),100),"00")&amp;"-"&amp;TEXT(MOD(IF(MONTH(Sheet1!A263)&gt;=4,YEAR(Sheet1!A263),YEAR(Sheet1!A263)-1)+1,100),"00"),"")</f>
        <v>FY25-26</v>
      </c>
      <c r="B263" s="44" t="str">
        <f>IFERROR("Q"&amp;IF(MONTH(Sheet1!A263)&gt;=4,IF(MONTH(Sheet1!A263)&lt;=6,1,IF(MONTH(Sheet1!A263)&lt;=9,2,3)),4),"")</f>
        <v>Q3</v>
      </c>
      <c r="C263" s="43" t="str">
        <f>IFERROR(Sheet1!C263,0)</f>
        <v>S.A</v>
      </c>
      <c r="D263" s="43" t="str">
        <f>IFERROR(Sheet1!F263,0)</f>
        <v>Columbia</v>
      </c>
      <c r="E263" s="43" t="str">
        <f>IFERROR(Sheet1!E263,0)</f>
        <v>LLANTAS NARINO SAS, Columbia</v>
      </c>
      <c r="F263" s="43" t="str">
        <f>IFERROR(IF(UPPER(TRIM(Sheet1!J263))="NH","Nhava Sheva",IF(UPPER(TRIM(Sheet1!J263))="ICD","ICD Dhannad",IF(UPPER(TRIM(Sheet1!J263))="TIHI","ICD Tihi",Sheet1!J263))),0)</f>
        <v>Nhava Sheva</v>
      </c>
      <c r="G263" s="43" t="str">
        <f>IFERROR(Sheet1!M263,0)</f>
        <v>Buenaventura</v>
      </c>
      <c r="H263" s="43" t="str">
        <f>IFERROR(Sheet1!H263,0)</f>
        <v>Hind Freight</v>
      </c>
      <c r="I263" s="43" t="str">
        <f>IFERROR(Sheet1!G263,0)</f>
        <v>FOB</v>
      </c>
      <c r="J263" s="43" t="str">
        <f>IFERROR(Sheet1!K263,0)</f>
        <v>Evergreen</v>
      </c>
      <c r="K263" s="45">
        <f>IFERROR(Sheet1!A263,0)</f>
        <v>45975</v>
      </c>
      <c r="L263" s="45">
        <f>IFERROR(Sheet1!I263,0)</f>
        <v>45973</v>
      </c>
      <c r="M263" s="47" t="str">
        <f>IFERROR(Sheet1!P263,0)</f>
        <v>NA</v>
      </c>
      <c r="N263" s="46">
        <f>IFERROR(IF(ISNUMBER(Sheet1!N263),Sheet1!N263,0),0)</f>
        <v>0</v>
      </c>
      <c r="O263" s="46">
        <f>IFERROR(IF(TRIM(F263)="Nhava Sheva",SUMPRODUCT((UPPER(TRIM('Origin Costs'!$A$5:$A$44))=UPPER(TRIM(J263)))*'Origin Costs'!$C$5:$C$44),IF(TRIM(F263)="ICD Tihi",SUMPRODUCT((UPPER(TRIM('Origin Costs'!$A$49:$A$88))=UPPER(TRIM(J263)))*'Origin Costs'!$C$49:$C$88),IF(TRIM(F263)="ICD Dhannad",SUMPRODUCT((UPPER(TRIM('Origin Costs'!$A$93:$A$132))=UPPER(TRIM(J263)))*'Origin Costs'!$C$93:$C$132),0))),0)</f>
        <v>0</v>
      </c>
      <c r="P263" s="46">
        <f t="shared" si="4"/>
        <v>0</v>
      </c>
      <c r="Q263" s="13" t="str">
        <f>IF(OR(Dashboard!$C$4="All Customers",$E263=Dashboard!$C$4),IF($E263="","",$P263+ROW()/10000000),"")</f>
        <v/>
      </c>
    </row>
    <row r="264" spans="1:17" ht="14.25" customHeight="1" x14ac:dyDescent="0.3">
      <c r="A264" s="39" t="str">
        <f>IFERROR("FY"&amp;TEXT(MOD(IF(MONTH(Sheet1!A264)&gt;=4,YEAR(Sheet1!A264),YEAR(Sheet1!A264)-1),100),"00")&amp;"-"&amp;TEXT(MOD(IF(MONTH(Sheet1!A264)&gt;=4,YEAR(Sheet1!A264),YEAR(Sheet1!A264)-1)+1,100),"00"),"")</f>
        <v>FY25-26</v>
      </c>
      <c r="B264" s="40" t="str">
        <f>IFERROR("Q"&amp;IF(MONTH(Sheet1!A264)&gt;=4,IF(MONTH(Sheet1!A264)&lt;=6,1,IF(MONTH(Sheet1!A264)&lt;=9,2,3)),4),"")</f>
        <v>Q3</v>
      </c>
      <c r="C264" s="39" t="str">
        <f>IFERROR(Sheet1!C264,0)</f>
        <v>S.A</v>
      </c>
      <c r="D264" s="39" t="str">
        <f>IFERROR(Sheet1!F264,0)</f>
        <v>Columbia</v>
      </c>
      <c r="E264" s="39" t="str">
        <f>IFERROR(Sheet1!E264,0)</f>
        <v>REDLLANTAS S.A</v>
      </c>
      <c r="F264" s="39" t="str">
        <f>IFERROR(IF(UPPER(TRIM(Sheet1!J264))="NH","Nhava Sheva",IF(UPPER(TRIM(Sheet1!J264))="ICD","ICD Dhannad",IF(UPPER(TRIM(Sheet1!J264))="TIHI","ICD Tihi",Sheet1!J264))),0)</f>
        <v>Nhava Sheva</v>
      </c>
      <c r="G264" s="39" t="str">
        <f>IFERROR(Sheet1!M264,0)</f>
        <v>Buenaventura</v>
      </c>
      <c r="H264" s="39" t="str">
        <f>IFERROR(Sheet1!H264,0)</f>
        <v>Mentor Freight</v>
      </c>
      <c r="I264" s="39" t="str">
        <f>IFERROR(Sheet1!G264,0)</f>
        <v>FOB</v>
      </c>
      <c r="J264" s="39" t="str">
        <f>IFERROR(Sheet1!K264,0)</f>
        <v>MSC</v>
      </c>
      <c r="K264" s="41">
        <f>IFERROR(Sheet1!A264,0)</f>
        <v>45979</v>
      </c>
      <c r="L264" s="41">
        <f>IFERROR(Sheet1!I264,0)</f>
        <v>45977</v>
      </c>
      <c r="M264" s="47" t="str">
        <f>IFERROR(Sheet1!P264,0)</f>
        <v>NA</v>
      </c>
      <c r="N264" s="42">
        <f>IFERROR(IF(ISNUMBER(Sheet1!N264),Sheet1!N264,0),0)</f>
        <v>0</v>
      </c>
      <c r="O264" s="42">
        <f>IFERROR(IF(TRIM(F264)="Nhava Sheva",SUMPRODUCT((UPPER(TRIM('Origin Costs'!$A$5:$A$44))=UPPER(TRIM(J264)))*'Origin Costs'!$C$5:$C$44),IF(TRIM(F264)="ICD Tihi",SUMPRODUCT((UPPER(TRIM('Origin Costs'!$A$49:$A$88))=UPPER(TRIM(J264)))*'Origin Costs'!$C$49:$C$88),IF(TRIM(F264)="ICD Dhannad",SUMPRODUCT((UPPER(TRIM('Origin Costs'!$A$93:$A$132))=UPPER(TRIM(J264)))*'Origin Costs'!$C$93:$C$132),0))),0)</f>
        <v>1168.8222222222223</v>
      </c>
      <c r="P264" s="42">
        <f t="shared" si="4"/>
        <v>1168.8222222222223</v>
      </c>
      <c r="Q264" s="13" t="str">
        <f>IF(OR(Dashboard!$C$4="All Customers",$E264=Dashboard!$C$4),IF($E264="","",$P264+ROW()/10000000),"")</f>
        <v/>
      </c>
    </row>
    <row r="265" spans="1:17" ht="14.25" customHeight="1" x14ac:dyDescent="0.3">
      <c r="A265" s="43" t="str">
        <f>IFERROR("FY"&amp;TEXT(MOD(IF(MONTH(Sheet1!A265)&gt;=4,YEAR(Sheet1!A265),YEAR(Sheet1!A265)-1),100),"00")&amp;"-"&amp;TEXT(MOD(IF(MONTH(Sheet1!A265)&gt;=4,YEAR(Sheet1!A265),YEAR(Sheet1!A265)-1)+1,100),"00"),"")</f>
        <v>FY25-26</v>
      </c>
      <c r="B265" s="44" t="str">
        <f>IFERROR("Q"&amp;IF(MONTH(Sheet1!A265)&gt;=4,IF(MONTH(Sheet1!A265)&lt;=6,1,IF(MONTH(Sheet1!A265)&lt;=9,2,3)),4),"")</f>
        <v>Q3</v>
      </c>
      <c r="C265" s="43" t="str">
        <f>IFERROR(Sheet1!C265,0)</f>
        <v>S.A</v>
      </c>
      <c r="D265" s="43" t="str">
        <f>IFERROR(Sheet1!F265,0)</f>
        <v>Columbia</v>
      </c>
      <c r="E265" s="43" t="str">
        <f>IFERROR(Sheet1!E265,0)</f>
        <v>Acostallantas S.A, Colombia</v>
      </c>
      <c r="F265" s="43" t="str">
        <f>IFERROR(IF(UPPER(TRIM(Sheet1!J265))="NH","Nhava Sheva",IF(UPPER(TRIM(Sheet1!J265))="ICD","ICD Dhannad",IF(UPPER(TRIM(Sheet1!J265))="TIHI","ICD Tihi",Sheet1!J265))),0)</f>
        <v>Nhava Sheva</v>
      </c>
      <c r="G265" s="43" t="str">
        <f>IFERROR(Sheet1!M265,0)</f>
        <v>Buenaventura</v>
      </c>
      <c r="H265" s="43" t="str">
        <f>IFERROR(Sheet1!H265,0)</f>
        <v>Sanjay Forwarder</v>
      </c>
      <c r="I265" s="43" t="str">
        <f>IFERROR(Sheet1!G265,0)</f>
        <v>CIF</v>
      </c>
      <c r="J265" s="43" t="str">
        <f>IFERROR(Sheet1!K265,0)</f>
        <v>Maersk</v>
      </c>
      <c r="K265" s="45">
        <f>IFERROR(Sheet1!A265,0)</f>
        <v>45983</v>
      </c>
      <c r="L265" s="45">
        <f>IFERROR(Sheet1!I265,0)</f>
        <v>45981</v>
      </c>
      <c r="M265" s="47" t="str">
        <f>IFERROR(Sheet1!P265,0)</f>
        <v>NA</v>
      </c>
      <c r="N265" s="46">
        <f>IFERROR(IF(ISNUMBER(Sheet1!N265),Sheet1!N265,0),0)</f>
        <v>1935</v>
      </c>
      <c r="O265" s="46">
        <f>IFERROR(IF(TRIM(F265)="Nhava Sheva",SUMPRODUCT((UPPER(TRIM('Origin Costs'!$A$5:$A$44))=UPPER(TRIM(J265)))*'Origin Costs'!$C$5:$C$44),IF(TRIM(F265)="ICD Tihi",SUMPRODUCT((UPPER(TRIM('Origin Costs'!$A$49:$A$88))=UPPER(TRIM(J265)))*'Origin Costs'!$C$49:$C$88),IF(TRIM(F265)="ICD Dhannad",SUMPRODUCT((UPPER(TRIM('Origin Costs'!$A$93:$A$132))=UPPER(TRIM(J265)))*'Origin Costs'!$C$93:$C$132),0))),0)</f>
        <v>1148.588888888889</v>
      </c>
      <c r="P265" s="46">
        <f t="shared" si="4"/>
        <v>3083.588888888889</v>
      </c>
      <c r="Q265" s="13">
        <f>IF(OR(Dashboard!$C$4="All Customers",$E265=Dashboard!$C$4),IF($E265="","",$P265+ROW()/10000000),"")</f>
        <v>3083.5889153888888</v>
      </c>
    </row>
    <row r="266" spans="1:17" ht="14.25" customHeight="1" x14ac:dyDescent="0.3">
      <c r="A266" s="39" t="str">
        <f>IFERROR("FY"&amp;TEXT(MOD(IF(MONTH(Sheet1!A266)&gt;=4,YEAR(Sheet1!A266),YEAR(Sheet1!A266)-1),100),"00")&amp;"-"&amp;TEXT(MOD(IF(MONTH(Sheet1!A266)&gt;=4,YEAR(Sheet1!A266),YEAR(Sheet1!A266)-1)+1,100),"00"),"")</f>
        <v>FY25-26</v>
      </c>
      <c r="B266" s="40" t="str">
        <f>IFERROR("Q"&amp;IF(MONTH(Sheet1!A266)&gt;=4,IF(MONTH(Sheet1!A266)&lt;=6,1,IF(MONTH(Sheet1!A266)&lt;=9,2,3)),4),"")</f>
        <v>Q3</v>
      </c>
      <c r="C266" s="39" t="str">
        <f>IFERROR(Sheet1!C266,0)</f>
        <v>S.A</v>
      </c>
      <c r="D266" s="39" t="str">
        <f>IFERROR(Sheet1!F266,0)</f>
        <v>Columbia</v>
      </c>
      <c r="E266" s="39" t="str">
        <f>IFERROR(Sheet1!E266,0)</f>
        <v>Acostallantas S.A, Colombia</v>
      </c>
      <c r="F266" s="39" t="str">
        <f>IFERROR(IF(UPPER(TRIM(Sheet1!J266))="NH","Nhava Sheva",IF(UPPER(TRIM(Sheet1!J266))="ICD","ICD Dhannad",IF(UPPER(TRIM(Sheet1!J266))="TIHI","ICD Tihi",Sheet1!J266))),0)</f>
        <v>Nhava Sheva</v>
      </c>
      <c r="G266" s="39" t="str">
        <f>IFERROR(Sheet1!M266,0)</f>
        <v>Buenaventura</v>
      </c>
      <c r="H266" s="39" t="str">
        <f>IFERROR(Sheet1!H266,0)</f>
        <v>Sanjay Forwarder</v>
      </c>
      <c r="I266" s="39" t="str">
        <f>IFERROR(Sheet1!G266,0)</f>
        <v>CIF</v>
      </c>
      <c r="J266" s="39" t="str">
        <f>IFERROR(Sheet1!K266,0)</f>
        <v>Maersk</v>
      </c>
      <c r="K266" s="41">
        <f>IFERROR(Sheet1!A266,0)</f>
        <v>45983</v>
      </c>
      <c r="L266" s="41">
        <f>IFERROR(Sheet1!I266,0)</f>
        <v>45981</v>
      </c>
      <c r="M266" s="47" t="str">
        <f>IFERROR(Sheet1!P266,0)</f>
        <v>NA</v>
      </c>
      <c r="N266" s="42">
        <f>IFERROR(IF(ISNUMBER(Sheet1!N266),Sheet1!N266,0),0)</f>
        <v>1935</v>
      </c>
      <c r="O266" s="42">
        <f>IFERROR(IF(TRIM(F266)="Nhava Sheva",SUMPRODUCT((UPPER(TRIM('Origin Costs'!$A$5:$A$44))=UPPER(TRIM(J266)))*'Origin Costs'!$C$5:$C$44),IF(TRIM(F266)="ICD Tihi",SUMPRODUCT((UPPER(TRIM('Origin Costs'!$A$49:$A$88))=UPPER(TRIM(J266)))*'Origin Costs'!$C$49:$C$88),IF(TRIM(F266)="ICD Dhannad",SUMPRODUCT((UPPER(TRIM('Origin Costs'!$A$93:$A$132))=UPPER(TRIM(J266)))*'Origin Costs'!$C$93:$C$132),0))),0)</f>
        <v>1148.588888888889</v>
      </c>
      <c r="P266" s="42">
        <f t="shared" si="4"/>
        <v>3083.588888888889</v>
      </c>
      <c r="Q266" s="13">
        <f>IF(OR(Dashboard!$C$4="All Customers",$E266=Dashboard!$C$4),IF($E266="","",$P266+ROW()/10000000),"")</f>
        <v>3083.5889154888891</v>
      </c>
    </row>
    <row r="267" spans="1:17" ht="14.25" customHeight="1" x14ac:dyDescent="0.3">
      <c r="A267" s="43" t="str">
        <f>IFERROR("FY"&amp;TEXT(MOD(IF(MONTH(Sheet1!A267)&gt;=4,YEAR(Sheet1!A267),YEAR(Sheet1!A267)-1),100),"00")&amp;"-"&amp;TEXT(MOD(IF(MONTH(Sheet1!A267)&gt;=4,YEAR(Sheet1!A267),YEAR(Sheet1!A267)-1)+1,100),"00"),"")</f>
        <v>FY25-26</v>
      </c>
      <c r="B267" s="44" t="str">
        <f>IFERROR("Q"&amp;IF(MONTH(Sheet1!A267)&gt;=4,IF(MONTH(Sheet1!A267)&lt;=6,1,IF(MONTH(Sheet1!A267)&lt;=9,2,3)),4),"")</f>
        <v>Q3</v>
      </c>
      <c r="C267" s="43" t="str">
        <f>IFERROR(Sheet1!C267,0)</f>
        <v>ISC</v>
      </c>
      <c r="D267" s="43" t="str">
        <f>IFERROR(Sheet1!F267,0)</f>
        <v>Sri Lanka</v>
      </c>
      <c r="E267" s="43" t="str">
        <f>IFERROR(Sheet1!E267,0)</f>
        <v>Supergrip International (Pvt) Ltd</v>
      </c>
      <c r="F267" s="43" t="str">
        <f>IFERROR(IF(UPPER(TRIM(Sheet1!J267))="NH","Nhava Sheva",IF(UPPER(TRIM(Sheet1!J267))="ICD","ICD Dhannad",IF(UPPER(TRIM(Sheet1!J267))="TIHI","ICD Tihi",Sheet1!J267))),0)</f>
        <v>Nhava Sheva</v>
      </c>
      <c r="G267" s="43" t="str">
        <f>IFERROR(Sheet1!M267,0)</f>
        <v>Colombo</v>
      </c>
      <c r="H267" s="43" t="str">
        <f>IFERROR(Sheet1!H267,0)</f>
        <v>UP4 International</v>
      </c>
      <c r="I267" s="43" t="str">
        <f>IFERROR(Sheet1!G267,0)</f>
        <v>FOB</v>
      </c>
      <c r="J267" s="43" t="str">
        <f>IFERROR(Sheet1!K267,0)</f>
        <v>OOCL</v>
      </c>
      <c r="K267" s="45">
        <f>IFERROR(Sheet1!A267,0)</f>
        <v>45985</v>
      </c>
      <c r="L267" s="45">
        <f>IFERROR(Sheet1!I267,0)</f>
        <v>45984</v>
      </c>
      <c r="M267" s="47" t="str">
        <f>IFERROR(Sheet1!P267,0)</f>
        <v>NA</v>
      </c>
      <c r="N267" s="46">
        <f>IFERROR(IF(ISNUMBER(Sheet1!N267),Sheet1!N267,0),0)</f>
        <v>0</v>
      </c>
      <c r="O267" s="46">
        <f>IFERROR(IF(TRIM(F267)="Nhava Sheva",SUMPRODUCT((UPPER(TRIM('Origin Costs'!$A$5:$A$44))=UPPER(TRIM(J267)))*'Origin Costs'!$C$5:$C$44),IF(TRIM(F267)="ICD Tihi",SUMPRODUCT((UPPER(TRIM('Origin Costs'!$A$49:$A$88))=UPPER(TRIM(J267)))*'Origin Costs'!$C$49:$C$88),IF(TRIM(F267)="ICD Dhannad",SUMPRODUCT((UPPER(TRIM('Origin Costs'!$A$93:$A$132))=UPPER(TRIM(J267)))*'Origin Costs'!$C$93:$C$132),0))),0)</f>
        <v>0</v>
      </c>
      <c r="P267" s="46">
        <f t="shared" si="4"/>
        <v>0</v>
      </c>
      <c r="Q267" s="13" t="str">
        <f>IF(OR(Dashboard!$C$4="All Customers",$E267=Dashboard!$C$4),IF($E267="","",$P267+ROW()/10000000),"")</f>
        <v/>
      </c>
    </row>
    <row r="268" spans="1:17" ht="14.25" customHeight="1" x14ac:dyDescent="0.3">
      <c r="A268" s="39" t="str">
        <f>IFERROR("FY"&amp;TEXT(MOD(IF(MONTH(Sheet1!A268)&gt;=4,YEAR(Sheet1!A268),YEAR(Sheet1!A268)-1),100),"00")&amp;"-"&amp;TEXT(MOD(IF(MONTH(Sheet1!A268)&gt;=4,YEAR(Sheet1!A268),YEAR(Sheet1!A268)-1)+1,100),"00"),"")</f>
        <v>FY25-26</v>
      </c>
      <c r="B268" s="40" t="str">
        <f>IFERROR("Q"&amp;IF(MONTH(Sheet1!A268)&gt;=4,IF(MONTH(Sheet1!A268)&lt;=6,1,IF(MONTH(Sheet1!A268)&lt;=9,2,3)),4),"")</f>
        <v>Q3</v>
      </c>
      <c r="C268" s="39" t="str">
        <f>IFERROR(Sheet1!C268,0)</f>
        <v>MEA</v>
      </c>
      <c r="D268" s="39" t="str">
        <f>IFERROR(Sheet1!F268,0)</f>
        <v>Afghanistan</v>
      </c>
      <c r="E268" s="39" t="str">
        <f>IFERROR(Sheet1!E268,0)</f>
        <v>SHOAIB FAISAL QALANDARI LTD</v>
      </c>
      <c r="F268" s="39" t="str">
        <f>IFERROR(IF(UPPER(TRIM(Sheet1!J268))="NH","Nhava Sheva",IF(UPPER(TRIM(Sheet1!J268))="ICD","ICD Dhannad",IF(UPPER(TRIM(Sheet1!J268))="TIHI","ICD Tihi",Sheet1!J268))),0)</f>
        <v>Nhava Sheva</v>
      </c>
      <c r="G268" s="39" t="str">
        <f>IFERROR(Sheet1!M268,0)</f>
        <v>Jebel Ali</v>
      </c>
      <c r="H268" s="39" t="str">
        <f>IFERROR(Sheet1!H268,0)</f>
        <v>Inter Globe Marine</v>
      </c>
      <c r="I268" s="39" t="str">
        <f>IFERROR(Sheet1!G268,0)</f>
        <v>FOB</v>
      </c>
      <c r="J268" s="39" t="str">
        <f>IFERROR(Sheet1!K268,0)</f>
        <v>IGM</v>
      </c>
      <c r="K268" s="41">
        <f>IFERROR(Sheet1!A268,0)</f>
        <v>45986</v>
      </c>
      <c r="L268" s="41">
        <f>IFERROR(Sheet1!I268,0)</f>
        <v>45984</v>
      </c>
      <c r="M268" s="47" t="str">
        <f>IFERROR(Sheet1!P268,0)</f>
        <v>NA</v>
      </c>
      <c r="N268" s="42">
        <f>IFERROR(IF(ISNUMBER(Sheet1!N268),Sheet1!N268,0),0)</f>
        <v>0</v>
      </c>
      <c r="O268" s="42">
        <f>IFERROR(IF(TRIM(F268)="Nhava Sheva",SUMPRODUCT((UPPER(TRIM('Origin Costs'!$A$5:$A$44))=UPPER(TRIM(J268)))*'Origin Costs'!$C$5:$C$44),IF(TRIM(F268)="ICD Tihi",SUMPRODUCT((UPPER(TRIM('Origin Costs'!$A$49:$A$88))=UPPER(TRIM(J268)))*'Origin Costs'!$C$49:$C$88),IF(TRIM(F268)="ICD Dhannad",SUMPRODUCT((UPPER(TRIM('Origin Costs'!$A$93:$A$132))=UPPER(TRIM(J268)))*'Origin Costs'!$C$93:$C$132),0))),0)</f>
        <v>0</v>
      </c>
      <c r="P268" s="42">
        <f t="shared" si="4"/>
        <v>0</v>
      </c>
      <c r="Q268" s="13" t="str">
        <f>IF(OR(Dashboard!$C$4="All Customers",$E268=Dashboard!$C$4),IF($E268="","",$P268+ROW()/10000000),"")</f>
        <v/>
      </c>
    </row>
    <row r="269" spans="1:17" ht="14.25" customHeight="1" x14ac:dyDescent="0.3">
      <c r="A269" s="43" t="str">
        <f>IFERROR("FY"&amp;TEXT(MOD(IF(MONTH(Sheet1!A269)&gt;=4,YEAR(Sheet1!A269),YEAR(Sheet1!A269)-1),100),"00")&amp;"-"&amp;TEXT(MOD(IF(MONTH(Sheet1!A269)&gt;=4,YEAR(Sheet1!A269),YEAR(Sheet1!A269)-1)+1,100),"00"),"")</f>
        <v>FY25-26</v>
      </c>
      <c r="B269" s="44" t="str">
        <f>IFERROR("Q"&amp;IF(MONTH(Sheet1!A269)&gt;=4,IF(MONTH(Sheet1!A269)&lt;=6,1,IF(MONTH(Sheet1!A269)&lt;=9,2,3)),4),"")</f>
        <v>Q3</v>
      </c>
      <c r="C269" s="43" t="str">
        <f>IFERROR(Sheet1!C269,0)</f>
        <v>Europe</v>
      </c>
      <c r="D269" s="43" t="str">
        <f>IFERROR(Sheet1!F269,0)</f>
        <v>Poland</v>
      </c>
      <c r="E269" s="43" t="str">
        <f>IFERROR(Sheet1!E269,0)</f>
        <v>Inter Cars S.A., Poland</v>
      </c>
      <c r="F269" s="43" t="str">
        <f>IFERROR(IF(UPPER(TRIM(Sheet1!J269))="NH","Nhava Sheva",IF(UPPER(TRIM(Sheet1!J269))="ICD","ICD Dhannad",IF(UPPER(TRIM(Sheet1!J269))="TIHI","ICD Tihi",Sheet1!J269))),0)</f>
        <v>Nhava Sheva</v>
      </c>
      <c r="G269" s="43" t="str">
        <f>IFERROR(Sheet1!M269,0)</f>
        <v>Gdnask</v>
      </c>
      <c r="H269" s="43" t="str">
        <f>IFERROR(Sheet1!H269,0)</f>
        <v>FEI Cargo</v>
      </c>
      <c r="I269" s="43" t="str">
        <f>IFERROR(Sheet1!G269,0)</f>
        <v>FOB</v>
      </c>
      <c r="J269" s="43" t="str">
        <f>IFERROR(Sheet1!K269,0)</f>
        <v>Maersk</v>
      </c>
      <c r="K269" s="45">
        <f>IFERROR(Sheet1!A269,0)</f>
        <v>45987</v>
      </c>
      <c r="L269" s="45">
        <f>IFERROR(Sheet1!I269,0)</f>
        <v>45985</v>
      </c>
      <c r="M269" s="47" t="str">
        <f>IFERROR(Sheet1!P269,0)</f>
        <v>NA</v>
      </c>
      <c r="N269" s="46">
        <f>IFERROR(IF(ISNUMBER(Sheet1!N269),Sheet1!N269,0),0)</f>
        <v>0</v>
      </c>
      <c r="O269" s="46">
        <f>IFERROR(IF(TRIM(F269)="Nhava Sheva",SUMPRODUCT((UPPER(TRIM('Origin Costs'!$A$5:$A$44))=UPPER(TRIM(J269)))*'Origin Costs'!$C$5:$C$44),IF(TRIM(F269)="ICD Tihi",SUMPRODUCT((UPPER(TRIM('Origin Costs'!$A$49:$A$88))=UPPER(TRIM(J269)))*'Origin Costs'!$C$49:$C$88),IF(TRIM(F269)="ICD Dhannad",SUMPRODUCT((UPPER(TRIM('Origin Costs'!$A$93:$A$132))=UPPER(TRIM(J269)))*'Origin Costs'!$C$93:$C$132),0))),0)</f>
        <v>1148.588888888889</v>
      </c>
      <c r="P269" s="46">
        <f t="shared" si="4"/>
        <v>1148.588888888889</v>
      </c>
      <c r="Q269" s="13" t="str">
        <f>IF(OR(Dashboard!$C$4="All Customers",$E269=Dashboard!$C$4),IF($E269="","",$P269+ROW()/10000000),"")</f>
        <v/>
      </c>
    </row>
    <row r="270" spans="1:17" ht="14.25" customHeight="1" x14ac:dyDescent="0.3">
      <c r="A270" s="39" t="str">
        <f>IFERROR("FY"&amp;TEXT(MOD(IF(MONTH(Sheet1!A270)&gt;=4,YEAR(Sheet1!A270),YEAR(Sheet1!A270)-1),100),"00")&amp;"-"&amp;TEXT(MOD(IF(MONTH(Sheet1!A270)&gt;=4,YEAR(Sheet1!A270),YEAR(Sheet1!A270)-1)+1,100),"00"),"")</f>
        <v>FY25-26</v>
      </c>
      <c r="B270" s="40" t="str">
        <f>IFERROR("Q"&amp;IF(MONTH(Sheet1!A270)&gt;=4,IF(MONTH(Sheet1!A270)&lt;=6,1,IF(MONTH(Sheet1!A270)&lt;=9,2,3)),4),"")</f>
        <v>Q3</v>
      </c>
      <c r="C270" s="39" t="str">
        <f>IFERROR(Sheet1!C270,0)</f>
        <v>Europe</v>
      </c>
      <c r="D270" s="39" t="str">
        <f>IFERROR(Sheet1!F270,0)</f>
        <v>Poland</v>
      </c>
      <c r="E270" s="39" t="str">
        <f>IFERROR(Sheet1!E270,0)</f>
        <v>Inter Cars S.A., Poland</v>
      </c>
      <c r="F270" s="39" t="str">
        <f>IFERROR(IF(UPPER(TRIM(Sheet1!J270))="NH","Nhava Sheva",IF(UPPER(TRIM(Sheet1!J270))="ICD","ICD Dhannad",IF(UPPER(TRIM(Sheet1!J270))="TIHI","ICD Tihi",Sheet1!J270))),0)</f>
        <v>Nhava Sheva</v>
      </c>
      <c r="G270" s="39" t="str">
        <f>IFERROR(Sheet1!M270,0)</f>
        <v>Gdnask</v>
      </c>
      <c r="H270" s="39" t="str">
        <f>IFERROR(Sheet1!H270,0)</f>
        <v>FEI Cargo</v>
      </c>
      <c r="I270" s="39" t="str">
        <f>IFERROR(Sheet1!G270,0)</f>
        <v>FOB</v>
      </c>
      <c r="J270" s="39" t="str">
        <f>IFERROR(Sheet1!K270,0)</f>
        <v>Maersk</v>
      </c>
      <c r="K270" s="41">
        <f>IFERROR(Sheet1!A270,0)</f>
        <v>45987</v>
      </c>
      <c r="L270" s="41">
        <f>IFERROR(Sheet1!I270,0)</f>
        <v>45985</v>
      </c>
      <c r="M270" s="47" t="str">
        <f>IFERROR(Sheet1!P270,0)</f>
        <v>NA</v>
      </c>
      <c r="N270" s="42">
        <f>IFERROR(IF(ISNUMBER(Sheet1!N270),Sheet1!N270,0),0)</f>
        <v>0</v>
      </c>
      <c r="O270" s="42">
        <f>IFERROR(IF(TRIM(F270)="Nhava Sheva",SUMPRODUCT((UPPER(TRIM('Origin Costs'!$A$5:$A$44))=UPPER(TRIM(J270)))*'Origin Costs'!$C$5:$C$44),IF(TRIM(F270)="ICD Tihi",SUMPRODUCT((UPPER(TRIM('Origin Costs'!$A$49:$A$88))=UPPER(TRIM(J270)))*'Origin Costs'!$C$49:$C$88),IF(TRIM(F270)="ICD Dhannad",SUMPRODUCT((UPPER(TRIM('Origin Costs'!$A$93:$A$132))=UPPER(TRIM(J270)))*'Origin Costs'!$C$93:$C$132),0))),0)</f>
        <v>1148.588888888889</v>
      </c>
      <c r="P270" s="42">
        <f t="shared" si="4"/>
        <v>1148.588888888889</v>
      </c>
      <c r="Q270" s="13" t="str">
        <f>IF(OR(Dashboard!$C$4="All Customers",$E270=Dashboard!$C$4),IF($E270="","",$P270+ROW()/10000000),"")</f>
        <v/>
      </c>
    </row>
    <row r="271" spans="1:17" ht="14.25" customHeight="1" x14ac:dyDescent="0.3">
      <c r="A271" s="43" t="str">
        <f>IFERROR("FY"&amp;TEXT(MOD(IF(MONTH(Sheet1!A271)&gt;=4,YEAR(Sheet1!A271),YEAR(Sheet1!A271)-1),100),"00")&amp;"-"&amp;TEXT(MOD(IF(MONTH(Sheet1!A271)&gt;=4,YEAR(Sheet1!A271),YEAR(Sheet1!A271)-1)+1,100),"00"),"")</f>
        <v>FY25-26</v>
      </c>
      <c r="B271" s="44" t="str">
        <f>IFERROR("Q"&amp;IF(MONTH(Sheet1!A271)&gt;=4,IF(MONTH(Sheet1!A271)&lt;=6,1,IF(MONTH(Sheet1!A271)&lt;=9,2,3)),4),"")</f>
        <v>Q3</v>
      </c>
      <c r="C271" s="43" t="str">
        <f>IFERROR(Sheet1!C271,0)</f>
        <v>Europe</v>
      </c>
      <c r="D271" s="43" t="str">
        <f>IFERROR(Sheet1!F271,0)</f>
        <v>Poland</v>
      </c>
      <c r="E271" s="43" t="str">
        <f>IFERROR(Sheet1!E271,0)</f>
        <v>Inter Cars S.A., Poland</v>
      </c>
      <c r="F271" s="43" t="str">
        <f>IFERROR(IF(UPPER(TRIM(Sheet1!J271))="NH","Nhava Sheva",IF(UPPER(TRIM(Sheet1!J271))="ICD","ICD Dhannad",IF(UPPER(TRIM(Sheet1!J271))="TIHI","ICD Tihi",Sheet1!J271))),0)</f>
        <v>Nhava Sheva</v>
      </c>
      <c r="G271" s="43" t="str">
        <f>IFERROR(Sheet1!M271,0)</f>
        <v>Gdnask</v>
      </c>
      <c r="H271" s="43" t="str">
        <f>IFERROR(Sheet1!H271,0)</f>
        <v>FEI Cargo</v>
      </c>
      <c r="I271" s="43" t="str">
        <f>IFERROR(Sheet1!G271,0)</f>
        <v>FOB</v>
      </c>
      <c r="J271" s="43" t="str">
        <f>IFERROR(Sheet1!K271,0)</f>
        <v>Maersk</v>
      </c>
      <c r="K271" s="45">
        <f>IFERROR(Sheet1!A271,0)</f>
        <v>45987</v>
      </c>
      <c r="L271" s="45">
        <f>IFERROR(Sheet1!I271,0)</f>
        <v>45985</v>
      </c>
      <c r="M271" s="47" t="str">
        <f>IFERROR(Sheet1!P271,0)</f>
        <v>NA</v>
      </c>
      <c r="N271" s="46">
        <f>IFERROR(IF(ISNUMBER(Sheet1!N271),Sheet1!N271,0),0)</f>
        <v>0</v>
      </c>
      <c r="O271" s="46">
        <f>IFERROR(IF(TRIM(F271)="Nhava Sheva",SUMPRODUCT((UPPER(TRIM('Origin Costs'!$A$5:$A$44))=UPPER(TRIM(J271)))*'Origin Costs'!$C$5:$C$44),IF(TRIM(F271)="ICD Tihi",SUMPRODUCT((UPPER(TRIM('Origin Costs'!$A$49:$A$88))=UPPER(TRIM(J271)))*'Origin Costs'!$C$49:$C$88),IF(TRIM(F271)="ICD Dhannad",SUMPRODUCT((UPPER(TRIM('Origin Costs'!$A$93:$A$132))=UPPER(TRIM(J271)))*'Origin Costs'!$C$93:$C$132),0))),0)</f>
        <v>1148.588888888889</v>
      </c>
      <c r="P271" s="46">
        <f t="shared" si="4"/>
        <v>1148.588888888889</v>
      </c>
      <c r="Q271" s="13" t="str">
        <f>IF(OR(Dashboard!$C$4="All Customers",$E271=Dashboard!$C$4),IF($E271="","",$P271+ROW()/10000000),"")</f>
        <v/>
      </c>
    </row>
    <row r="272" spans="1:17" ht="14.25" customHeight="1" x14ac:dyDescent="0.3">
      <c r="A272" s="39" t="str">
        <f>IFERROR("FY"&amp;TEXT(MOD(IF(MONTH(Sheet1!A272)&gt;=4,YEAR(Sheet1!A272),YEAR(Sheet1!A272)-1),100),"00")&amp;"-"&amp;TEXT(MOD(IF(MONTH(Sheet1!A272)&gt;=4,YEAR(Sheet1!A272),YEAR(Sheet1!A272)-1)+1,100),"00"),"")</f>
        <v>FY25-26</v>
      </c>
      <c r="B272" s="40" t="str">
        <f>IFERROR("Q"&amp;IF(MONTH(Sheet1!A272)&gt;=4,IF(MONTH(Sheet1!A272)&lt;=6,1,IF(MONTH(Sheet1!A272)&lt;=9,2,3)),4),"")</f>
        <v>Q3</v>
      </c>
      <c r="C272" s="39" t="str">
        <f>IFERROR(Sheet1!C272,0)</f>
        <v>Europe</v>
      </c>
      <c r="D272" s="39" t="str">
        <f>IFERROR(Sheet1!F272,0)</f>
        <v>Poland</v>
      </c>
      <c r="E272" s="39" t="str">
        <f>IFERROR(Sheet1!E272,0)</f>
        <v>Inter Cars S.A., Poland</v>
      </c>
      <c r="F272" s="39" t="str">
        <f>IFERROR(IF(UPPER(TRIM(Sheet1!J272))="NH","Nhava Sheva",IF(UPPER(TRIM(Sheet1!J272))="ICD","ICD Dhannad",IF(UPPER(TRIM(Sheet1!J272))="TIHI","ICD Tihi",Sheet1!J272))),0)</f>
        <v>Nhava Sheva</v>
      </c>
      <c r="G272" s="39" t="str">
        <f>IFERROR(Sheet1!M272,0)</f>
        <v>Gdnask</v>
      </c>
      <c r="H272" s="39" t="str">
        <f>IFERROR(Sheet1!H272,0)</f>
        <v>FEI Cargo</v>
      </c>
      <c r="I272" s="39" t="str">
        <f>IFERROR(Sheet1!G272,0)</f>
        <v>FOB</v>
      </c>
      <c r="J272" s="39" t="str">
        <f>IFERROR(Sheet1!K272,0)</f>
        <v>Maersk</v>
      </c>
      <c r="K272" s="41">
        <f>IFERROR(Sheet1!A272,0)</f>
        <v>45987</v>
      </c>
      <c r="L272" s="41">
        <f>IFERROR(Sheet1!I272,0)</f>
        <v>45985</v>
      </c>
      <c r="M272" s="47" t="str">
        <f>IFERROR(Sheet1!P272,0)</f>
        <v>NA</v>
      </c>
      <c r="N272" s="42">
        <f>IFERROR(IF(ISNUMBER(Sheet1!N272),Sheet1!N272,0),0)</f>
        <v>0</v>
      </c>
      <c r="O272" s="42">
        <f>IFERROR(IF(TRIM(F272)="Nhava Sheva",SUMPRODUCT((UPPER(TRIM('Origin Costs'!$A$5:$A$44))=UPPER(TRIM(J272)))*'Origin Costs'!$C$5:$C$44),IF(TRIM(F272)="ICD Tihi",SUMPRODUCT((UPPER(TRIM('Origin Costs'!$A$49:$A$88))=UPPER(TRIM(J272)))*'Origin Costs'!$C$49:$C$88),IF(TRIM(F272)="ICD Dhannad",SUMPRODUCT((UPPER(TRIM('Origin Costs'!$A$93:$A$132))=UPPER(TRIM(J272)))*'Origin Costs'!$C$93:$C$132),0))),0)</f>
        <v>1148.588888888889</v>
      </c>
      <c r="P272" s="42">
        <f t="shared" si="4"/>
        <v>1148.588888888889</v>
      </c>
      <c r="Q272" s="13" t="str">
        <f>IF(OR(Dashboard!$C$4="All Customers",$E272=Dashboard!$C$4),IF($E272="","",$P272+ROW()/10000000),"")</f>
        <v/>
      </c>
    </row>
    <row r="273" spans="1:17" ht="14.25" customHeight="1" x14ac:dyDescent="0.3">
      <c r="A273" s="43" t="str">
        <f>IFERROR("FY"&amp;TEXT(MOD(IF(MONTH(Sheet1!A273)&gt;=4,YEAR(Sheet1!A273),YEAR(Sheet1!A273)-1),100),"00")&amp;"-"&amp;TEXT(MOD(IF(MONTH(Sheet1!A273)&gt;=4,YEAR(Sheet1!A273),YEAR(Sheet1!A273)-1)+1,100),"00"),"")</f>
        <v>FY25-26</v>
      </c>
      <c r="B273" s="44" t="str">
        <f>IFERROR("Q"&amp;IF(MONTH(Sheet1!A273)&gt;=4,IF(MONTH(Sheet1!A273)&lt;=6,1,IF(MONTH(Sheet1!A273)&lt;=9,2,3)),4),"")</f>
        <v>Q3</v>
      </c>
      <c r="C273" s="43" t="str">
        <f>IFERROR(Sheet1!C273,0)</f>
        <v>Europe</v>
      </c>
      <c r="D273" s="43" t="str">
        <f>IFERROR(Sheet1!F273,0)</f>
        <v>Poland</v>
      </c>
      <c r="E273" s="43" t="str">
        <f>IFERROR(Sheet1!E273,0)</f>
        <v>Inter Cars S.A., Poland</v>
      </c>
      <c r="F273" s="43" t="str">
        <f>IFERROR(IF(UPPER(TRIM(Sheet1!J273))="NH","Nhava Sheva",IF(UPPER(TRIM(Sheet1!J273))="ICD","ICD Dhannad",IF(UPPER(TRIM(Sheet1!J273))="TIHI","ICD Tihi",Sheet1!J273))),0)</f>
        <v>Nhava Sheva</v>
      </c>
      <c r="G273" s="43" t="str">
        <f>IFERROR(Sheet1!M273,0)</f>
        <v>Gdnask</v>
      </c>
      <c r="H273" s="43" t="str">
        <f>IFERROR(Sheet1!H273,0)</f>
        <v>FEI Cargo</v>
      </c>
      <c r="I273" s="43" t="str">
        <f>IFERROR(Sheet1!G273,0)</f>
        <v>FOB</v>
      </c>
      <c r="J273" s="43" t="str">
        <f>IFERROR(Sheet1!K273,0)</f>
        <v>Maersk</v>
      </c>
      <c r="K273" s="45">
        <f>IFERROR(Sheet1!A273,0)</f>
        <v>45987</v>
      </c>
      <c r="L273" s="45">
        <f>IFERROR(Sheet1!I273,0)</f>
        <v>45985</v>
      </c>
      <c r="M273" s="47" t="str">
        <f>IFERROR(Sheet1!P273,0)</f>
        <v>NA</v>
      </c>
      <c r="N273" s="46">
        <f>IFERROR(IF(ISNUMBER(Sheet1!N273),Sheet1!N273,0),0)</f>
        <v>0</v>
      </c>
      <c r="O273" s="46">
        <f>IFERROR(IF(TRIM(F273)="Nhava Sheva",SUMPRODUCT((UPPER(TRIM('Origin Costs'!$A$5:$A$44))=UPPER(TRIM(J273)))*'Origin Costs'!$C$5:$C$44),IF(TRIM(F273)="ICD Tihi",SUMPRODUCT((UPPER(TRIM('Origin Costs'!$A$49:$A$88))=UPPER(TRIM(J273)))*'Origin Costs'!$C$49:$C$88),IF(TRIM(F273)="ICD Dhannad",SUMPRODUCT((UPPER(TRIM('Origin Costs'!$A$93:$A$132))=UPPER(TRIM(J273)))*'Origin Costs'!$C$93:$C$132),0))),0)</f>
        <v>1148.588888888889</v>
      </c>
      <c r="P273" s="46">
        <f t="shared" si="4"/>
        <v>1148.588888888889</v>
      </c>
      <c r="Q273" s="13" t="str">
        <f>IF(OR(Dashboard!$C$4="All Customers",$E273=Dashboard!$C$4),IF($E273="","",$P273+ROW()/10000000),"")</f>
        <v/>
      </c>
    </row>
    <row r="274" spans="1:17" ht="14.25" customHeight="1" x14ac:dyDescent="0.3">
      <c r="A274" s="39" t="str">
        <f>IFERROR("FY"&amp;TEXT(MOD(IF(MONTH(Sheet1!A274)&gt;=4,YEAR(Sheet1!A274),YEAR(Sheet1!A274)-1),100),"00")&amp;"-"&amp;TEXT(MOD(IF(MONTH(Sheet1!A274)&gt;=4,YEAR(Sheet1!A274),YEAR(Sheet1!A274)-1)+1,100),"00"),"")</f>
        <v>FY25-26</v>
      </c>
      <c r="B274" s="40" t="str">
        <f>IFERROR("Q"&amp;IF(MONTH(Sheet1!A274)&gt;=4,IF(MONTH(Sheet1!A274)&lt;=6,1,IF(MONTH(Sheet1!A274)&lt;=9,2,3)),4),"")</f>
        <v>Q3</v>
      </c>
      <c r="C274" s="39" t="str">
        <f>IFERROR(Sheet1!C274,0)</f>
        <v>Europe</v>
      </c>
      <c r="D274" s="39" t="str">
        <f>IFERROR(Sheet1!F274,0)</f>
        <v>Poland</v>
      </c>
      <c r="E274" s="39" t="str">
        <f>IFERROR(Sheet1!E274,0)</f>
        <v>Inter Cars S.A., Poland</v>
      </c>
      <c r="F274" s="39" t="str">
        <f>IFERROR(IF(UPPER(TRIM(Sheet1!J274))="NH","Nhava Sheva",IF(UPPER(TRIM(Sheet1!J274))="ICD","ICD Dhannad",IF(UPPER(TRIM(Sheet1!J274))="TIHI","ICD Tihi",Sheet1!J274))),0)</f>
        <v>Nhava Sheva</v>
      </c>
      <c r="G274" s="39" t="str">
        <f>IFERROR(Sheet1!M274,0)</f>
        <v>Gdnask</v>
      </c>
      <c r="H274" s="39" t="str">
        <f>IFERROR(Sheet1!H274,0)</f>
        <v>FEI Cargo</v>
      </c>
      <c r="I274" s="39" t="str">
        <f>IFERROR(Sheet1!G274,0)</f>
        <v>FOB</v>
      </c>
      <c r="J274" s="39" t="str">
        <f>IFERROR(Sheet1!K274,0)</f>
        <v>Maersk</v>
      </c>
      <c r="K274" s="41">
        <f>IFERROR(Sheet1!A274,0)</f>
        <v>45987</v>
      </c>
      <c r="L274" s="41">
        <f>IFERROR(Sheet1!I274,0)</f>
        <v>45985</v>
      </c>
      <c r="M274" s="47" t="str">
        <f>IFERROR(Sheet1!P274,0)</f>
        <v>NA</v>
      </c>
      <c r="N274" s="42">
        <f>IFERROR(IF(ISNUMBER(Sheet1!N274),Sheet1!N274,0),0)</f>
        <v>0</v>
      </c>
      <c r="O274" s="42">
        <f>IFERROR(IF(TRIM(F274)="Nhava Sheva",SUMPRODUCT((UPPER(TRIM('Origin Costs'!$A$5:$A$44))=UPPER(TRIM(J274)))*'Origin Costs'!$C$5:$C$44),IF(TRIM(F274)="ICD Tihi",SUMPRODUCT((UPPER(TRIM('Origin Costs'!$A$49:$A$88))=UPPER(TRIM(J274)))*'Origin Costs'!$C$49:$C$88),IF(TRIM(F274)="ICD Dhannad",SUMPRODUCT((UPPER(TRIM('Origin Costs'!$A$93:$A$132))=UPPER(TRIM(J274)))*'Origin Costs'!$C$93:$C$132),0))),0)</f>
        <v>1148.588888888889</v>
      </c>
      <c r="P274" s="42">
        <f t="shared" si="4"/>
        <v>1148.588888888889</v>
      </c>
      <c r="Q274" s="13" t="str">
        <f>IF(OR(Dashboard!$C$4="All Customers",$E274=Dashboard!$C$4),IF($E274="","",$P274+ROW()/10000000),"")</f>
        <v/>
      </c>
    </row>
    <row r="275" spans="1:17" ht="14.25" customHeight="1" x14ac:dyDescent="0.3">
      <c r="A275" s="43" t="str">
        <f>IFERROR("FY"&amp;TEXT(MOD(IF(MONTH(Sheet1!A275)&gt;=4,YEAR(Sheet1!A275),YEAR(Sheet1!A275)-1),100),"00")&amp;"-"&amp;TEXT(MOD(IF(MONTH(Sheet1!A275)&gt;=4,YEAR(Sheet1!A275),YEAR(Sheet1!A275)-1)+1,100),"00"),"")</f>
        <v>FY25-26</v>
      </c>
      <c r="B275" s="44" t="str">
        <f>IFERROR("Q"&amp;IF(MONTH(Sheet1!A275)&gt;=4,IF(MONTH(Sheet1!A275)&lt;=6,1,IF(MONTH(Sheet1!A275)&lt;=9,2,3)),4),"")</f>
        <v>Q3</v>
      </c>
      <c r="C275" s="43" t="str">
        <f>IFERROR(Sheet1!C275,0)</f>
        <v>Europe</v>
      </c>
      <c r="D275" s="43" t="str">
        <f>IFERROR(Sheet1!F275,0)</f>
        <v>Poland</v>
      </c>
      <c r="E275" s="43" t="str">
        <f>IFERROR(Sheet1!E275,0)</f>
        <v>Inter Cars S.A., Poland</v>
      </c>
      <c r="F275" s="43" t="str">
        <f>IFERROR(IF(UPPER(TRIM(Sheet1!J275))="NH","Nhava Sheva",IF(UPPER(TRIM(Sheet1!J275))="ICD","ICD Dhannad",IF(UPPER(TRIM(Sheet1!J275))="TIHI","ICD Tihi",Sheet1!J275))),0)</f>
        <v>Nhava Sheva</v>
      </c>
      <c r="G275" s="43" t="str">
        <f>IFERROR(Sheet1!M275,0)</f>
        <v>Gdnask</v>
      </c>
      <c r="H275" s="43" t="str">
        <f>IFERROR(Sheet1!H275,0)</f>
        <v>FEI Cargo</v>
      </c>
      <c r="I275" s="43" t="str">
        <f>IFERROR(Sheet1!G275,0)</f>
        <v>FOB</v>
      </c>
      <c r="J275" s="43" t="str">
        <f>IFERROR(Sheet1!K275,0)</f>
        <v>Maersk</v>
      </c>
      <c r="K275" s="45">
        <f>IFERROR(Sheet1!A275,0)</f>
        <v>45987</v>
      </c>
      <c r="L275" s="45">
        <f>IFERROR(Sheet1!I275,0)</f>
        <v>45985</v>
      </c>
      <c r="M275" s="47" t="str">
        <f>IFERROR(Sheet1!P275,0)</f>
        <v>NA</v>
      </c>
      <c r="N275" s="46">
        <f>IFERROR(IF(ISNUMBER(Sheet1!N275),Sheet1!N275,0),0)</f>
        <v>0</v>
      </c>
      <c r="O275" s="46">
        <f>IFERROR(IF(TRIM(F275)="Nhava Sheva",SUMPRODUCT((UPPER(TRIM('Origin Costs'!$A$5:$A$44))=UPPER(TRIM(J275)))*'Origin Costs'!$C$5:$C$44),IF(TRIM(F275)="ICD Tihi",SUMPRODUCT((UPPER(TRIM('Origin Costs'!$A$49:$A$88))=UPPER(TRIM(J275)))*'Origin Costs'!$C$49:$C$88),IF(TRIM(F275)="ICD Dhannad",SUMPRODUCT((UPPER(TRIM('Origin Costs'!$A$93:$A$132))=UPPER(TRIM(J275)))*'Origin Costs'!$C$93:$C$132),0))),0)</f>
        <v>1148.588888888889</v>
      </c>
      <c r="P275" s="46">
        <f t="shared" si="4"/>
        <v>1148.588888888889</v>
      </c>
      <c r="Q275" s="13" t="str">
        <f>IF(OR(Dashboard!$C$4="All Customers",$E275=Dashboard!$C$4),IF($E275="","",$P275+ROW()/10000000),"")</f>
        <v/>
      </c>
    </row>
    <row r="276" spans="1:17" ht="14.25" customHeight="1" x14ac:dyDescent="0.3">
      <c r="A276" s="39" t="str">
        <f>IFERROR("FY"&amp;TEXT(MOD(IF(MONTH(Sheet1!A276)&gt;=4,YEAR(Sheet1!A276),YEAR(Sheet1!A276)-1),100),"00")&amp;"-"&amp;TEXT(MOD(IF(MONTH(Sheet1!A276)&gt;=4,YEAR(Sheet1!A276),YEAR(Sheet1!A276)-1)+1,100),"00"),"")</f>
        <v>FY25-26</v>
      </c>
      <c r="B276" s="40" t="str">
        <f>IFERROR("Q"&amp;IF(MONTH(Sheet1!A276)&gt;=4,IF(MONTH(Sheet1!A276)&lt;=6,1,IF(MONTH(Sheet1!A276)&lt;=9,2,3)),4),"")</f>
        <v>Q3</v>
      </c>
      <c r="C276" s="39" t="str">
        <f>IFERROR(Sheet1!C276,0)</f>
        <v>Europe</v>
      </c>
      <c r="D276" s="39" t="str">
        <f>IFERROR(Sheet1!F276,0)</f>
        <v>Slovenia</v>
      </c>
      <c r="E276" s="39" t="str">
        <f>IFERROR(Sheet1!E276,0)</f>
        <v>Inter Cars INT d.o.o. Slovenia</v>
      </c>
      <c r="F276" s="39" t="str">
        <f>IFERROR(IF(UPPER(TRIM(Sheet1!J276))="NH","Nhava Sheva",IF(UPPER(TRIM(Sheet1!J276))="ICD","ICD Dhannad",IF(UPPER(TRIM(Sheet1!J276))="TIHI","ICD Tihi",Sheet1!J276))),0)</f>
        <v>Nhava Sheva</v>
      </c>
      <c r="G276" s="39" t="str">
        <f>IFERROR(Sheet1!M276,0)</f>
        <v>Koper</v>
      </c>
      <c r="H276" s="39" t="str">
        <f>IFERROR(Sheet1!H276,0)</f>
        <v>Vrrddhi Freight</v>
      </c>
      <c r="I276" s="39" t="str">
        <f>IFERROR(Sheet1!G276,0)</f>
        <v>FOB</v>
      </c>
      <c r="J276" s="39" t="str">
        <f>IFERROR(Sheet1!K276,0)</f>
        <v>ONE</v>
      </c>
      <c r="K276" s="41">
        <f>IFERROR(Sheet1!A276,0)</f>
        <v>45987</v>
      </c>
      <c r="L276" s="41">
        <f>IFERROR(Sheet1!I276,0)</f>
        <v>45985</v>
      </c>
      <c r="M276" s="47" t="str">
        <f>IFERROR(Sheet1!P276,0)</f>
        <v>NA</v>
      </c>
      <c r="N276" s="42">
        <f>IFERROR(IF(ISNUMBER(Sheet1!N276),Sheet1!N276,0),0)</f>
        <v>0</v>
      </c>
      <c r="O276" s="42">
        <f>IFERROR(IF(TRIM(F276)="Nhava Sheva",SUMPRODUCT((UPPER(TRIM('Origin Costs'!$A$5:$A$44))=UPPER(TRIM(J276)))*'Origin Costs'!$C$5:$C$44),IF(TRIM(F276)="ICD Tihi",SUMPRODUCT((UPPER(TRIM('Origin Costs'!$A$49:$A$88))=UPPER(TRIM(J276)))*'Origin Costs'!$C$49:$C$88),IF(TRIM(F276)="ICD Dhannad",SUMPRODUCT((UPPER(TRIM('Origin Costs'!$A$93:$A$132))=UPPER(TRIM(J276)))*'Origin Costs'!$C$93:$C$132),0))),0)</f>
        <v>1146.5555555555557</v>
      </c>
      <c r="P276" s="42">
        <f t="shared" si="4"/>
        <v>1146.5555555555557</v>
      </c>
      <c r="Q276" s="13" t="str">
        <f>IF(OR(Dashboard!$C$4="All Customers",$E276=Dashboard!$C$4),IF($E276="","",$P276+ROW()/10000000),"")</f>
        <v/>
      </c>
    </row>
    <row r="277" spans="1:17" ht="14.25" customHeight="1" x14ac:dyDescent="0.3">
      <c r="A277" s="43" t="str">
        <f>IFERROR("FY"&amp;TEXT(MOD(IF(MONTH(Sheet1!A277)&gt;=4,YEAR(Sheet1!A277),YEAR(Sheet1!A277)-1),100),"00")&amp;"-"&amp;TEXT(MOD(IF(MONTH(Sheet1!A277)&gt;=4,YEAR(Sheet1!A277),YEAR(Sheet1!A277)-1)+1,100),"00"),"")</f>
        <v>FY25-26</v>
      </c>
      <c r="B277" s="44" t="str">
        <f>IFERROR("Q"&amp;IF(MONTH(Sheet1!A277)&gt;=4,IF(MONTH(Sheet1!A277)&lt;=6,1,IF(MONTH(Sheet1!A277)&lt;=9,2,3)),4),"")</f>
        <v>Q3</v>
      </c>
      <c r="C277" s="43" t="str">
        <f>IFERROR(Sheet1!C277,0)</f>
        <v>Europe</v>
      </c>
      <c r="D277" s="43" t="str">
        <f>IFERROR(Sheet1!F277,0)</f>
        <v>Slovenia</v>
      </c>
      <c r="E277" s="43" t="str">
        <f>IFERROR(Sheet1!E277,0)</f>
        <v>Inter Cars INT d.o.o. Slovenia</v>
      </c>
      <c r="F277" s="43" t="str">
        <f>IFERROR(IF(UPPER(TRIM(Sheet1!J277))="NH","Nhava Sheva",IF(UPPER(TRIM(Sheet1!J277))="ICD","ICD Dhannad",IF(UPPER(TRIM(Sheet1!J277))="TIHI","ICD Tihi",Sheet1!J277))),0)</f>
        <v>Nhava Sheva</v>
      </c>
      <c r="G277" s="43" t="str">
        <f>IFERROR(Sheet1!M277,0)</f>
        <v>Koper</v>
      </c>
      <c r="H277" s="43" t="str">
        <f>IFERROR(Sheet1!H277,0)</f>
        <v>Vrrddhi Freight</v>
      </c>
      <c r="I277" s="43" t="str">
        <f>IFERROR(Sheet1!G277,0)</f>
        <v>FOB</v>
      </c>
      <c r="J277" s="43" t="str">
        <f>IFERROR(Sheet1!K277,0)</f>
        <v>ONE</v>
      </c>
      <c r="K277" s="45">
        <f>IFERROR(Sheet1!A277,0)</f>
        <v>45987</v>
      </c>
      <c r="L277" s="45">
        <f>IFERROR(Sheet1!I277,0)</f>
        <v>45985</v>
      </c>
      <c r="M277" s="47" t="str">
        <f>IFERROR(Sheet1!P277,0)</f>
        <v>NA</v>
      </c>
      <c r="N277" s="46">
        <f>IFERROR(IF(ISNUMBER(Sheet1!N277),Sheet1!N277,0),0)</f>
        <v>0</v>
      </c>
      <c r="O277" s="46">
        <f>IFERROR(IF(TRIM(F277)="Nhava Sheva",SUMPRODUCT((UPPER(TRIM('Origin Costs'!$A$5:$A$44))=UPPER(TRIM(J277)))*'Origin Costs'!$C$5:$C$44),IF(TRIM(F277)="ICD Tihi",SUMPRODUCT((UPPER(TRIM('Origin Costs'!$A$49:$A$88))=UPPER(TRIM(J277)))*'Origin Costs'!$C$49:$C$88),IF(TRIM(F277)="ICD Dhannad",SUMPRODUCT((UPPER(TRIM('Origin Costs'!$A$93:$A$132))=UPPER(TRIM(J277)))*'Origin Costs'!$C$93:$C$132),0))),0)</f>
        <v>1146.5555555555557</v>
      </c>
      <c r="P277" s="46">
        <f t="shared" si="4"/>
        <v>1146.5555555555557</v>
      </c>
      <c r="Q277" s="13" t="str">
        <f>IF(OR(Dashboard!$C$4="All Customers",$E277=Dashboard!$C$4),IF($E277="","",$P277+ROW()/10000000),"")</f>
        <v/>
      </c>
    </row>
    <row r="278" spans="1:17" ht="14.25" customHeight="1" x14ac:dyDescent="0.3">
      <c r="A278" s="39" t="str">
        <f>IFERROR("FY"&amp;TEXT(MOD(IF(MONTH(Sheet1!A278)&gt;=4,YEAR(Sheet1!A278),YEAR(Sheet1!A278)-1),100),"00")&amp;"-"&amp;TEXT(MOD(IF(MONTH(Sheet1!A278)&gt;=4,YEAR(Sheet1!A278),YEAR(Sheet1!A278)-1)+1,100),"00"),"")</f>
        <v>FY25-26</v>
      </c>
      <c r="B278" s="40" t="str">
        <f>IFERROR("Q"&amp;IF(MONTH(Sheet1!A278)&gt;=4,IF(MONTH(Sheet1!A278)&lt;=6,1,IF(MONTH(Sheet1!A278)&lt;=9,2,3)),4),"")</f>
        <v>Q3</v>
      </c>
      <c r="C278" s="39" t="str">
        <f>IFERROR(Sheet1!C278,0)</f>
        <v>MEA</v>
      </c>
      <c r="D278" s="39" t="str">
        <f>IFERROR(Sheet1!F278,0)</f>
        <v>Egypt</v>
      </c>
      <c r="E278" s="39" t="str">
        <f>IFERROR(Sheet1!E278,0)</f>
        <v>ROYAL TYRES COMMERCIAL (PTY) LTD</v>
      </c>
      <c r="F278" s="39" t="str">
        <f>IFERROR(IF(UPPER(TRIM(Sheet1!J278))="NH","Nhava Sheva",IF(UPPER(TRIM(Sheet1!J278))="ICD","ICD Dhannad",IF(UPPER(TRIM(Sheet1!J278))="TIHI","ICD Tihi",Sheet1!J278))),0)</f>
        <v>Nhava Sheva</v>
      </c>
      <c r="G278" s="39" t="str">
        <f>IFERROR(Sheet1!M278,0)</f>
        <v>Durban</v>
      </c>
      <c r="H278" s="39" t="str">
        <f>IFERROR(Sheet1!H278,0)</f>
        <v>DP World</v>
      </c>
      <c r="I278" s="39" t="str">
        <f>IFERROR(Sheet1!G278,0)</f>
        <v>CIF</v>
      </c>
      <c r="J278" s="39" t="str">
        <f>IFERROR(Sheet1!K278,0)</f>
        <v>MSC</v>
      </c>
      <c r="K278" s="41">
        <f>IFERROR(Sheet1!A278,0)</f>
        <v>45987</v>
      </c>
      <c r="L278" s="41">
        <f>IFERROR(Sheet1!I278,0)</f>
        <v>45986</v>
      </c>
      <c r="M278" s="47" t="str">
        <f>IFERROR(Sheet1!P278,0)</f>
        <v>NA</v>
      </c>
      <c r="N278" s="42">
        <f>IFERROR(IF(ISNUMBER(Sheet1!N278),Sheet1!N278,0),0)</f>
        <v>1008</v>
      </c>
      <c r="O278" s="42">
        <f>IFERROR(IF(TRIM(F278)="Nhava Sheva",SUMPRODUCT((UPPER(TRIM('Origin Costs'!$A$5:$A$44))=UPPER(TRIM(J278)))*'Origin Costs'!$C$5:$C$44),IF(TRIM(F278)="ICD Tihi",SUMPRODUCT((UPPER(TRIM('Origin Costs'!$A$49:$A$88))=UPPER(TRIM(J278)))*'Origin Costs'!$C$49:$C$88),IF(TRIM(F278)="ICD Dhannad",SUMPRODUCT((UPPER(TRIM('Origin Costs'!$A$93:$A$132))=UPPER(TRIM(J278)))*'Origin Costs'!$C$93:$C$132),0))),0)</f>
        <v>1168.8222222222223</v>
      </c>
      <c r="P278" s="42">
        <f t="shared" si="4"/>
        <v>2176.8222222222221</v>
      </c>
      <c r="Q278" s="13" t="str">
        <f>IF(OR(Dashboard!$C$4="All Customers",$E278=Dashboard!$C$4),IF($E278="","",$P278+ROW()/10000000),"")</f>
        <v/>
      </c>
    </row>
    <row r="279" spans="1:17" ht="14.25" customHeight="1" x14ac:dyDescent="0.3">
      <c r="A279" s="43" t="str">
        <f>IFERROR("FY"&amp;TEXT(MOD(IF(MONTH(Sheet1!A279)&gt;=4,YEAR(Sheet1!A279),YEAR(Sheet1!A279)-1),100),"00")&amp;"-"&amp;TEXT(MOD(IF(MONTH(Sheet1!A279)&gt;=4,YEAR(Sheet1!A279),YEAR(Sheet1!A279)-1)+1,100),"00"),"")</f>
        <v>FY25-26</v>
      </c>
      <c r="B279" s="44" t="str">
        <f>IFERROR("Q"&amp;IF(MONTH(Sheet1!A279)&gt;=4,IF(MONTH(Sheet1!A279)&lt;=6,1,IF(MONTH(Sheet1!A279)&lt;=9,2,3)),4),"")</f>
        <v>Q3</v>
      </c>
      <c r="C279" s="43" t="str">
        <f>IFERROR(Sheet1!C279,0)</f>
        <v>MEA</v>
      </c>
      <c r="D279" s="43" t="str">
        <f>IFERROR(Sheet1!F279,0)</f>
        <v>Egypt</v>
      </c>
      <c r="E279" s="43" t="str">
        <f>IFERROR(Sheet1!E279,0)</f>
        <v>ROYAL TYRES COMMERCIAL (PTY) LTD</v>
      </c>
      <c r="F279" s="43" t="str">
        <f>IFERROR(IF(UPPER(TRIM(Sheet1!J279))="NH","Nhava Sheva",IF(UPPER(TRIM(Sheet1!J279))="ICD","ICD Dhannad",IF(UPPER(TRIM(Sheet1!J279))="TIHI","ICD Tihi",Sheet1!J279))),0)</f>
        <v>Nhava Sheva</v>
      </c>
      <c r="G279" s="43" t="str">
        <f>IFERROR(Sheet1!M279,0)</f>
        <v>Durban</v>
      </c>
      <c r="H279" s="43" t="str">
        <f>IFERROR(Sheet1!H279,0)</f>
        <v>DP World</v>
      </c>
      <c r="I279" s="43" t="str">
        <f>IFERROR(Sheet1!G279,0)</f>
        <v>CIF</v>
      </c>
      <c r="J279" s="43" t="str">
        <f>IFERROR(Sheet1!K279,0)</f>
        <v>MSC</v>
      </c>
      <c r="K279" s="45">
        <f>IFERROR(Sheet1!A279,0)</f>
        <v>45987</v>
      </c>
      <c r="L279" s="45">
        <f>IFERROR(Sheet1!I279,0)</f>
        <v>45986</v>
      </c>
      <c r="M279" s="47" t="str">
        <f>IFERROR(Sheet1!P279,0)</f>
        <v>NA</v>
      </c>
      <c r="N279" s="46">
        <f>IFERROR(IF(ISNUMBER(Sheet1!N279),Sheet1!N279,0),0)</f>
        <v>1008</v>
      </c>
      <c r="O279" s="46">
        <f>IFERROR(IF(TRIM(F279)="Nhava Sheva",SUMPRODUCT((UPPER(TRIM('Origin Costs'!$A$5:$A$44))=UPPER(TRIM(J279)))*'Origin Costs'!$C$5:$C$44),IF(TRIM(F279)="ICD Tihi",SUMPRODUCT((UPPER(TRIM('Origin Costs'!$A$49:$A$88))=UPPER(TRIM(J279)))*'Origin Costs'!$C$49:$C$88),IF(TRIM(F279)="ICD Dhannad",SUMPRODUCT((UPPER(TRIM('Origin Costs'!$A$93:$A$132))=UPPER(TRIM(J279)))*'Origin Costs'!$C$93:$C$132),0))),0)</f>
        <v>1168.8222222222223</v>
      </c>
      <c r="P279" s="46">
        <f t="shared" si="4"/>
        <v>2176.8222222222221</v>
      </c>
      <c r="Q279" s="13" t="str">
        <f>IF(OR(Dashboard!$C$4="All Customers",$E279=Dashboard!$C$4),IF($E279="","",$P279+ROW()/10000000),"")</f>
        <v/>
      </c>
    </row>
    <row r="280" spans="1:17" ht="14.25" customHeight="1" x14ac:dyDescent="0.3">
      <c r="A280" s="39" t="str">
        <f>IFERROR("FY"&amp;TEXT(MOD(IF(MONTH(Sheet1!A280)&gt;=4,YEAR(Sheet1!A280),YEAR(Sheet1!A280)-1),100),"00")&amp;"-"&amp;TEXT(MOD(IF(MONTH(Sheet1!A280)&gt;=4,YEAR(Sheet1!A280),YEAR(Sheet1!A280)-1)+1,100),"00"),"")</f>
        <v>FY25-26</v>
      </c>
      <c r="B280" s="40" t="str">
        <f>IFERROR("Q"&amp;IF(MONTH(Sheet1!A280)&gt;=4,IF(MONTH(Sheet1!A280)&lt;=6,1,IF(MONTH(Sheet1!A280)&lt;=9,2,3)),4),"")</f>
        <v>Q3</v>
      </c>
      <c r="C280" s="39" t="str">
        <f>IFERROR(Sheet1!C280,0)</f>
        <v>MEA</v>
      </c>
      <c r="D280" s="39" t="str">
        <f>IFERROR(Sheet1!F280,0)</f>
        <v>Egypt</v>
      </c>
      <c r="E280" s="39" t="str">
        <f>IFERROR(Sheet1!E280,0)</f>
        <v>Vaal Tyre Centre Holdings (Pty) Ltd-S.A</v>
      </c>
      <c r="F280" s="39" t="str">
        <f>IFERROR(IF(UPPER(TRIM(Sheet1!J280))="NH","Nhava Sheva",IF(UPPER(TRIM(Sheet1!J280))="ICD","ICD Dhannad",IF(UPPER(TRIM(Sheet1!J280))="TIHI","ICD Tihi",Sheet1!J280))),0)</f>
        <v>Nhava Sheva</v>
      </c>
      <c r="G280" s="39" t="str">
        <f>IFERROR(Sheet1!M280,0)</f>
        <v>Durban</v>
      </c>
      <c r="H280" s="39" t="str">
        <f>IFERROR(Sheet1!H280,0)</f>
        <v>DP World</v>
      </c>
      <c r="I280" s="39" t="str">
        <f>IFERROR(Sheet1!G280,0)</f>
        <v>CIF</v>
      </c>
      <c r="J280" s="39" t="str">
        <f>IFERROR(Sheet1!K280,0)</f>
        <v>MSC</v>
      </c>
      <c r="K280" s="41">
        <f>IFERROR(Sheet1!A280,0)</f>
        <v>45987</v>
      </c>
      <c r="L280" s="41">
        <f>IFERROR(Sheet1!I280,0)</f>
        <v>45985</v>
      </c>
      <c r="M280" s="47" t="str">
        <f>IFERROR(Sheet1!P280,0)</f>
        <v>NA</v>
      </c>
      <c r="N280" s="42">
        <f>IFERROR(IF(ISNUMBER(Sheet1!N280),Sheet1!N280,0),0)</f>
        <v>1008</v>
      </c>
      <c r="O280" s="42">
        <f>IFERROR(IF(TRIM(F280)="Nhava Sheva",SUMPRODUCT((UPPER(TRIM('Origin Costs'!$A$5:$A$44))=UPPER(TRIM(J280)))*'Origin Costs'!$C$5:$C$44),IF(TRIM(F280)="ICD Tihi",SUMPRODUCT((UPPER(TRIM('Origin Costs'!$A$49:$A$88))=UPPER(TRIM(J280)))*'Origin Costs'!$C$49:$C$88),IF(TRIM(F280)="ICD Dhannad",SUMPRODUCT((UPPER(TRIM('Origin Costs'!$A$93:$A$132))=UPPER(TRIM(J280)))*'Origin Costs'!$C$93:$C$132),0))),0)</f>
        <v>1168.8222222222223</v>
      </c>
      <c r="P280" s="42">
        <f t="shared" si="4"/>
        <v>2176.8222222222221</v>
      </c>
      <c r="Q280" s="13" t="str">
        <f>IF(OR(Dashboard!$C$4="All Customers",$E280=Dashboard!$C$4),IF($E280="","",$P280+ROW()/10000000),"")</f>
        <v/>
      </c>
    </row>
    <row r="281" spans="1:17" ht="14.25" customHeight="1" x14ac:dyDescent="0.3">
      <c r="A281" s="43" t="str">
        <f>IFERROR("FY"&amp;TEXT(MOD(IF(MONTH(Sheet1!A281)&gt;=4,YEAR(Sheet1!A281),YEAR(Sheet1!A281)-1),100),"00")&amp;"-"&amp;TEXT(MOD(IF(MONTH(Sheet1!A281)&gt;=4,YEAR(Sheet1!A281),YEAR(Sheet1!A281)-1)+1,100),"00"),"")</f>
        <v>FY25-26</v>
      </c>
      <c r="B281" s="44" t="str">
        <f>IFERROR("Q"&amp;IF(MONTH(Sheet1!A281)&gt;=4,IF(MONTH(Sheet1!A281)&lt;=6,1,IF(MONTH(Sheet1!A281)&lt;=9,2,3)),4),"")</f>
        <v>Q3</v>
      </c>
      <c r="C281" s="43" t="str">
        <f>IFERROR(Sheet1!C281,0)</f>
        <v>S.A</v>
      </c>
      <c r="D281" s="43" t="str">
        <f>IFERROR(Sheet1!F281,0)</f>
        <v>Brazil</v>
      </c>
      <c r="E281" s="43" t="str">
        <f>IFERROR(Sheet1!E281,0)</f>
        <v>CPX DISTRIBUIDORA S/A-Navegantes</v>
      </c>
      <c r="F281" s="43" t="str">
        <f>IFERROR(IF(UPPER(TRIM(Sheet1!J281))="NH","Nhava Sheva",IF(UPPER(TRIM(Sheet1!J281))="ICD","ICD Dhannad",IF(UPPER(TRIM(Sheet1!J281))="TIHI","ICD Tihi",Sheet1!J281))),0)</f>
        <v>ICD Dhannad</v>
      </c>
      <c r="G281" s="43" t="str">
        <f>IFERROR(Sheet1!M281,0)</f>
        <v>Suape</v>
      </c>
      <c r="H281" s="43" t="str">
        <f>IFERROR(Sheet1!H281,0)</f>
        <v>Cargo Marketing</v>
      </c>
      <c r="I281" s="43" t="str">
        <f>IFERROR(Sheet1!G281,0)</f>
        <v>FOB</v>
      </c>
      <c r="J281" s="43" t="str">
        <f>IFERROR(Sheet1!K281,0)</f>
        <v>MSC</v>
      </c>
      <c r="K281" s="45">
        <f>IFERROR(Sheet1!A281,0)</f>
        <v>45988</v>
      </c>
      <c r="L281" s="45">
        <f>IFERROR(Sheet1!I281,0)</f>
        <v>45988</v>
      </c>
      <c r="M281" s="47" t="str">
        <f>IFERROR(Sheet1!P281,0)</f>
        <v>NA</v>
      </c>
      <c r="N281" s="46">
        <f>IFERROR(IF(ISNUMBER(Sheet1!N281),Sheet1!N281,0),0)</f>
        <v>0</v>
      </c>
      <c r="O281" s="46">
        <f>IFERROR(IF(TRIM(F281)="Nhava Sheva",SUMPRODUCT((UPPER(TRIM('Origin Costs'!$A$5:$A$44))=UPPER(TRIM(J281)))*'Origin Costs'!$C$5:$C$44),IF(TRIM(F281)="ICD Tihi",SUMPRODUCT((UPPER(TRIM('Origin Costs'!$A$49:$A$88))=UPPER(TRIM(J281)))*'Origin Costs'!$C$49:$C$88),IF(TRIM(F281)="ICD Dhannad",SUMPRODUCT((UPPER(TRIM('Origin Costs'!$A$93:$A$132))=UPPER(TRIM(J281)))*'Origin Costs'!$C$93:$C$132),0))),0)</f>
        <v>0</v>
      </c>
      <c r="P281" s="46">
        <f t="shared" si="4"/>
        <v>0</v>
      </c>
      <c r="Q281" s="13" t="str">
        <f>IF(OR(Dashboard!$C$4="All Customers",$E281=Dashboard!$C$4),IF($E281="","",$P281+ROW()/10000000),"")</f>
        <v/>
      </c>
    </row>
    <row r="282" spans="1:17" ht="14.25" customHeight="1" x14ac:dyDescent="0.3">
      <c r="A282" s="39" t="str">
        <f>IFERROR("FY"&amp;TEXT(MOD(IF(MONTH(Sheet1!A282)&gt;=4,YEAR(Sheet1!A282),YEAR(Sheet1!A282)-1),100),"00")&amp;"-"&amp;TEXT(MOD(IF(MONTH(Sheet1!A282)&gt;=4,YEAR(Sheet1!A282),YEAR(Sheet1!A282)-1)+1,100),"00"),"")</f>
        <v>FY25-26</v>
      </c>
      <c r="B282" s="40" t="str">
        <f>IFERROR("Q"&amp;IF(MONTH(Sheet1!A282)&gt;=4,IF(MONTH(Sheet1!A282)&lt;=6,1,IF(MONTH(Sheet1!A282)&lt;=9,2,3)),4),"")</f>
        <v>Q3</v>
      </c>
      <c r="C282" s="39" t="str">
        <f>IFERROR(Sheet1!C282,0)</f>
        <v>S.A</v>
      </c>
      <c r="D282" s="39" t="str">
        <f>IFERROR(Sheet1!F282,0)</f>
        <v>Brazil</v>
      </c>
      <c r="E282" s="39" t="str">
        <f>IFERROR(Sheet1!E282,0)</f>
        <v>CPX DISTRIBUIDORA S/A-Navegantes</v>
      </c>
      <c r="F282" s="39" t="str">
        <f>IFERROR(IF(UPPER(TRIM(Sheet1!J282))="NH","Nhava Sheva",IF(UPPER(TRIM(Sheet1!J282))="ICD","ICD Dhannad",IF(UPPER(TRIM(Sheet1!J282))="TIHI","ICD Tihi",Sheet1!J282))),0)</f>
        <v>ICD Dhannad</v>
      </c>
      <c r="G282" s="39" t="str">
        <f>IFERROR(Sheet1!M282,0)</f>
        <v>Suape</v>
      </c>
      <c r="H282" s="39" t="str">
        <f>IFERROR(Sheet1!H282,0)</f>
        <v>Cargo Marketing</v>
      </c>
      <c r="I282" s="39" t="str">
        <f>IFERROR(Sheet1!G282,0)</f>
        <v>FOB</v>
      </c>
      <c r="J282" s="39" t="str">
        <f>IFERROR(Sheet1!K282,0)</f>
        <v>MSC</v>
      </c>
      <c r="K282" s="41">
        <f>IFERROR(Sheet1!A282,0)</f>
        <v>45988</v>
      </c>
      <c r="L282" s="41">
        <f>IFERROR(Sheet1!I282,0)</f>
        <v>45988</v>
      </c>
      <c r="M282" s="47" t="str">
        <f>IFERROR(Sheet1!P282,0)</f>
        <v>NA</v>
      </c>
      <c r="N282" s="42">
        <f>IFERROR(IF(ISNUMBER(Sheet1!N282),Sheet1!N282,0),0)</f>
        <v>0</v>
      </c>
      <c r="O282" s="42">
        <f>IFERROR(IF(TRIM(F282)="Nhava Sheva",SUMPRODUCT((UPPER(TRIM('Origin Costs'!$A$5:$A$44))=UPPER(TRIM(J282)))*'Origin Costs'!$C$5:$C$44),IF(TRIM(F282)="ICD Tihi",SUMPRODUCT((UPPER(TRIM('Origin Costs'!$A$49:$A$88))=UPPER(TRIM(J282)))*'Origin Costs'!$C$49:$C$88),IF(TRIM(F282)="ICD Dhannad",SUMPRODUCT((UPPER(TRIM('Origin Costs'!$A$93:$A$132))=UPPER(TRIM(J282)))*'Origin Costs'!$C$93:$C$132),0))),0)</f>
        <v>0</v>
      </c>
      <c r="P282" s="42">
        <f t="shared" si="4"/>
        <v>0</v>
      </c>
      <c r="Q282" s="13" t="str">
        <f>IF(OR(Dashboard!$C$4="All Customers",$E282=Dashboard!$C$4),IF($E282="","",$P282+ROW()/10000000),"")</f>
        <v/>
      </c>
    </row>
    <row r="283" spans="1:17" ht="14.25" customHeight="1" x14ac:dyDescent="0.3">
      <c r="A283" s="43" t="str">
        <f>IFERROR("FY"&amp;TEXT(MOD(IF(MONTH(Sheet1!A283)&gt;=4,YEAR(Sheet1!A283),YEAR(Sheet1!A283)-1),100),"00")&amp;"-"&amp;TEXT(MOD(IF(MONTH(Sheet1!A283)&gt;=4,YEAR(Sheet1!A283),YEAR(Sheet1!A283)-1)+1,100),"00"),"")</f>
        <v>FY25-26</v>
      </c>
      <c r="B283" s="44" t="str">
        <f>IFERROR("Q"&amp;IF(MONTH(Sheet1!A283)&gt;=4,IF(MONTH(Sheet1!A283)&lt;=6,1,IF(MONTH(Sheet1!A283)&lt;=9,2,3)),4),"")</f>
        <v>Q3</v>
      </c>
      <c r="C283" s="43" t="str">
        <f>IFERROR(Sheet1!C283,0)</f>
        <v>Europe</v>
      </c>
      <c r="D283" s="43" t="str">
        <f>IFERROR(Sheet1!F283,0)</f>
        <v>Romania</v>
      </c>
      <c r="E283" s="43" t="str">
        <f>IFERROR(Sheet1!E283,0)</f>
        <v>Inter Cars Romania Srl</v>
      </c>
      <c r="F283" s="43" t="str">
        <f>IFERROR(IF(UPPER(TRIM(Sheet1!J283))="NH","Nhava Sheva",IF(UPPER(TRIM(Sheet1!J283))="ICD","ICD Dhannad",IF(UPPER(TRIM(Sheet1!J283))="TIHI","ICD Tihi",Sheet1!J283))),0)</f>
        <v>ICD Tihi</v>
      </c>
      <c r="G283" s="43" t="str">
        <f>IFERROR(Sheet1!M283,0)</f>
        <v>Constanta</v>
      </c>
      <c r="H283" s="43" t="str">
        <f>IFERROR(Sheet1!H283,0)</f>
        <v>DSV</v>
      </c>
      <c r="I283" s="43" t="str">
        <f>IFERROR(Sheet1!G283,0)</f>
        <v>FOB</v>
      </c>
      <c r="J283" s="43" t="str">
        <f>IFERROR(Sheet1!K283,0)</f>
        <v>Cosco</v>
      </c>
      <c r="K283" s="45">
        <f>IFERROR(Sheet1!A283,0)</f>
        <v>45988</v>
      </c>
      <c r="L283" s="45">
        <f>IFERROR(Sheet1!I283,0)</f>
        <v>45989</v>
      </c>
      <c r="M283" s="47" t="str">
        <f>IFERROR(Sheet1!P283,0)</f>
        <v>NA</v>
      </c>
      <c r="N283" s="46">
        <f>IFERROR(IF(ISNUMBER(Sheet1!N283),Sheet1!N283,0),0)</f>
        <v>0</v>
      </c>
      <c r="O283" s="46">
        <f>IFERROR(IF(TRIM(F283)="Nhava Sheva",SUMPRODUCT((UPPER(TRIM('Origin Costs'!$A$5:$A$44))=UPPER(TRIM(J283)))*'Origin Costs'!$C$5:$C$44),IF(TRIM(F283)="ICD Tihi",SUMPRODUCT((UPPER(TRIM('Origin Costs'!$A$49:$A$88))=UPPER(TRIM(J283)))*'Origin Costs'!$C$49:$C$88),IF(TRIM(F283)="ICD Dhannad",SUMPRODUCT((UPPER(TRIM('Origin Costs'!$A$93:$A$132))=UPPER(TRIM(J283)))*'Origin Costs'!$C$93:$C$132),0))),0)</f>
        <v>0</v>
      </c>
      <c r="P283" s="46">
        <f t="shared" si="4"/>
        <v>0</v>
      </c>
      <c r="Q283" s="13" t="str">
        <f>IF(OR(Dashboard!$C$4="All Customers",$E283=Dashboard!$C$4),IF($E283="","",$P283+ROW()/10000000),"")</f>
        <v/>
      </c>
    </row>
    <row r="284" spans="1:17" ht="14.25" customHeight="1" x14ac:dyDescent="0.3">
      <c r="A284" s="39" t="str">
        <f>IFERROR("FY"&amp;TEXT(MOD(IF(MONTH(Sheet1!A284)&gt;=4,YEAR(Sheet1!A284),YEAR(Sheet1!A284)-1),100),"00")&amp;"-"&amp;TEXT(MOD(IF(MONTH(Sheet1!A284)&gt;=4,YEAR(Sheet1!A284),YEAR(Sheet1!A284)-1)+1,100),"00"),"")</f>
        <v>FY25-26</v>
      </c>
      <c r="B284" s="40" t="str">
        <f>IFERROR("Q"&amp;IF(MONTH(Sheet1!A284)&gt;=4,IF(MONTH(Sheet1!A284)&lt;=6,1,IF(MONTH(Sheet1!A284)&lt;=9,2,3)),4),"")</f>
        <v>Q3</v>
      </c>
      <c r="C284" s="39" t="str">
        <f>IFERROR(Sheet1!C284,0)</f>
        <v>S.A</v>
      </c>
      <c r="D284" s="39" t="str">
        <f>IFERROR(Sheet1!F284,0)</f>
        <v>Mexico</v>
      </c>
      <c r="E284" s="39" t="str">
        <f>IFERROR(Sheet1!E284,0)</f>
        <v>Bodegas, Mexico</v>
      </c>
      <c r="F284" s="39" t="str">
        <f>IFERROR(IF(UPPER(TRIM(Sheet1!J284))="NH","Nhava Sheva",IF(UPPER(TRIM(Sheet1!J284))="ICD","ICD Dhannad",IF(UPPER(TRIM(Sheet1!J284))="TIHI","ICD Tihi",Sheet1!J284))),0)</f>
        <v>Nhava Sheva</v>
      </c>
      <c r="G284" s="39" t="str">
        <f>IFERROR(Sheet1!M284,0)</f>
        <v>Manzanillo</v>
      </c>
      <c r="H284" s="39" t="str">
        <f>IFERROR(Sheet1!H284,0)</f>
        <v>Sanjay Forwarder</v>
      </c>
      <c r="I284" s="39" t="str">
        <f>IFERROR(Sheet1!G284,0)</f>
        <v>CIF</v>
      </c>
      <c r="J284" s="39" t="str">
        <f>IFERROR(Sheet1!K284,0)</f>
        <v>Maersk</v>
      </c>
      <c r="K284" s="41">
        <f>IFERROR(Sheet1!A284,0)</f>
        <v>45989</v>
      </c>
      <c r="L284" s="41">
        <f>IFERROR(Sheet1!I284,0)</f>
        <v>45987</v>
      </c>
      <c r="M284" s="47" t="str">
        <f>IFERROR(Sheet1!P284,0)</f>
        <v>NA</v>
      </c>
      <c r="N284" s="42">
        <f>IFERROR(IF(ISNUMBER(Sheet1!N284),Sheet1!N284,0),0)</f>
        <v>1840</v>
      </c>
      <c r="O284" s="42">
        <f>IFERROR(IF(TRIM(F284)="Nhava Sheva",SUMPRODUCT((UPPER(TRIM('Origin Costs'!$A$5:$A$44))=UPPER(TRIM(J284)))*'Origin Costs'!$C$5:$C$44),IF(TRIM(F284)="ICD Tihi",SUMPRODUCT((UPPER(TRIM('Origin Costs'!$A$49:$A$88))=UPPER(TRIM(J284)))*'Origin Costs'!$C$49:$C$88),IF(TRIM(F284)="ICD Dhannad",SUMPRODUCT((UPPER(TRIM('Origin Costs'!$A$93:$A$132))=UPPER(TRIM(J284)))*'Origin Costs'!$C$93:$C$132),0))),0)</f>
        <v>1148.588888888889</v>
      </c>
      <c r="P284" s="42">
        <f t="shared" si="4"/>
        <v>2988.588888888889</v>
      </c>
      <c r="Q284" s="13" t="str">
        <f>IF(OR(Dashboard!$C$4="All Customers",$E284=Dashboard!$C$4),IF($E284="","",$P284+ROW()/10000000),"")</f>
        <v/>
      </c>
    </row>
    <row r="285" spans="1:17" ht="14.25" customHeight="1" x14ac:dyDescent="0.3">
      <c r="A285" s="43" t="str">
        <f>IFERROR("FY"&amp;TEXT(MOD(IF(MONTH(Sheet1!A285)&gt;=4,YEAR(Sheet1!A285),YEAR(Sheet1!A285)-1),100),"00")&amp;"-"&amp;TEXT(MOD(IF(MONTH(Sheet1!A285)&gt;=4,YEAR(Sheet1!A285),YEAR(Sheet1!A285)-1)+1,100),"00"),"")</f>
        <v>FY25-26</v>
      </c>
      <c r="B285" s="44" t="str">
        <f>IFERROR("Q"&amp;IF(MONTH(Sheet1!A285)&gt;=4,IF(MONTH(Sheet1!A285)&lt;=6,1,IF(MONTH(Sheet1!A285)&lt;=9,2,3)),4),"")</f>
        <v>Q3</v>
      </c>
      <c r="C285" s="43" t="str">
        <f>IFERROR(Sheet1!C285,0)</f>
        <v>S.A</v>
      </c>
      <c r="D285" s="43" t="str">
        <f>IFERROR(Sheet1!F285,0)</f>
        <v>Mexico</v>
      </c>
      <c r="E285" s="43" t="str">
        <f>IFERROR(Sheet1!E285,0)</f>
        <v>Bodegas, Mexico</v>
      </c>
      <c r="F285" s="43" t="str">
        <f>IFERROR(IF(UPPER(TRIM(Sheet1!J285))="NH","Nhava Sheva",IF(UPPER(TRIM(Sheet1!J285))="ICD","ICD Dhannad",IF(UPPER(TRIM(Sheet1!J285))="TIHI","ICD Tihi",Sheet1!J285))),0)</f>
        <v>Nhava Sheva</v>
      </c>
      <c r="G285" s="43" t="str">
        <f>IFERROR(Sheet1!M285,0)</f>
        <v>Manzanillo</v>
      </c>
      <c r="H285" s="43" t="str">
        <f>IFERROR(Sheet1!H285,0)</f>
        <v>Sanjay Forwarder</v>
      </c>
      <c r="I285" s="43" t="str">
        <f>IFERROR(Sheet1!G285,0)</f>
        <v>CIF</v>
      </c>
      <c r="J285" s="43" t="str">
        <f>IFERROR(Sheet1!K285,0)</f>
        <v>Maersk</v>
      </c>
      <c r="K285" s="45">
        <f>IFERROR(Sheet1!A285,0)</f>
        <v>45989</v>
      </c>
      <c r="L285" s="45">
        <f>IFERROR(Sheet1!I285,0)</f>
        <v>45987</v>
      </c>
      <c r="M285" s="47" t="str">
        <f>IFERROR(Sheet1!P285,0)</f>
        <v>NA</v>
      </c>
      <c r="N285" s="46">
        <f>IFERROR(IF(ISNUMBER(Sheet1!N285),Sheet1!N285,0),0)</f>
        <v>1840</v>
      </c>
      <c r="O285" s="46">
        <f>IFERROR(IF(TRIM(F285)="Nhava Sheva",SUMPRODUCT((UPPER(TRIM('Origin Costs'!$A$5:$A$44))=UPPER(TRIM(J285)))*'Origin Costs'!$C$5:$C$44),IF(TRIM(F285)="ICD Tihi",SUMPRODUCT((UPPER(TRIM('Origin Costs'!$A$49:$A$88))=UPPER(TRIM(J285)))*'Origin Costs'!$C$49:$C$88),IF(TRIM(F285)="ICD Dhannad",SUMPRODUCT((UPPER(TRIM('Origin Costs'!$A$93:$A$132))=UPPER(TRIM(J285)))*'Origin Costs'!$C$93:$C$132),0))),0)</f>
        <v>1148.588888888889</v>
      </c>
      <c r="P285" s="46">
        <f t="shared" si="4"/>
        <v>2988.588888888889</v>
      </c>
      <c r="Q285" s="13" t="str">
        <f>IF(OR(Dashboard!$C$4="All Customers",$E285=Dashboard!$C$4),IF($E285="","",$P285+ROW()/10000000),"")</f>
        <v/>
      </c>
    </row>
    <row r="286" spans="1:17" ht="14.25" customHeight="1" x14ac:dyDescent="0.3">
      <c r="A286" s="39" t="str">
        <f>IFERROR("FY"&amp;TEXT(MOD(IF(MONTH(Sheet1!A286)&gt;=4,YEAR(Sheet1!A286),YEAR(Sheet1!A286)-1),100),"00")&amp;"-"&amp;TEXT(MOD(IF(MONTH(Sheet1!A286)&gt;=4,YEAR(Sheet1!A286),YEAR(Sheet1!A286)-1)+1,100),"00"),"")</f>
        <v>FY25-26</v>
      </c>
      <c r="B286" s="40" t="str">
        <f>IFERROR("Q"&amp;IF(MONTH(Sheet1!A286)&gt;=4,IF(MONTH(Sheet1!A286)&lt;=6,1,IF(MONTH(Sheet1!A286)&lt;=9,2,3)),4),"")</f>
        <v>Q3</v>
      </c>
      <c r="C286" s="39" t="str">
        <f>IFERROR(Sheet1!C286,0)</f>
        <v>S.A</v>
      </c>
      <c r="D286" s="39" t="str">
        <f>IFERROR(Sheet1!F286,0)</f>
        <v>Mexico</v>
      </c>
      <c r="E286" s="39" t="str">
        <f>IFERROR(Sheet1!E286,0)</f>
        <v>Bodegas, Mexico</v>
      </c>
      <c r="F286" s="39" t="str">
        <f>IFERROR(IF(UPPER(TRIM(Sheet1!J286))="NH","Nhava Sheva",IF(UPPER(TRIM(Sheet1!J286))="ICD","ICD Dhannad",IF(UPPER(TRIM(Sheet1!J286))="TIHI","ICD Tihi",Sheet1!J286))),0)</f>
        <v>Nhava Sheva</v>
      </c>
      <c r="G286" s="39" t="str">
        <f>IFERROR(Sheet1!M286,0)</f>
        <v>Manzanillo</v>
      </c>
      <c r="H286" s="39" t="str">
        <f>IFERROR(Sheet1!H286,0)</f>
        <v>Sanjay Forwarder</v>
      </c>
      <c r="I286" s="39" t="str">
        <f>IFERROR(Sheet1!G286,0)</f>
        <v>CIF</v>
      </c>
      <c r="J286" s="39" t="str">
        <f>IFERROR(Sheet1!K286,0)</f>
        <v>Maersk</v>
      </c>
      <c r="K286" s="41">
        <f>IFERROR(Sheet1!A286,0)</f>
        <v>45989</v>
      </c>
      <c r="L286" s="41">
        <f>IFERROR(Sheet1!I286,0)</f>
        <v>45987</v>
      </c>
      <c r="M286" s="47" t="str">
        <f>IFERROR(Sheet1!P286,0)</f>
        <v>NA</v>
      </c>
      <c r="N286" s="42">
        <f>IFERROR(IF(ISNUMBER(Sheet1!N286),Sheet1!N286,0),0)</f>
        <v>1840</v>
      </c>
      <c r="O286" s="42">
        <f>IFERROR(IF(TRIM(F286)="Nhava Sheva",SUMPRODUCT((UPPER(TRIM('Origin Costs'!$A$5:$A$44))=UPPER(TRIM(J286)))*'Origin Costs'!$C$5:$C$44),IF(TRIM(F286)="ICD Tihi",SUMPRODUCT((UPPER(TRIM('Origin Costs'!$A$49:$A$88))=UPPER(TRIM(J286)))*'Origin Costs'!$C$49:$C$88),IF(TRIM(F286)="ICD Dhannad",SUMPRODUCT((UPPER(TRIM('Origin Costs'!$A$93:$A$132))=UPPER(TRIM(J286)))*'Origin Costs'!$C$93:$C$132),0))),0)</f>
        <v>1148.588888888889</v>
      </c>
      <c r="P286" s="42">
        <f t="shared" si="4"/>
        <v>2988.588888888889</v>
      </c>
      <c r="Q286" s="13" t="str">
        <f>IF(OR(Dashboard!$C$4="All Customers",$E286=Dashboard!$C$4),IF($E286="","",$P286+ROW()/10000000),"")</f>
        <v/>
      </c>
    </row>
    <row r="287" spans="1:17" ht="14.25" customHeight="1" x14ac:dyDescent="0.3">
      <c r="A287" s="43" t="str">
        <f>IFERROR("FY"&amp;TEXT(MOD(IF(MONTH(Sheet1!A287)&gt;=4,YEAR(Sheet1!A287),YEAR(Sheet1!A287)-1),100),"00")&amp;"-"&amp;TEXT(MOD(IF(MONTH(Sheet1!A287)&gt;=4,YEAR(Sheet1!A287),YEAR(Sheet1!A287)-1)+1,100),"00"),"")</f>
        <v>FY25-26</v>
      </c>
      <c r="B287" s="44" t="str">
        <f>IFERROR("Q"&amp;IF(MONTH(Sheet1!A287)&gt;=4,IF(MONTH(Sheet1!A287)&lt;=6,1,IF(MONTH(Sheet1!A287)&lt;=9,2,3)),4),"")</f>
        <v>Q3</v>
      </c>
      <c r="C287" s="43" t="str">
        <f>IFERROR(Sheet1!C287,0)</f>
        <v>S.A</v>
      </c>
      <c r="D287" s="43" t="str">
        <f>IFERROR(Sheet1!F287,0)</f>
        <v>Mexico</v>
      </c>
      <c r="E287" s="43" t="str">
        <f>IFERROR(Sheet1!E287,0)</f>
        <v>Bodegas, Mexico</v>
      </c>
      <c r="F287" s="43" t="str">
        <f>IFERROR(IF(UPPER(TRIM(Sheet1!J287))="NH","Nhava Sheva",IF(UPPER(TRIM(Sheet1!J287))="ICD","ICD Dhannad",IF(UPPER(TRIM(Sheet1!J287))="TIHI","ICD Tihi",Sheet1!J287))),0)</f>
        <v>Nhava Sheva</v>
      </c>
      <c r="G287" s="43" t="str">
        <f>IFERROR(Sheet1!M287,0)</f>
        <v>Manzanillo</v>
      </c>
      <c r="H287" s="43" t="str">
        <f>IFERROR(Sheet1!H287,0)</f>
        <v>Sanjay Forwarder</v>
      </c>
      <c r="I287" s="43" t="str">
        <f>IFERROR(Sheet1!G287,0)</f>
        <v>CIF</v>
      </c>
      <c r="J287" s="43" t="str">
        <f>IFERROR(Sheet1!K287,0)</f>
        <v>Maersk</v>
      </c>
      <c r="K287" s="45">
        <f>IFERROR(Sheet1!A287,0)</f>
        <v>45989</v>
      </c>
      <c r="L287" s="45">
        <f>IFERROR(Sheet1!I287,0)</f>
        <v>45987</v>
      </c>
      <c r="M287" s="47" t="str">
        <f>IFERROR(Sheet1!P287,0)</f>
        <v>NA</v>
      </c>
      <c r="N287" s="46">
        <f>IFERROR(IF(ISNUMBER(Sheet1!N287),Sheet1!N287,0),0)</f>
        <v>1840</v>
      </c>
      <c r="O287" s="46">
        <f>IFERROR(IF(TRIM(F287)="Nhava Sheva",SUMPRODUCT((UPPER(TRIM('Origin Costs'!$A$5:$A$44))=UPPER(TRIM(J287)))*'Origin Costs'!$C$5:$C$44),IF(TRIM(F287)="ICD Tihi",SUMPRODUCT((UPPER(TRIM('Origin Costs'!$A$49:$A$88))=UPPER(TRIM(J287)))*'Origin Costs'!$C$49:$C$88),IF(TRIM(F287)="ICD Dhannad",SUMPRODUCT((UPPER(TRIM('Origin Costs'!$A$93:$A$132))=UPPER(TRIM(J287)))*'Origin Costs'!$C$93:$C$132),0))),0)</f>
        <v>1148.588888888889</v>
      </c>
      <c r="P287" s="46">
        <f t="shared" si="4"/>
        <v>2988.588888888889</v>
      </c>
      <c r="Q287" s="13" t="str">
        <f>IF(OR(Dashboard!$C$4="All Customers",$E287=Dashboard!$C$4),IF($E287="","",$P287+ROW()/10000000),"")</f>
        <v/>
      </c>
    </row>
    <row r="288" spans="1:17" ht="14.25" customHeight="1" x14ac:dyDescent="0.3">
      <c r="A288" s="39" t="str">
        <f>IFERROR("FY"&amp;TEXT(MOD(IF(MONTH(Sheet1!A288)&gt;=4,YEAR(Sheet1!A288),YEAR(Sheet1!A288)-1),100),"00")&amp;"-"&amp;TEXT(MOD(IF(MONTH(Sheet1!A288)&gt;=4,YEAR(Sheet1!A288),YEAR(Sheet1!A288)-1)+1,100),"00"),"")</f>
        <v>FY25-26</v>
      </c>
      <c r="B288" s="40" t="str">
        <f>IFERROR("Q"&amp;IF(MONTH(Sheet1!A288)&gt;=4,IF(MONTH(Sheet1!A288)&lt;=6,1,IF(MONTH(Sheet1!A288)&lt;=9,2,3)),4),"")</f>
        <v>Q3</v>
      </c>
      <c r="C288" s="39" t="str">
        <f>IFERROR(Sheet1!C288,0)</f>
        <v>S.A</v>
      </c>
      <c r="D288" s="39" t="str">
        <f>IFERROR(Sheet1!F288,0)</f>
        <v>Mexico</v>
      </c>
      <c r="E288" s="39" t="str">
        <f>IFERROR(Sheet1!E288,0)</f>
        <v>Bodegas, Mexico</v>
      </c>
      <c r="F288" s="39" t="str">
        <f>IFERROR(IF(UPPER(TRIM(Sheet1!J288))="NH","Nhava Sheva",IF(UPPER(TRIM(Sheet1!J288))="ICD","ICD Dhannad",IF(UPPER(TRIM(Sheet1!J288))="TIHI","ICD Tihi",Sheet1!J288))),0)</f>
        <v>Nhava Sheva</v>
      </c>
      <c r="G288" s="39" t="str">
        <f>IFERROR(Sheet1!M288,0)</f>
        <v>Manzanillo</v>
      </c>
      <c r="H288" s="39" t="str">
        <f>IFERROR(Sheet1!H288,0)</f>
        <v>Sanjay Forwarder</v>
      </c>
      <c r="I288" s="39" t="str">
        <f>IFERROR(Sheet1!G288,0)</f>
        <v>CIF</v>
      </c>
      <c r="J288" s="39" t="str">
        <f>IFERROR(Sheet1!K288,0)</f>
        <v>Maersk</v>
      </c>
      <c r="K288" s="41">
        <f>IFERROR(Sheet1!A288,0)</f>
        <v>45989</v>
      </c>
      <c r="L288" s="41">
        <f>IFERROR(Sheet1!I288,0)</f>
        <v>45987</v>
      </c>
      <c r="M288" s="47" t="str">
        <f>IFERROR(Sheet1!P288,0)</f>
        <v>NA</v>
      </c>
      <c r="N288" s="42">
        <f>IFERROR(IF(ISNUMBER(Sheet1!N288),Sheet1!N288,0),0)</f>
        <v>1840</v>
      </c>
      <c r="O288" s="42">
        <f>IFERROR(IF(TRIM(F288)="Nhava Sheva",SUMPRODUCT((UPPER(TRIM('Origin Costs'!$A$5:$A$44))=UPPER(TRIM(J288)))*'Origin Costs'!$C$5:$C$44),IF(TRIM(F288)="ICD Tihi",SUMPRODUCT((UPPER(TRIM('Origin Costs'!$A$49:$A$88))=UPPER(TRIM(J288)))*'Origin Costs'!$C$49:$C$88),IF(TRIM(F288)="ICD Dhannad",SUMPRODUCT((UPPER(TRIM('Origin Costs'!$A$93:$A$132))=UPPER(TRIM(J288)))*'Origin Costs'!$C$93:$C$132),0))),0)</f>
        <v>1148.588888888889</v>
      </c>
      <c r="P288" s="42">
        <f t="shared" si="4"/>
        <v>2988.588888888889</v>
      </c>
      <c r="Q288" s="13" t="str">
        <f>IF(OR(Dashboard!$C$4="All Customers",$E288=Dashboard!$C$4),IF($E288="","",$P288+ROW()/10000000),"")</f>
        <v/>
      </c>
    </row>
    <row r="289" spans="1:17" ht="14.25" customHeight="1" x14ac:dyDescent="0.3">
      <c r="A289" s="43" t="str">
        <f>IFERROR("FY"&amp;TEXT(MOD(IF(MONTH(Sheet1!A289)&gt;=4,YEAR(Sheet1!A289),YEAR(Sheet1!A289)-1),100),"00")&amp;"-"&amp;TEXT(MOD(IF(MONTH(Sheet1!A289)&gt;=4,YEAR(Sheet1!A289),YEAR(Sheet1!A289)-1)+1,100),"00"),"")</f>
        <v>FY25-26</v>
      </c>
      <c r="B289" s="44" t="str">
        <f>IFERROR("Q"&amp;IF(MONTH(Sheet1!A289)&gt;=4,IF(MONTH(Sheet1!A289)&lt;=6,1,IF(MONTH(Sheet1!A289)&lt;=9,2,3)),4),"")</f>
        <v>Q3</v>
      </c>
      <c r="C289" s="43" t="str">
        <f>IFERROR(Sheet1!C289,0)</f>
        <v>Europe</v>
      </c>
      <c r="D289" s="43" t="str">
        <f>IFERROR(Sheet1!F289,0)</f>
        <v>Italy</v>
      </c>
      <c r="E289" s="43" t="str">
        <f>IFERROR(Sheet1!E289,0)</f>
        <v>Fintyre Spa, Italy</v>
      </c>
      <c r="F289" s="43" t="str">
        <f>IFERROR(IF(UPPER(TRIM(Sheet1!J289))="NH","Nhava Sheva",IF(UPPER(TRIM(Sheet1!J289))="ICD","ICD Dhannad",IF(UPPER(TRIM(Sheet1!J289))="TIHI","ICD Tihi",Sheet1!J289))),0)</f>
        <v>ICD Dhannad</v>
      </c>
      <c r="G289" s="43" t="str">
        <f>IFERROR(Sheet1!M289,0)</f>
        <v>Civitavecchia</v>
      </c>
      <c r="H289" s="43" t="str">
        <f>IFERROR(Sheet1!H289,0)</f>
        <v>FEI Cargo</v>
      </c>
      <c r="I289" s="43" t="str">
        <f>IFERROR(Sheet1!G289,0)</f>
        <v>FOB</v>
      </c>
      <c r="J289" s="43" t="str">
        <f>IFERROR(Sheet1!K289,0)</f>
        <v>MSC</v>
      </c>
      <c r="K289" s="45">
        <f>IFERROR(Sheet1!A289,0)</f>
        <v>45989</v>
      </c>
      <c r="L289" s="45">
        <f>IFERROR(Sheet1!I289,0)</f>
        <v>45989</v>
      </c>
      <c r="M289" s="47" t="str">
        <f>IFERROR(Sheet1!P289,0)</f>
        <v>NA</v>
      </c>
      <c r="N289" s="46">
        <f>IFERROR(IF(ISNUMBER(Sheet1!N289),Sheet1!N289,0),0)</f>
        <v>0</v>
      </c>
      <c r="O289" s="46">
        <f>IFERROR(IF(TRIM(F289)="Nhava Sheva",SUMPRODUCT((UPPER(TRIM('Origin Costs'!$A$5:$A$44))=UPPER(TRIM(J289)))*'Origin Costs'!$C$5:$C$44),IF(TRIM(F289)="ICD Tihi",SUMPRODUCT((UPPER(TRIM('Origin Costs'!$A$49:$A$88))=UPPER(TRIM(J289)))*'Origin Costs'!$C$49:$C$88),IF(TRIM(F289)="ICD Dhannad",SUMPRODUCT((UPPER(TRIM('Origin Costs'!$A$93:$A$132))=UPPER(TRIM(J289)))*'Origin Costs'!$C$93:$C$132),0))),0)</f>
        <v>0</v>
      </c>
      <c r="P289" s="46">
        <f t="shared" si="4"/>
        <v>0</v>
      </c>
      <c r="Q289" s="13" t="str">
        <f>IF(OR(Dashboard!$C$4="All Customers",$E289=Dashboard!$C$4),IF($E289="","",$P289+ROW()/10000000),"")</f>
        <v/>
      </c>
    </row>
    <row r="290" spans="1:17" ht="14.25" customHeight="1" x14ac:dyDescent="0.3">
      <c r="A290" s="39" t="str">
        <f>IFERROR("FY"&amp;TEXT(MOD(IF(MONTH(Sheet1!A290)&gt;=4,YEAR(Sheet1!A290),YEAR(Sheet1!A290)-1),100),"00")&amp;"-"&amp;TEXT(MOD(IF(MONTH(Sheet1!A290)&gt;=4,YEAR(Sheet1!A290),YEAR(Sheet1!A290)-1)+1,100),"00"),"")</f>
        <v>FY25-26</v>
      </c>
      <c r="B290" s="40" t="str">
        <f>IFERROR("Q"&amp;IF(MONTH(Sheet1!A290)&gt;=4,IF(MONTH(Sheet1!A290)&lt;=6,1,IF(MONTH(Sheet1!A290)&lt;=9,2,3)),4),"")</f>
        <v>Q3</v>
      </c>
      <c r="C290" s="39" t="str">
        <f>IFERROR(Sheet1!C290,0)</f>
        <v>Europe</v>
      </c>
      <c r="D290" s="39" t="str">
        <f>IFERROR(Sheet1!F290,0)</f>
        <v>Italy</v>
      </c>
      <c r="E290" s="39" t="str">
        <f>IFERROR(Sheet1!E290,0)</f>
        <v>Fintyre Spa, Italy</v>
      </c>
      <c r="F290" s="39" t="str">
        <f>IFERROR(IF(UPPER(TRIM(Sheet1!J290))="NH","Nhava Sheva",IF(UPPER(TRIM(Sheet1!J290))="ICD","ICD Dhannad",IF(UPPER(TRIM(Sheet1!J290))="TIHI","ICD Tihi",Sheet1!J290))),0)</f>
        <v>ICD Dhannad</v>
      </c>
      <c r="G290" s="39" t="str">
        <f>IFERROR(Sheet1!M290,0)</f>
        <v>Civitavecchia</v>
      </c>
      <c r="H290" s="39" t="str">
        <f>IFERROR(Sheet1!H290,0)</f>
        <v>FEI Cargo</v>
      </c>
      <c r="I290" s="39" t="str">
        <f>IFERROR(Sheet1!G290,0)</f>
        <v>FOB</v>
      </c>
      <c r="J290" s="39" t="str">
        <f>IFERROR(Sheet1!K290,0)</f>
        <v>MSC</v>
      </c>
      <c r="K290" s="41">
        <f>IFERROR(Sheet1!A290,0)</f>
        <v>45989</v>
      </c>
      <c r="L290" s="41">
        <f>IFERROR(Sheet1!I290,0)</f>
        <v>45989</v>
      </c>
      <c r="M290" s="47" t="str">
        <f>IFERROR(Sheet1!P290,0)</f>
        <v>NA</v>
      </c>
      <c r="N290" s="42">
        <f>IFERROR(IF(ISNUMBER(Sheet1!N290),Sheet1!N290,0),0)</f>
        <v>0</v>
      </c>
      <c r="O290" s="42">
        <f>IFERROR(IF(TRIM(F290)="Nhava Sheva",SUMPRODUCT((UPPER(TRIM('Origin Costs'!$A$5:$A$44))=UPPER(TRIM(J290)))*'Origin Costs'!$C$5:$C$44),IF(TRIM(F290)="ICD Tihi",SUMPRODUCT((UPPER(TRIM('Origin Costs'!$A$49:$A$88))=UPPER(TRIM(J290)))*'Origin Costs'!$C$49:$C$88),IF(TRIM(F290)="ICD Dhannad",SUMPRODUCT((UPPER(TRIM('Origin Costs'!$A$93:$A$132))=UPPER(TRIM(J290)))*'Origin Costs'!$C$93:$C$132),0))),0)</f>
        <v>0</v>
      </c>
      <c r="P290" s="42">
        <f t="shared" si="4"/>
        <v>0</v>
      </c>
      <c r="Q290" s="13" t="str">
        <f>IF(OR(Dashboard!$C$4="All Customers",$E290=Dashboard!$C$4),IF($E290="","",$P290+ROW()/10000000),"")</f>
        <v/>
      </c>
    </row>
    <row r="291" spans="1:17" ht="14.25" customHeight="1" x14ac:dyDescent="0.3">
      <c r="A291" s="43" t="str">
        <f>IFERROR("FY"&amp;TEXT(MOD(IF(MONTH(Sheet1!A291)&gt;=4,YEAR(Sheet1!A291),YEAR(Sheet1!A291)-1),100),"00")&amp;"-"&amp;TEXT(MOD(IF(MONTH(Sheet1!A291)&gt;=4,YEAR(Sheet1!A291),YEAR(Sheet1!A291)-1)+1,100),"00"),"")</f>
        <v>FY25-26</v>
      </c>
      <c r="B291" s="44" t="str">
        <f>IFERROR("Q"&amp;IF(MONTH(Sheet1!A291)&gt;=4,IF(MONTH(Sheet1!A291)&lt;=6,1,IF(MONTH(Sheet1!A291)&lt;=9,2,3)),4),"")</f>
        <v>Q3</v>
      </c>
      <c r="C291" s="43" t="str">
        <f>IFERROR(Sheet1!C291,0)</f>
        <v>Europe</v>
      </c>
      <c r="D291" s="43" t="str">
        <f>IFERROR(Sheet1!F291,0)</f>
        <v>Poland</v>
      </c>
      <c r="E291" s="43" t="str">
        <f>IFERROR(Sheet1!E291,0)</f>
        <v>Inter Cars S.A., Poland</v>
      </c>
      <c r="F291" s="43" t="str">
        <f>IFERROR(IF(UPPER(TRIM(Sheet1!J291))="NH","Nhava Sheva",IF(UPPER(TRIM(Sheet1!J291))="ICD","ICD Dhannad",IF(UPPER(TRIM(Sheet1!J291))="TIHI","ICD Tihi",Sheet1!J291))),0)</f>
        <v>Nhava Sheva</v>
      </c>
      <c r="G291" s="43" t="str">
        <f>IFERROR(Sheet1!M291,0)</f>
        <v>Gdnask</v>
      </c>
      <c r="H291" s="43" t="str">
        <f>IFERROR(Sheet1!H291,0)</f>
        <v>FEI Cargo</v>
      </c>
      <c r="I291" s="43" t="str">
        <f>IFERROR(Sheet1!G291,0)</f>
        <v>FOB</v>
      </c>
      <c r="J291" s="43" t="str">
        <f>IFERROR(Sheet1!K291,0)</f>
        <v>Maersk</v>
      </c>
      <c r="K291" s="45">
        <f>IFERROR(Sheet1!A291,0)</f>
        <v>45989</v>
      </c>
      <c r="L291" s="45">
        <f>IFERROR(Sheet1!I291,0)</f>
        <v>45987</v>
      </c>
      <c r="M291" s="47" t="str">
        <f>IFERROR(Sheet1!P291,0)</f>
        <v>NA</v>
      </c>
      <c r="N291" s="46">
        <f>IFERROR(IF(ISNUMBER(Sheet1!N291),Sheet1!N291,0),0)</f>
        <v>0</v>
      </c>
      <c r="O291" s="46">
        <f>IFERROR(IF(TRIM(F291)="Nhava Sheva",SUMPRODUCT((UPPER(TRIM('Origin Costs'!$A$5:$A$44))=UPPER(TRIM(J291)))*'Origin Costs'!$C$5:$C$44),IF(TRIM(F291)="ICD Tihi",SUMPRODUCT((UPPER(TRIM('Origin Costs'!$A$49:$A$88))=UPPER(TRIM(J291)))*'Origin Costs'!$C$49:$C$88),IF(TRIM(F291)="ICD Dhannad",SUMPRODUCT((UPPER(TRIM('Origin Costs'!$A$93:$A$132))=UPPER(TRIM(J291)))*'Origin Costs'!$C$93:$C$132),0))),0)</f>
        <v>1148.588888888889</v>
      </c>
      <c r="P291" s="46">
        <f t="shared" si="4"/>
        <v>1148.588888888889</v>
      </c>
      <c r="Q291" s="13" t="str">
        <f>IF(OR(Dashboard!$C$4="All Customers",$E291=Dashboard!$C$4),IF($E291="","",$P291+ROW()/10000000),"")</f>
        <v/>
      </c>
    </row>
    <row r="292" spans="1:17" ht="14.25" customHeight="1" x14ac:dyDescent="0.3">
      <c r="A292" s="39" t="str">
        <f>IFERROR("FY"&amp;TEXT(MOD(IF(MONTH(Sheet1!A292)&gt;=4,YEAR(Sheet1!A292),YEAR(Sheet1!A292)-1),100),"00")&amp;"-"&amp;TEXT(MOD(IF(MONTH(Sheet1!A292)&gt;=4,YEAR(Sheet1!A292),YEAR(Sheet1!A292)-1)+1,100),"00"),"")</f>
        <v>FY25-26</v>
      </c>
      <c r="B292" s="40" t="str">
        <f>IFERROR("Q"&amp;IF(MONTH(Sheet1!A292)&gt;=4,IF(MONTH(Sheet1!A292)&lt;=6,1,IF(MONTH(Sheet1!A292)&lt;=9,2,3)),4),"")</f>
        <v>Q3</v>
      </c>
      <c r="C292" s="39" t="str">
        <f>IFERROR(Sheet1!C292,0)</f>
        <v>Europe</v>
      </c>
      <c r="D292" s="39" t="str">
        <f>IFERROR(Sheet1!F292,0)</f>
        <v>Poland</v>
      </c>
      <c r="E292" s="39" t="str">
        <f>IFERROR(Sheet1!E292,0)</f>
        <v>Inter Cars S.A., Poland</v>
      </c>
      <c r="F292" s="39" t="str">
        <f>IFERROR(IF(UPPER(TRIM(Sheet1!J292))="NH","Nhava Sheva",IF(UPPER(TRIM(Sheet1!J292))="ICD","ICD Dhannad",IF(UPPER(TRIM(Sheet1!J292))="TIHI","ICD Tihi",Sheet1!J292))),0)</f>
        <v>Nhava Sheva</v>
      </c>
      <c r="G292" s="39" t="str">
        <f>IFERROR(Sheet1!M292,0)</f>
        <v>Gdnask</v>
      </c>
      <c r="H292" s="39" t="str">
        <f>IFERROR(Sheet1!H292,0)</f>
        <v>FEI Cargo</v>
      </c>
      <c r="I292" s="39" t="str">
        <f>IFERROR(Sheet1!G292,0)</f>
        <v>FOB</v>
      </c>
      <c r="J292" s="39" t="str">
        <f>IFERROR(Sheet1!K292,0)</f>
        <v>Maersk</v>
      </c>
      <c r="K292" s="41">
        <f>IFERROR(Sheet1!A292,0)</f>
        <v>45989</v>
      </c>
      <c r="L292" s="41">
        <f>IFERROR(Sheet1!I292,0)</f>
        <v>45987</v>
      </c>
      <c r="M292" s="47" t="str">
        <f>IFERROR(Sheet1!P292,0)</f>
        <v>NA</v>
      </c>
      <c r="N292" s="42">
        <f>IFERROR(IF(ISNUMBER(Sheet1!N292),Sheet1!N292,0),0)</f>
        <v>0</v>
      </c>
      <c r="O292" s="42">
        <f>IFERROR(IF(TRIM(F292)="Nhava Sheva",SUMPRODUCT((UPPER(TRIM('Origin Costs'!$A$5:$A$44))=UPPER(TRIM(J292)))*'Origin Costs'!$C$5:$C$44),IF(TRIM(F292)="ICD Tihi",SUMPRODUCT((UPPER(TRIM('Origin Costs'!$A$49:$A$88))=UPPER(TRIM(J292)))*'Origin Costs'!$C$49:$C$88),IF(TRIM(F292)="ICD Dhannad",SUMPRODUCT((UPPER(TRIM('Origin Costs'!$A$93:$A$132))=UPPER(TRIM(J292)))*'Origin Costs'!$C$93:$C$132),0))),0)</f>
        <v>1148.588888888889</v>
      </c>
      <c r="P292" s="42">
        <f t="shared" si="4"/>
        <v>1148.588888888889</v>
      </c>
      <c r="Q292" s="13" t="str">
        <f>IF(OR(Dashboard!$C$4="All Customers",$E292=Dashboard!$C$4),IF($E292="","",$P292+ROW()/10000000),"")</f>
        <v/>
      </c>
    </row>
    <row r="293" spans="1:17" ht="14.25" customHeight="1" x14ac:dyDescent="0.3">
      <c r="A293" s="43" t="str">
        <f>IFERROR("FY"&amp;TEXT(MOD(IF(MONTH(Sheet1!A293)&gt;=4,YEAR(Sheet1!A293),YEAR(Sheet1!A293)-1),100),"00")&amp;"-"&amp;TEXT(MOD(IF(MONTH(Sheet1!A293)&gt;=4,YEAR(Sheet1!A293),YEAR(Sheet1!A293)-1)+1,100),"00"),"")</f>
        <v>FY25-26</v>
      </c>
      <c r="B293" s="44" t="str">
        <f>IFERROR("Q"&amp;IF(MONTH(Sheet1!A293)&gt;=4,IF(MONTH(Sheet1!A293)&lt;=6,1,IF(MONTH(Sheet1!A293)&lt;=9,2,3)),4),"")</f>
        <v>Q3</v>
      </c>
      <c r="C293" s="43" t="str">
        <f>IFERROR(Sheet1!C293,0)</f>
        <v>Europe</v>
      </c>
      <c r="D293" s="43" t="str">
        <f>IFERROR(Sheet1!F293,0)</f>
        <v>Poland</v>
      </c>
      <c r="E293" s="43" t="str">
        <f>IFERROR(Sheet1!E293,0)</f>
        <v>Inter Cars S.A., Poland</v>
      </c>
      <c r="F293" s="43" t="str">
        <f>IFERROR(IF(UPPER(TRIM(Sheet1!J293))="NH","Nhava Sheva",IF(UPPER(TRIM(Sheet1!J293))="ICD","ICD Dhannad",IF(UPPER(TRIM(Sheet1!J293))="TIHI","ICD Tihi",Sheet1!J293))),0)</f>
        <v>Nhava Sheva</v>
      </c>
      <c r="G293" s="43" t="str">
        <f>IFERROR(Sheet1!M293,0)</f>
        <v>Gdnask</v>
      </c>
      <c r="H293" s="43" t="str">
        <f>IFERROR(Sheet1!H293,0)</f>
        <v>FEI Cargo</v>
      </c>
      <c r="I293" s="43" t="str">
        <f>IFERROR(Sheet1!G293,0)</f>
        <v>FOB</v>
      </c>
      <c r="J293" s="43" t="str">
        <f>IFERROR(Sheet1!K293,0)</f>
        <v>Maersk</v>
      </c>
      <c r="K293" s="45">
        <f>IFERROR(Sheet1!A293,0)</f>
        <v>45989</v>
      </c>
      <c r="L293" s="45">
        <f>IFERROR(Sheet1!I293,0)</f>
        <v>45987</v>
      </c>
      <c r="M293" s="47" t="str">
        <f>IFERROR(Sheet1!P293,0)</f>
        <v>NA</v>
      </c>
      <c r="N293" s="46">
        <f>IFERROR(IF(ISNUMBER(Sheet1!N293),Sheet1!N293,0),0)</f>
        <v>0</v>
      </c>
      <c r="O293" s="46">
        <f>IFERROR(IF(TRIM(F293)="Nhava Sheva",SUMPRODUCT((UPPER(TRIM('Origin Costs'!$A$5:$A$44))=UPPER(TRIM(J293)))*'Origin Costs'!$C$5:$C$44),IF(TRIM(F293)="ICD Tihi",SUMPRODUCT((UPPER(TRIM('Origin Costs'!$A$49:$A$88))=UPPER(TRIM(J293)))*'Origin Costs'!$C$49:$C$88),IF(TRIM(F293)="ICD Dhannad",SUMPRODUCT((UPPER(TRIM('Origin Costs'!$A$93:$A$132))=UPPER(TRIM(J293)))*'Origin Costs'!$C$93:$C$132),0))),0)</f>
        <v>1148.588888888889</v>
      </c>
      <c r="P293" s="46">
        <f t="shared" si="4"/>
        <v>1148.588888888889</v>
      </c>
      <c r="Q293" s="13" t="str">
        <f>IF(OR(Dashboard!$C$4="All Customers",$E293=Dashboard!$C$4),IF($E293="","",$P293+ROW()/10000000),"")</f>
        <v/>
      </c>
    </row>
    <row r="294" spans="1:17" ht="14.25" customHeight="1" x14ac:dyDescent="0.3">
      <c r="A294" s="39" t="str">
        <f>IFERROR("FY"&amp;TEXT(MOD(IF(MONTH(Sheet1!A294)&gt;=4,YEAR(Sheet1!A294),YEAR(Sheet1!A294)-1),100),"00")&amp;"-"&amp;TEXT(MOD(IF(MONTH(Sheet1!A294)&gt;=4,YEAR(Sheet1!A294),YEAR(Sheet1!A294)-1)+1,100),"00"),"")</f>
        <v>FY25-26</v>
      </c>
      <c r="B294" s="40" t="str">
        <f>IFERROR("Q"&amp;IF(MONTH(Sheet1!A294)&gt;=4,IF(MONTH(Sheet1!A294)&lt;=6,1,IF(MONTH(Sheet1!A294)&lt;=9,2,3)),4),"")</f>
        <v>Q3</v>
      </c>
      <c r="C294" s="39" t="str">
        <f>IFERROR(Sheet1!C294,0)</f>
        <v>Europe</v>
      </c>
      <c r="D294" s="39" t="str">
        <f>IFERROR(Sheet1!F294,0)</f>
        <v>Poland</v>
      </c>
      <c r="E294" s="39" t="str">
        <f>IFERROR(Sheet1!E294,0)</f>
        <v>Inter Cars S.A., Poland</v>
      </c>
      <c r="F294" s="39" t="str">
        <f>IFERROR(IF(UPPER(TRIM(Sheet1!J294))="NH","Nhava Sheva",IF(UPPER(TRIM(Sheet1!J294))="ICD","ICD Dhannad",IF(UPPER(TRIM(Sheet1!J294))="TIHI","ICD Tihi",Sheet1!J294))),0)</f>
        <v>Nhava Sheva</v>
      </c>
      <c r="G294" s="39" t="str">
        <f>IFERROR(Sheet1!M294,0)</f>
        <v>Gdnask</v>
      </c>
      <c r="H294" s="39" t="str">
        <f>IFERROR(Sheet1!H294,0)</f>
        <v>FEI Cargo</v>
      </c>
      <c r="I294" s="39" t="str">
        <f>IFERROR(Sheet1!G294,0)</f>
        <v>FOB</v>
      </c>
      <c r="J294" s="39" t="str">
        <f>IFERROR(Sheet1!K294,0)</f>
        <v>Maersk</v>
      </c>
      <c r="K294" s="41">
        <f>IFERROR(Sheet1!A294,0)</f>
        <v>45989</v>
      </c>
      <c r="L294" s="41">
        <f>IFERROR(Sheet1!I294,0)</f>
        <v>45987</v>
      </c>
      <c r="M294" s="47" t="str">
        <f>IFERROR(Sheet1!P294,0)</f>
        <v>NA</v>
      </c>
      <c r="N294" s="42">
        <f>IFERROR(IF(ISNUMBER(Sheet1!N294),Sheet1!N294,0),0)</f>
        <v>0</v>
      </c>
      <c r="O294" s="42">
        <f>IFERROR(IF(TRIM(F294)="Nhava Sheva",SUMPRODUCT((UPPER(TRIM('Origin Costs'!$A$5:$A$44))=UPPER(TRIM(J294)))*'Origin Costs'!$C$5:$C$44),IF(TRIM(F294)="ICD Tihi",SUMPRODUCT((UPPER(TRIM('Origin Costs'!$A$49:$A$88))=UPPER(TRIM(J294)))*'Origin Costs'!$C$49:$C$88),IF(TRIM(F294)="ICD Dhannad",SUMPRODUCT((UPPER(TRIM('Origin Costs'!$A$93:$A$132))=UPPER(TRIM(J294)))*'Origin Costs'!$C$93:$C$132),0))),0)</f>
        <v>1148.588888888889</v>
      </c>
      <c r="P294" s="42">
        <f t="shared" si="4"/>
        <v>1148.588888888889</v>
      </c>
      <c r="Q294" s="13" t="str">
        <f>IF(OR(Dashboard!$C$4="All Customers",$E294=Dashboard!$C$4),IF($E294="","",$P294+ROW()/10000000),"")</f>
        <v/>
      </c>
    </row>
    <row r="295" spans="1:17" ht="14.25" customHeight="1" x14ac:dyDescent="0.3">
      <c r="A295" s="43" t="str">
        <f>IFERROR("FY"&amp;TEXT(MOD(IF(MONTH(Sheet1!A295)&gt;=4,YEAR(Sheet1!A295),YEAR(Sheet1!A295)-1),100),"00")&amp;"-"&amp;TEXT(MOD(IF(MONTH(Sheet1!A295)&gt;=4,YEAR(Sheet1!A295),YEAR(Sheet1!A295)-1)+1,100),"00"),"")</f>
        <v>FY25-26</v>
      </c>
      <c r="B295" s="44" t="str">
        <f>IFERROR("Q"&amp;IF(MONTH(Sheet1!A295)&gt;=4,IF(MONTH(Sheet1!A295)&lt;=6,1,IF(MONTH(Sheet1!A295)&lt;=9,2,3)),4),"")</f>
        <v>Q3</v>
      </c>
      <c r="C295" s="43" t="str">
        <f>IFERROR(Sheet1!C295,0)</f>
        <v>Europe</v>
      </c>
      <c r="D295" s="43" t="str">
        <f>IFERROR(Sheet1!F295,0)</f>
        <v>Italy</v>
      </c>
      <c r="E295" s="43" t="str">
        <f>IFERROR(Sheet1!E295,0)</f>
        <v>Fintyre Spa, Italy</v>
      </c>
      <c r="F295" s="43" t="str">
        <f>IFERROR(IF(UPPER(TRIM(Sheet1!J295))="NH","Nhava Sheva",IF(UPPER(TRIM(Sheet1!J295))="ICD","ICD Dhannad",IF(UPPER(TRIM(Sheet1!J295))="TIHI","ICD Tihi",Sheet1!J295))),0)</f>
        <v>Nhava Sheva</v>
      </c>
      <c r="G295" s="43" t="str">
        <f>IFERROR(Sheet1!M295,0)</f>
        <v>Genoa</v>
      </c>
      <c r="H295" s="43" t="str">
        <f>IFERROR(Sheet1!H295,0)</f>
        <v>FEI Cargo</v>
      </c>
      <c r="I295" s="43" t="str">
        <f>IFERROR(Sheet1!G295,0)</f>
        <v>FOB</v>
      </c>
      <c r="J295" s="43" t="str">
        <f>IFERROR(Sheet1!K295,0)</f>
        <v>Hapag</v>
      </c>
      <c r="K295" s="45">
        <f>IFERROR(Sheet1!A295,0)</f>
        <v>45990</v>
      </c>
      <c r="L295" s="45">
        <f>IFERROR(Sheet1!I295,0)</f>
        <v>45989</v>
      </c>
      <c r="M295" s="47" t="str">
        <f>IFERROR(Sheet1!P295,0)</f>
        <v>NA</v>
      </c>
      <c r="N295" s="46">
        <f>IFERROR(IF(ISNUMBER(Sheet1!N295),Sheet1!N295,0),0)</f>
        <v>0</v>
      </c>
      <c r="O295" s="46">
        <f>IFERROR(IF(TRIM(F295)="Nhava Sheva",SUMPRODUCT((UPPER(TRIM('Origin Costs'!$A$5:$A$44))=UPPER(TRIM(J295)))*'Origin Costs'!$C$5:$C$44),IF(TRIM(F295)="ICD Tihi",SUMPRODUCT((UPPER(TRIM('Origin Costs'!$A$49:$A$88))=UPPER(TRIM(J295)))*'Origin Costs'!$C$49:$C$88),IF(TRIM(F295)="ICD Dhannad",SUMPRODUCT((UPPER(TRIM('Origin Costs'!$A$93:$A$132))=UPPER(TRIM(J295)))*'Origin Costs'!$C$93:$C$132),0))),0)</f>
        <v>1192.9777777777779</v>
      </c>
      <c r="P295" s="46">
        <f t="shared" si="4"/>
        <v>1192.9777777777779</v>
      </c>
      <c r="Q295" s="13" t="str">
        <f>IF(OR(Dashboard!$C$4="All Customers",$E295=Dashboard!$C$4),IF($E295="","",$P295+ROW()/10000000),"")</f>
        <v/>
      </c>
    </row>
    <row r="296" spans="1:17" ht="14.25" customHeight="1" x14ac:dyDescent="0.3">
      <c r="A296" s="39" t="str">
        <f>IFERROR("FY"&amp;TEXT(MOD(IF(MONTH(Sheet1!A296)&gt;=4,YEAR(Sheet1!A296),YEAR(Sheet1!A296)-1),100),"00")&amp;"-"&amp;TEXT(MOD(IF(MONTH(Sheet1!A296)&gt;=4,YEAR(Sheet1!A296),YEAR(Sheet1!A296)-1)+1,100),"00"),"")</f>
        <v>FY25-26</v>
      </c>
      <c r="B296" s="40" t="str">
        <f>IFERROR("Q"&amp;IF(MONTH(Sheet1!A296)&gt;=4,IF(MONTH(Sheet1!A296)&lt;=6,1,IF(MONTH(Sheet1!A296)&lt;=9,2,3)),4),"")</f>
        <v>Q3</v>
      </c>
      <c r="C296" s="39" t="str">
        <f>IFERROR(Sheet1!C296,0)</f>
        <v>Europe</v>
      </c>
      <c r="D296" s="39" t="str">
        <f>IFERROR(Sheet1!F296,0)</f>
        <v>Italy</v>
      </c>
      <c r="E296" s="39" t="str">
        <f>IFERROR(Sheet1!E296,0)</f>
        <v>Fintyre Spa, Italy</v>
      </c>
      <c r="F296" s="39" t="str">
        <f>IFERROR(IF(UPPER(TRIM(Sheet1!J296))="NH","Nhava Sheva",IF(UPPER(TRIM(Sheet1!J296))="ICD","ICD Dhannad",IF(UPPER(TRIM(Sheet1!J296))="TIHI","ICD Tihi",Sheet1!J296))),0)</f>
        <v>Nhava Sheva</v>
      </c>
      <c r="G296" s="39" t="str">
        <f>IFERROR(Sheet1!M296,0)</f>
        <v>Genoa</v>
      </c>
      <c r="H296" s="39" t="str">
        <f>IFERROR(Sheet1!H296,0)</f>
        <v>FEI Cargo</v>
      </c>
      <c r="I296" s="39" t="str">
        <f>IFERROR(Sheet1!G296,0)</f>
        <v>FOB</v>
      </c>
      <c r="J296" s="39" t="str">
        <f>IFERROR(Sheet1!K296,0)</f>
        <v>Hapag</v>
      </c>
      <c r="K296" s="41">
        <f>IFERROR(Sheet1!A296,0)</f>
        <v>45990</v>
      </c>
      <c r="L296" s="41">
        <f>IFERROR(Sheet1!I296,0)</f>
        <v>45989</v>
      </c>
      <c r="M296" s="47" t="str">
        <f>IFERROR(Sheet1!P296,0)</f>
        <v>NA</v>
      </c>
      <c r="N296" s="42">
        <f>IFERROR(IF(ISNUMBER(Sheet1!N296),Sheet1!N296,0),0)</f>
        <v>0</v>
      </c>
      <c r="O296" s="42">
        <f>IFERROR(IF(TRIM(F296)="Nhava Sheva",SUMPRODUCT((UPPER(TRIM('Origin Costs'!$A$5:$A$44))=UPPER(TRIM(J296)))*'Origin Costs'!$C$5:$C$44),IF(TRIM(F296)="ICD Tihi",SUMPRODUCT((UPPER(TRIM('Origin Costs'!$A$49:$A$88))=UPPER(TRIM(J296)))*'Origin Costs'!$C$49:$C$88),IF(TRIM(F296)="ICD Dhannad",SUMPRODUCT((UPPER(TRIM('Origin Costs'!$A$93:$A$132))=UPPER(TRIM(J296)))*'Origin Costs'!$C$93:$C$132),0))),0)</f>
        <v>1192.9777777777779</v>
      </c>
      <c r="P296" s="42">
        <f t="shared" si="4"/>
        <v>1192.9777777777779</v>
      </c>
      <c r="Q296" s="13" t="str">
        <f>IF(OR(Dashboard!$C$4="All Customers",$E296=Dashboard!$C$4),IF($E296="","",$P296+ROW()/10000000),"")</f>
        <v/>
      </c>
    </row>
    <row r="297" spans="1:17" ht="14.25" customHeight="1" x14ac:dyDescent="0.3">
      <c r="A297" s="43" t="str">
        <f>IFERROR("FY"&amp;TEXT(MOD(IF(MONTH(Sheet1!A297)&gt;=4,YEAR(Sheet1!A297),YEAR(Sheet1!A297)-1),100),"00")&amp;"-"&amp;TEXT(MOD(IF(MONTH(Sheet1!A297)&gt;=4,YEAR(Sheet1!A297),YEAR(Sheet1!A297)-1)+1,100),"00"),"")</f>
        <v>FY25-26</v>
      </c>
      <c r="B297" s="44" t="str">
        <f>IFERROR("Q"&amp;IF(MONTH(Sheet1!A297)&gt;=4,IF(MONTH(Sheet1!A297)&lt;=6,1,IF(MONTH(Sheet1!A297)&lt;=9,2,3)),4),"")</f>
        <v>Q3</v>
      </c>
      <c r="C297" s="43" t="str">
        <f>IFERROR(Sheet1!C297,0)</f>
        <v>Europe</v>
      </c>
      <c r="D297" s="43" t="str">
        <f>IFERROR(Sheet1!F297,0)</f>
        <v>Italy</v>
      </c>
      <c r="E297" s="43" t="str">
        <f>IFERROR(Sheet1!E297,0)</f>
        <v>Fintyre Spa, Italy</v>
      </c>
      <c r="F297" s="43" t="str">
        <f>IFERROR(IF(UPPER(TRIM(Sheet1!J297))="NH","Nhava Sheva",IF(UPPER(TRIM(Sheet1!J297))="ICD","ICD Dhannad",IF(UPPER(TRIM(Sheet1!J297))="TIHI","ICD Tihi",Sheet1!J297))),0)</f>
        <v>Nhava Sheva</v>
      </c>
      <c r="G297" s="43" t="str">
        <f>IFERROR(Sheet1!M297,0)</f>
        <v>Genoa</v>
      </c>
      <c r="H297" s="43" t="str">
        <f>IFERROR(Sheet1!H297,0)</f>
        <v>FEI Cargo</v>
      </c>
      <c r="I297" s="43" t="str">
        <f>IFERROR(Sheet1!G297,0)</f>
        <v>FOB</v>
      </c>
      <c r="J297" s="43" t="str">
        <f>IFERROR(Sheet1!K297,0)</f>
        <v>Hapag</v>
      </c>
      <c r="K297" s="45">
        <f>IFERROR(Sheet1!A297,0)</f>
        <v>45990</v>
      </c>
      <c r="L297" s="45">
        <f>IFERROR(Sheet1!I297,0)</f>
        <v>45989</v>
      </c>
      <c r="M297" s="47" t="str">
        <f>IFERROR(Sheet1!P297,0)</f>
        <v>NA</v>
      </c>
      <c r="N297" s="46">
        <f>IFERROR(IF(ISNUMBER(Sheet1!N297),Sheet1!N297,0),0)</f>
        <v>0</v>
      </c>
      <c r="O297" s="46">
        <f>IFERROR(IF(TRIM(F297)="Nhava Sheva",SUMPRODUCT((UPPER(TRIM('Origin Costs'!$A$5:$A$44))=UPPER(TRIM(J297)))*'Origin Costs'!$C$5:$C$44),IF(TRIM(F297)="ICD Tihi",SUMPRODUCT((UPPER(TRIM('Origin Costs'!$A$49:$A$88))=UPPER(TRIM(J297)))*'Origin Costs'!$C$49:$C$88),IF(TRIM(F297)="ICD Dhannad",SUMPRODUCT((UPPER(TRIM('Origin Costs'!$A$93:$A$132))=UPPER(TRIM(J297)))*'Origin Costs'!$C$93:$C$132),0))),0)</f>
        <v>1192.9777777777779</v>
      </c>
      <c r="P297" s="46">
        <f t="shared" si="4"/>
        <v>1192.9777777777779</v>
      </c>
      <c r="Q297" s="13" t="str">
        <f>IF(OR(Dashboard!$C$4="All Customers",$E297=Dashboard!$C$4),IF($E297="","",$P297+ROW()/10000000),"")</f>
        <v/>
      </c>
    </row>
    <row r="298" spans="1:17" ht="14.25" customHeight="1" x14ac:dyDescent="0.3">
      <c r="A298" s="39" t="str">
        <f>IFERROR("FY"&amp;TEXT(MOD(IF(MONTH(Sheet1!A298)&gt;=4,YEAR(Sheet1!A298),YEAR(Sheet1!A298)-1),100),"00")&amp;"-"&amp;TEXT(MOD(IF(MONTH(Sheet1!A298)&gt;=4,YEAR(Sheet1!A298),YEAR(Sheet1!A298)-1)+1,100),"00"),"")</f>
        <v>FY25-26</v>
      </c>
      <c r="B298" s="40" t="str">
        <f>IFERROR("Q"&amp;IF(MONTH(Sheet1!A298)&gt;=4,IF(MONTH(Sheet1!A298)&lt;=6,1,IF(MONTH(Sheet1!A298)&lt;=9,2,3)),4),"")</f>
        <v>Q3</v>
      </c>
      <c r="C298" s="39" t="str">
        <f>IFERROR(Sheet1!C298,0)</f>
        <v>S.A</v>
      </c>
      <c r="D298" s="39" t="str">
        <f>IFERROR(Sheet1!F298,0)</f>
        <v>Brazil</v>
      </c>
      <c r="E298" s="39" t="str">
        <f>IFERROR(Sheet1!E298,0)</f>
        <v>Unus Holding Ltda., Brazil</v>
      </c>
      <c r="F298" s="39" t="str">
        <f>IFERROR(IF(UPPER(TRIM(Sheet1!J298))="NH","Nhava Sheva",IF(UPPER(TRIM(Sheet1!J298))="ICD","ICD Dhannad",IF(UPPER(TRIM(Sheet1!J298))="TIHI","ICD Tihi",Sheet1!J298))),0)</f>
        <v>ICD Dhannad</v>
      </c>
      <c r="G298" s="39" t="str">
        <f>IFERROR(Sheet1!M298,0)</f>
        <v>Paranagua</v>
      </c>
      <c r="H298" s="39" t="str">
        <f>IFERROR(Sheet1!H298,0)</f>
        <v>Hind Freight</v>
      </c>
      <c r="I298" s="39" t="str">
        <f>IFERROR(Sheet1!G298,0)</f>
        <v>FOB</v>
      </c>
      <c r="J298" s="39" t="str">
        <f>IFERROR(Sheet1!K298,0)</f>
        <v>CMA</v>
      </c>
      <c r="K298" s="41">
        <f>IFERROR(Sheet1!A298,0)</f>
        <v>45990</v>
      </c>
      <c r="L298" s="41">
        <f>IFERROR(Sheet1!I298,0)</f>
        <v>45990</v>
      </c>
      <c r="M298" s="47" t="str">
        <f>IFERROR(Sheet1!P298,0)</f>
        <v>NA</v>
      </c>
      <c r="N298" s="42">
        <f>IFERROR(IF(ISNUMBER(Sheet1!N298),Sheet1!N298,0),0)</f>
        <v>0</v>
      </c>
      <c r="O298" s="42">
        <f>IFERROR(IF(TRIM(F298)="Nhava Sheva",SUMPRODUCT((UPPER(TRIM('Origin Costs'!$A$5:$A$44))=UPPER(TRIM(J298)))*'Origin Costs'!$C$5:$C$44),IF(TRIM(F298)="ICD Tihi",SUMPRODUCT((UPPER(TRIM('Origin Costs'!$A$49:$A$88))=UPPER(TRIM(J298)))*'Origin Costs'!$C$49:$C$88),IF(TRIM(F298)="ICD Dhannad",SUMPRODUCT((UPPER(TRIM('Origin Costs'!$A$93:$A$132))=UPPER(TRIM(J298)))*'Origin Costs'!$C$93:$C$132),0))),0)</f>
        <v>0</v>
      </c>
      <c r="P298" s="42">
        <f t="shared" si="4"/>
        <v>0</v>
      </c>
      <c r="Q298" s="13" t="str">
        <f>IF(OR(Dashboard!$C$4="All Customers",$E298=Dashboard!$C$4),IF($E298="","",$P298+ROW()/10000000),"")</f>
        <v/>
      </c>
    </row>
    <row r="299" spans="1:17" ht="14.25" customHeight="1" x14ac:dyDescent="0.3">
      <c r="A299" s="43" t="str">
        <f>IFERROR("FY"&amp;TEXT(MOD(IF(MONTH(Sheet1!A299)&gt;=4,YEAR(Sheet1!A299),YEAR(Sheet1!A299)-1),100),"00")&amp;"-"&amp;TEXT(MOD(IF(MONTH(Sheet1!A299)&gt;=4,YEAR(Sheet1!A299),YEAR(Sheet1!A299)-1)+1,100),"00"),"")</f>
        <v>FY25-26</v>
      </c>
      <c r="B299" s="44" t="str">
        <f>IFERROR("Q"&amp;IF(MONTH(Sheet1!A299)&gt;=4,IF(MONTH(Sheet1!A299)&lt;=6,1,IF(MONTH(Sheet1!A299)&lt;=9,2,3)),4),"")</f>
        <v>Q3</v>
      </c>
      <c r="C299" s="43" t="str">
        <f>IFERROR(Sheet1!C299,0)</f>
        <v>S.A</v>
      </c>
      <c r="D299" s="43" t="str">
        <f>IFERROR(Sheet1!F299,0)</f>
        <v>Brazil</v>
      </c>
      <c r="E299" s="43" t="str">
        <f>IFERROR(Sheet1!E299,0)</f>
        <v>Unus Holding Ltda., Brazil</v>
      </c>
      <c r="F299" s="43" t="str">
        <f>IFERROR(IF(UPPER(TRIM(Sheet1!J299))="NH","Nhava Sheva",IF(UPPER(TRIM(Sheet1!J299))="ICD","ICD Dhannad",IF(UPPER(TRIM(Sheet1!J299))="TIHI","ICD Tihi",Sheet1!J299))),0)</f>
        <v>ICD Dhannad</v>
      </c>
      <c r="G299" s="43" t="str">
        <f>IFERROR(Sheet1!M299,0)</f>
        <v>Paranagua</v>
      </c>
      <c r="H299" s="43" t="str">
        <f>IFERROR(Sheet1!H299,0)</f>
        <v>Hind Freight</v>
      </c>
      <c r="I299" s="43" t="str">
        <f>IFERROR(Sheet1!G299,0)</f>
        <v>FOB</v>
      </c>
      <c r="J299" s="43" t="str">
        <f>IFERROR(Sheet1!K299,0)</f>
        <v>CMA</v>
      </c>
      <c r="K299" s="45">
        <f>IFERROR(Sheet1!A299,0)</f>
        <v>45990</v>
      </c>
      <c r="L299" s="45">
        <f>IFERROR(Sheet1!I299,0)</f>
        <v>45990</v>
      </c>
      <c r="M299" s="47" t="str">
        <f>IFERROR(Sheet1!P299,0)</f>
        <v>NA</v>
      </c>
      <c r="N299" s="46">
        <f>IFERROR(IF(ISNUMBER(Sheet1!N299),Sheet1!N299,0),0)</f>
        <v>0</v>
      </c>
      <c r="O299" s="46">
        <f>IFERROR(IF(TRIM(F299)="Nhava Sheva",SUMPRODUCT((UPPER(TRIM('Origin Costs'!$A$5:$A$44))=UPPER(TRIM(J299)))*'Origin Costs'!$C$5:$C$44),IF(TRIM(F299)="ICD Tihi",SUMPRODUCT((UPPER(TRIM('Origin Costs'!$A$49:$A$88))=UPPER(TRIM(J299)))*'Origin Costs'!$C$49:$C$88),IF(TRIM(F299)="ICD Dhannad",SUMPRODUCT((UPPER(TRIM('Origin Costs'!$A$93:$A$132))=UPPER(TRIM(J299)))*'Origin Costs'!$C$93:$C$132),0))),0)</f>
        <v>0</v>
      </c>
      <c r="P299" s="46">
        <f t="shared" si="4"/>
        <v>0</v>
      </c>
      <c r="Q299" s="13" t="str">
        <f>IF(OR(Dashboard!$C$4="All Customers",$E299=Dashboard!$C$4),IF($E299="","",$P299+ROW()/10000000),"")</f>
        <v/>
      </c>
    </row>
    <row r="300" spans="1:17" ht="14.25" customHeight="1" x14ac:dyDescent="0.3">
      <c r="A300" s="39" t="str">
        <f>IFERROR("FY"&amp;TEXT(MOD(IF(MONTH(Sheet1!A300)&gt;=4,YEAR(Sheet1!A300),YEAR(Sheet1!A300)-1),100),"00")&amp;"-"&amp;TEXT(MOD(IF(MONTH(Sheet1!A300)&gt;=4,YEAR(Sheet1!A300),YEAR(Sheet1!A300)-1)+1,100),"00"),"")</f>
        <v>FY25-26</v>
      </c>
      <c r="B300" s="40" t="str">
        <f>IFERROR("Q"&amp;IF(MONTH(Sheet1!A300)&gt;=4,IF(MONTH(Sheet1!A300)&lt;=6,1,IF(MONTH(Sheet1!A300)&lt;=9,2,3)),4),"")</f>
        <v>Q3</v>
      </c>
      <c r="C300" s="39" t="str">
        <f>IFERROR(Sheet1!C300,0)</f>
        <v>S.A</v>
      </c>
      <c r="D300" s="39" t="str">
        <f>IFERROR(Sheet1!F300,0)</f>
        <v>Brazil</v>
      </c>
      <c r="E300" s="39" t="str">
        <f>IFERROR(Sheet1!E300,0)</f>
        <v>Unus Holding Ltda., Brazil</v>
      </c>
      <c r="F300" s="39" t="str">
        <f>IFERROR(IF(UPPER(TRIM(Sheet1!J300))="NH","Nhava Sheva",IF(UPPER(TRIM(Sheet1!J300))="ICD","ICD Dhannad",IF(UPPER(TRIM(Sheet1!J300))="TIHI","ICD Tihi",Sheet1!J300))),0)</f>
        <v>ICD Dhannad</v>
      </c>
      <c r="G300" s="39" t="str">
        <f>IFERROR(Sheet1!M300,0)</f>
        <v>Paranagua</v>
      </c>
      <c r="H300" s="39" t="str">
        <f>IFERROR(Sheet1!H300,0)</f>
        <v>Hind Freight</v>
      </c>
      <c r="I300" s="39" t="str">
        <f>IFERROR(Sheet1!G300,0)</f>
        <v>FOB</v>
      </c>
      <c r="J300" s="39" t="str">
        <f>IFERROR(Sheet1!K300,0)</f>
        <v>CMA</v>
      </c>
      <c r="K300" s="41">
        <f>IFERROR(Sheet1!A300,0)</f>
        <v>45990</v>
      </c>
      <c r="L300" s="41">
        <f>IFERROR(Sheet1!I300,0)</f>
        <v>45990</v>
      </c>
      <c r="M300" s="47" t="str">
        <f>IFERROR(Sheet1!P300,0)</f>
        <v>NA</v>
      </c>
      <c r="N300" s="42">
        <f>IFERROR(IF(ISNUMBER(Sheet1!N300),Sheet1!N300,0),0)</f>
        <v>0</v>
      </c>
      <c r="O300" s="42">
        <f>IFERROR(IF(TRIM(F300)="Nhava Sheva",SUMPRODUCT((UPPER(TRIM('Origin Costs'!$A$5:$A$44))=UPPER(TRIM(J300)))*'Origin Costs'!$C$5:$C$44),IF(TRIM(F300)="ICD Tihi",SUMPRODUCT((UPPER(TRIM('Origin Costs'!$A$49:$A$88))=UPPER(TRIM(J300)))*'Origin Costs'!$C$49:$C$88),IF(TRIM(F300)="ICD Dhannad",SUMPRODUCT((UPPER(TRIM('Origin Costs'!$A$93:$A$132))=UPPER(TRIM(J300)))*'Origin Costs'!$C$93:$C$132),0))),0)</f>
        <v>0</v>
      </c>
      <c r="P300" s="42">
        <f t="shared" si="4"/>
        <v>0</v>
      </c>
      <c r="Q300" s="13" t="str">
        <f>IF(OR(Dashboard!$C$4="All Customers",$E300=Dashboard!$C$4),IF($E300="","",$P300+ROW()/10000000),"")</f>
        <v/>
      </c>
    </row>
    <row r="301" spans="1:17" ht="14.25" customHeight="1" x14ac:dyDescent="0.3">
      <c r="A301" s="43" t="str">
        <f>IFERROR("FY"&amp;TEXT(MOD(IF(MONTH(Sheet1!A301)&gt;=4,YEAR(Sheet1!A301),YEAR(Sheet1!A301)-1),100),"00")&amp;"-"&amp;TEXT(MOD(IF(MONTH(Sheet1!A301)&gt;=4,YEAR(Sheet1!A301),YEAR(Sheet1!A301)-1)+1,100),"00"),"")</f>
        <v>FY25-26</v>
      </c>
      <c r="B301" s="44" t="str">
        <f>IFERROR("Q"&amp;IF(MONTH(Sheet1!A301)&gt;=4,IF(MONTH(Sheet1!A301)&lt;=6,1,IF(MONTH(Sheet1!A301)&lt;=9,2,3)),4),"")</f>
        <v>Q3</v>
      </c>
      <c r="C301" s="43" t="str">
        <f>IFERROR(Sheet1!C301,0)</f>
        <v>Europe</v>
      </c>
      <c r="D301" s="43" t="str">
        <f>IFERROR(Sheet1!F301,0)</f>
        <v>France</v>
      </c>
      <c r="E301" s="43" t="str">
        <f>IFERROR(Sheet1!E301,0)</f>
        <v>Copadex, France</v>
      </c>
      <c r="F301" s="43" t="str">
        <f>IFERROR(IF(UPPER(TRIM(Sheet1!J301))="NH","Nhava Sheva",IF(UPPER(TRIM(Sheet1!J301))="ICD","ICD Dhannad",IF(UPPER(TRIM(Sheet1!J301))="TIHI","ICD Tihi",Sheet1!J301))),0)</f>
        <v>Nhava Sheva</v>
      </c>
      <c r="G301" s="43" t="str">
        <f>IFERROR(Sheet1!M301,0)</f>
        <v>LE HAVRE</v>
      </c>
      <c r="H301" s="43" t="str">
        <f>IFERROR(Sheet1!H301,0)</f>
        <v>Jeena &amp; Company</v>
      </c>
      <c r="I301" s="43" t="str">
        <f>IFERROR(Sheet1!G301,0)</f>
        <v>FOB</v>
      </c>
      <c r="J301" s="43" t="str">
        <f>IFERROR(Sheet1!K301,0)</f>
        <v>CMA</v>
      </c>
      <c r="K301" s="45">
        <f>IFERROR(Sheet1!A301,0)</f>
        <v>45990</v>
      </c>
      <c r="L301" s="45">
        <f>IFERROR(Sheet1!I301,0)</f>
        <v>45987</v>
      </c>
      <c r="M301" s="47" t="str">
        <f>IFERROR(Sheet1!P301,0)</f>
        <v>NA</v>
      </c>
      <c r="N301" s="46">
        <f>IFERROR(IF(ISNUMBER(Sheet1!N301),Sheet1!N301,0),0)</f>
        <v>0</v>
      </c>
      <c r="O301" s="46">
        <f>IFERROR(IF(TRIM(F301)="Nhava Sheva",SUMPRODUCT((UPPER(TRIM('Origin Costs'!$A$5:$A$44))=UPPER(TRIM(J301)))*'Origin Costs'!$C$5:$C$44),IF(TRIM(F301)="ICD Tihi",SUMPRODUCT((UPPER(TRIM('Origin Costs'!$A$49:$A$88))=UPPER(TRIM(J301)))*'Origin Costs'!$C$49:$C$88),IF(TRIM(F301)="ICD Dhannad",SUMPRODUCT((UPPER(TRIM('Origin Costs'!$A$93:$A$132))=UPPER(TRIM(J301)))*'Origin Costs'!$C$93:$C$132),0))),0)</f>
        <v>0</v>
      </c>
      <c r="P301" s="46">
        <f t="shared" si="4"/>
        <v>0</v>
      </c>
      <c r="Q301" s="13" t="str">
        <f>IF(OR(Dashboard!$C$4="All Customers",$E301=Dashboard!$C$4),IF($E301="","",$P301+ROW()/10000000),"")</f>
        <v/>
      </c>
    </row>
    <row r="302" spans="1:17" ht="14.25" customHeight="1" x14ac:dyDescent="0.3">
      <c r="A302" s="39" t="str">
        <f>IFERROR("FY"&amp;TEXT(MOD(IF(MONTH(Sheet1!A302)&gt;=4,YEAR(Sheet1!A302),YEAR(Sheet1!A302)-1),100),"00")&amp;"-"&amp;TEXT(MOD(IF(MONTH(Sheet1!A302)&gt;=4,YEAR(Sheet1!A302),YEAR(Sheet1!A302)-1)+1,100),"00"),"")</f>
        <v>FY25-26</v>
      </c>
      <c r="B302" s="40" t="str">
        <f>IFERROR("Q"&amp;IF(MONTH(Sheet1!A302)&gt;=4,IF(MONTH(Sheet1!A302)&lt;=6,1,IF(MONTH(Sheet1!A302)&lt;=9,2,3)),4),"")</f>
        <v>Q3</v>
      </c>
      <c r="C302" s="39" t="str">
        <f>IFERROR(Sheet1!C302,0)</f>
        <v>Europe</v>
      </c>
      <c r="D302" s="39" t="str">
        <f>IFERROR(Sheet1!F302,0)</f>
        <v>France</v>
      </c>
      <c r="E302" s="39" t="str">
        <f>IFERROR(Sheet1!E302,0)</f>
        <v>Copadex, France</v>
      </c>
      <c r="F302" s="39" t="str">
        <f>IFERROR(IF(UPPER(TRIM(Sheet1!J302))="NH","Nhava Sheva",IF(UPPER(TRIM(Sheet1!J302))="ICD","ICD Dhannad",IF(UPPER(TRIM(Sheet1!J302))="TIHI","ICD Tihi",Sheet1!J302))),0)</f>
        <v>Nhava Sheva</v>
      </c>
      <c r="G302" s="39" t="str">
        <f>IFERROR(Sheet1!M302,0)</f>
        <v>LE HAVRE</v>
      </c>
      <c r="H302" s="39" t="str">
        <f>IFERROR(Sheet1!H302,0)</f>
        <v>Jeena &amp; Company</v>
      </c>
      <c r="I302" s="39" t="str">
        <f>IFERROR(Sheet1!G302,0)</f>
        <v>FOB</v>
      </c>
      <c r="J302" s="39" t="str">
        <f>IFERROR(Sheet1!K302,0)</f>
        <v>CMA</v>
      </c>
      <c r="K302" s="41">
        <f>IFERROR(Sheet1!A302,0)</f>
        <v>45990</v>
      </c>
      <c r="L302" s="41">
        <f>IFERROR(Sheet1!I302,0)</f>
        <v>45987</v>
      </c>
      <c r="M302" s="47" t="str">
        <f>IFERROR(Sheet1!P302,0)</f>
        <v>NA</v>
      </c>
      <c r="N302" s="42">
        <f>IFERROR(IF(ISNUMBER(Sheet1!N302),Sheet1!N302,0),0)</f>
        <v>0</v>
      </c>
      <c r="O302" s="42">
        <f>IFERROR(IF(TRIM(F302)="Nhava Sheva",SUMPRODUCT((UPPER(TRIM('Origin Costs'!$A$5:$A$44))=UPPER(TRIM(J302)))*'Origin Costs'!$C$5:$C$44),IF(TRIM(F302)="ICD Tihi",SUMPRODUCT((UPPER(TRIM('Origin Costs'!$A$49:$A$88))=UPPER(TRIM(J302)))*'Origin Costs'!$C$49:$C$88),IF(TRIM(F302)="ICD Dhannad",SUMPRODUCT((UPPER(TRIM('Origin Costs'!$A$93:$A$132))=UPPER(TRIM(J302)))*'Origin Costs'!$C$93:$C$132),0))),0)</f>
        <v>0</v>
      </c>
      <c r="P302" s="42">
        <f t="shared" si="4"/>
        <v>0</v>
      </c>
      <c r="Q302" s="13" t="str">
        <f>IF(OR(Dashboard!$C$4="All Customers",$E302=Dashboard!$C$4),IF($E302="","",$P302+ROW()/10000000),"")</f>
        <v/>
      </c>
    </row>
    <row r="303" spans="1:17" ht="14.25" customHeight="1" x14ac:dyDescent="0.3">
      <c r="A303" s="43" t="str">
        <f>IFERROR("FY"&amp;TEXT(MOD(IF(MONTH(Sheet1!A303)&gt;=4,YEAR(Sheet1!A303),YEAR(Sheet1!A303)-1),100),"00")&amp;"-"&amp;TEXT(MOD(IF(MONTH(Sheet1!A303)&gt;=4,YEAR(Sheet1!A303),YEAR(Sheet1!A303)-1)+1,100),"00"),"")</f>
        <v>FY25-26</v>
      </c>
      <c r="B303" s="44" t="str">
        <f>IFERROR("Q"&amp;IF(MONTH(Sheet1!A303)&gt;=4,IF(MONTH(Sheet1!A303)&lt;=6,1,IF(MONTH(Sheet1!A303)&lt;=9,2,3)),4),"")</f>
        <v>Q3</v>
      </c>
      <c r="C303" s="43" t="str">
        <f>IFERROR(Sheet1!C303,0)</f>
        <v>Europe</v>
      </c>
      <c r="D303" s="43" t="str">
        <f>IFERROR(Sheet1!F303,0)</f>
        <v>Bulgaria</v>
      </c>
      <c r="E303" s="43" t="str">
        <f>IFERROR(Sheet1!E303,0)</f>
        <v>Inter Cars Bulgaria EOOD</v>
      </c>
      <c r="F303" s="43" t="str">
        <f>IFERROR(IF(UPPER(TRIM(Sheet1!J303))="NH","Nhava Sheva",IF(UPPER(TRIM(Sheet1!J303))="ICD","ICD Dhannad",IF(UPPER(TRIM(Sheet1!J303))="TIHI","ICD Tihi",Sheet1!J303))),0)</f>
        <v>Nhava Sheva</v>
      </c>
      <c r="G303" s="43" t="str">
        <f>IFERROR(Sheet1!M303,0)</f>
        <v>THESSALONIKI</v>
      </c>
      <c r="H303" s="43" t="str">
        <f>IFERROR(Sheet1!H303,0)</f>
        <v>Seamax Logistics</v>
      </c>
      <c r="I303" s="43" t="str">
        <f>IFERROR(Sheet1!G303,0)</f>
        <v>FOB</v>
      </c>
      <c r="J303" s="43" t="str">
        <f>IFERROR(Sheet1!K303,0)</f>
        <v>Arkas</v>
      </c>
      <c r="K303" s="45">
        <f>IFERROR(Sheet1!A303,0)</f>
        <v>45997</v>
      </c>
      <c r="L303" s="45">
        <f>IFERROR(Sheet1!I303,0)</f>
        <v>45995</v>
      </c>
      <c r="M303" s="47" t="str">
        <f>IFERROR(Sheet1!P303,0)</f>
        <v>NA</v>
      </c>
      <c r="N303" s="46">
        <f>IFERROR(IF(ISNUMBER(Sheet1!N303),Sheet1!N303,0),0)</f>
        <v>0</v>
      </c>
      <c r="O303" s="46">
        <f>IFERROR(IF(TRIM(F303)="Nhava Sheva",SUMPRODUCT((UPPER(TRIM('Origin Costs'!$A$5:$A$44))=UPPER(TRIM(J303)))*'Origin Costs'!$C$5:$C$44),IF(TRIM(F303)="ICD Tihi",SUMPRODUCT((UPPER(TRIM('Origin Costs'!$A$49:$A$88))=UPPER(TRIM(J303)))*'Origin Costs'!$C$49:$C$88),IF(TRIM(F303)="ICD Dhannad",SUMPRODUCT((UPPER(TRIM('Origin Costs'!$A$93:$A$132))=UPPER(TRIM(J303)))*'Origin Costs'!$C$93:$C$132),0))),0)</f>
        <v>0</v>
      </c>
      <c r="P303" s="46">
        <f t="shared" si="4"/>
        <v>0</v>
      </c>
      <c r="Q303" s="13" t="str">
        <f>IF(OR(Dashboard!$C$4="All Customers",$E303=Dashboard!$C$4),IF($E303="","",$P303+ROW()/10000000),"")</f>
        <v/>
      </c>
    </row>
    <row r="304" spans="1:17" ht="14.25" customHeight="1" x14ac:dyDescent="0.3">
      <c r="A304" s="39" t="str">
        <f>IFERROR("FY"&amp;TEXT(MOD(IF(MONTH(Sheet1!A304)&gt;=4,YEAR(Sheet1!A304),YEAR(Sheet1!A304)-1),100),"00")&amp;"-"&amp;TEXT(MOD(IF(MONTH(Sheet1!A304)&gt;=4,YEAR(Sheet1!A304),YEAR(Sheet1!A304)-1)+1,100),"00"),"")</f>
        <v>FY25-26</v>
      </c>
      <c r="B304" s="40" t="str">
        <f>IFERROR("Q"&amp;IF(MONTH(Sheet1!A304)&gt;=4,IF(MONTH(Sheet1!A304)&lt;=6,1,IF(MONTH(Sheet1!A304)&lt;=9,2,3)),4),"")</f>
        <v>Q3</v>
      </c>
      <c r="C304" s="39" t="str">
        <f>IFERROR(Sheet1!C304,0)</f>
        <v>MEA</v>
      </c>
      <c r="D304" s="39" t="str">
        <f>IFERROR(Sheet1!F304,0)</f>
        <v>UAE</v>
      </c>
      <c r="E304" s="39" t="str">
        <f>IFERROR(Sheet1!E304,0)</f>
        <v>EASA SALEH AL GURG TYRES BATTERIES</v>
      </c>
      <c r="F304" s="39" t="str">
        <f>IFERROR(IF(UPPER(TRIM(Sheet1!J304))="NH","Nhava Sheva",IF(UPPER(TRIM(Sheet1!J304))="ICD","ICD Dhannad",IF(UPPER(TRIM(Sheet1!J304))="TIHI","ICD Tihi",Sheet1!J304))),0)</f>
        <v>Nhava Sheva</v>
      </c>
      <c r="G304" s="39" t="str">
        <f>IFERROR(Sheet1!M304,0)</f>
        <v>Jebel Ali</v>
      </c>
      <c r="H304" s="39" t="str">
        <f>IFERROR(Sheet1!H304,0)</f>
        <v>BDP Global</v>
      </c>
      <c r="I304" s="39" t="str">
        <f>IFERROR(Sheet1!G304,0)</f>
        <v>FOB</v>
      </c>
      <c r="J304" s="39" t="str">
        <f>IFERROR(Sheet1!K304,0)</f>
        <v>ESL</v>
      </c>
      <c r="K304" s="41">
        <f>IFERROR(Sheet1!A304,0)</f>
        <v>45999</v>
      </c>
      <c r="L304" s="41">
        <f>IFERROR(Sheet1!I304,0)</f>
        <v>45997</v>
      </c>
      <c r="M304" s="47" t="str">
        <f>IFERROR(Sheet1!P304,0)</f>
        <v>NA</v>
      </c>
      <c r="N304" s="42">
        <f>IFERROR(IF(ISNUMBER(Sheet1!N304),Sheet1!N304,0),0)</f>
        <v>0</v>
      </c>
      <c r="O304" s="42">
        <f>IFERROR(IF(TRIM(F304)="Nhava Sheva",SUMPRODUCT((UPPER(TRIM('Origin Costs'!$A$5:$A$44))=UPPER(TRIM(J304)))*'Origin Costs'!$C$5:$C$44),IF(TRIM(F304)="ICD Tihi",SUMPRODUCT((UPPER(TRIM('Origin Costs'!$A$49:$A$88))=UPPER(TRIM(J304)))*'Origin Costs'!$C$49:$C$88),IF(TRIM(F304)="ICD Dhannad",SUMPRODUCT((UPPER(TRIM('Origin Costs'!$A$93:$A$132))=UPPER(TRIM(J304)))*'Origin Costs'!$C$93:$C$132),0))),0)</f>
        <v>0</v>
      </c>
      <c r="P304" s="42">
        <f t="shared" si="4"/>
        <v>0</v>
      </c>
      <c r="Q304" s="13" t="str">
        <f>IF(OR(Dashboard!$C$4="All Customers",$E304=Dashboard!$C$4),IF($E304="","",$P304+ROW()/10000000),"")</f>
        <v/>
      </c>
    </row>
    <row r="305" spans="1:17" ht="14.25" customHeight="1" x14ac:dyDescent="0.3">
      <c r="A305" s="43" t="str">
        <f>IFERROR("FY"&amp;TEXT(MOD(IF(MONTH(Sheet1!A305)&gt;=4,YEAR(Sheet1!A305),YEAR(Sheet1!A305)-1),100),"00")&amp;"-"&amp;TEXT(MOD(IF(MONTH(Sheet1!A305)&gt;=4,YEAR(Sheet1!A305),YEAR(Sheet1!A305)-1)+1,100),"00"),"")</f>
        <v>FY25-26</v>
      </c>
      <c r="B305" s="44" t="str">
        <f>IFERROR("Q"&amp;IF(MONTH(Sheet1!A305)&gt;=4,IF(MONTH(Sheet1!A305)&lt;=6,1,IF(MONTH(Sheet1!A305)&lt;=9,2,3)),4),"")</f>
        <v>Q3</v>
      </c>
      <c r="C305" s="43" t="str">
        <f>IFERROR(Sheet1!C305,0)</f>
        <v>Europe</v>
      </c>
      <c r="D305" s="43" t="str">
        <f>IFERROR(Sheet1!F305,0)</f>
        <v>Bulgaria</v>
      </c>
      <c r="E305" s="43" t="str">
        <f>IFERROR(Sheet1!E305,0)</f>
        <v>Primex EOOD</v>
      </c>
      <c r="F305" s="43" t="str">
        <f>IFERROR(IF(UPPER(TRIM(Sheet1!J305))="NH","Nhava Sheva",IF(UPPER(TRIM(Sheet1!J305))="ICD","ICD Dhannad",IF(UPPER(TRIM(Sheet1!J305))="TIHI","ICD Tihi",Sheet1!J305))),0)</f>
        <v>Nhava Sheva</v>
      </c>
      <c r="G305" s="43" t="str">
        <f>IFERROR(Sheet1!M305,0)</f>
        <v>Varna</v>
      </c>
      <c r="H305" s="43" t="str">
        <f>IFERROR(Sheet1!H305,0)</f>
        <v>Kuehne Nagel</v>
      </c>
      <c r="I305" s="43" t="str">
        <f>IFERROR(Sheet1!G305,0)</f>
        <v>FOB</v>
      </c>
      <c r="J305" s="43" t="str">
        <f>IFERROR(Sheet1!K305,0)</f>
        <v>Hapag</v>
      </c>
      <c r="K305" s="45">
        <f>IFERROR(Sheet1!A305,0)</f>
        <v>45999</v>
      </c>
      <c r="L305" s="45">
        <f>IFERROR(Sheet1!I305,0)</f>
        <v>45997</v>
      </c>
      <c r="M305" s="47" t="str">
        <f>IFERROR(Sheet1!P305,0)</f>
        <v>NA</v>
      </c>
      <c r="N305" s="46">
        <f>IFERROR(IF(ISNUMBER(Sheet1!N305),Sheet1!N305,0),0)</f>
        <v>0</v>
      </c>
      <c r="O305" s="46">
        <f>IFERROR(IF(TRIM(F305)="Nhava Sheva",SUMPRODUCT((UPPER(TRIM('Origin Costs'!$A$5:$A$44))=UPPER(TRIM(J305)))*'Origin Costs'!$C$5:$C$44),IF(TRIM(F305)="ICD Tihi",SUMPRODUCT((UPPER(TRIM('Origin Costs'!$A$49:$A$88))=UPPER(TRIM(J305)))*'Origin Costs'!$C$49:$C$88),IF(TRIM(F305)="ICD Dhannad",SUMPRODUCT((UPPER(TRIM('Origin Costs'!$A$93:$A$132))=UPPER(TRIM(J305)))*'Origin Costs'!$C$93:$C$132),0))),0)</f>
        <v>1192.9777777777779</v>
      </c>
      <c r="P305" s="46">
        <f t="shared" si="4"/>
        <v>1192.9777777777779</v>
      </c>
      <c r="Q305" s="13" t="str">
        <f>IF(OR(Dashboard!$C$4="All Customers",$E305=Dashboard!$C$4),IF($E305="","",$P305+ROW()/10000000),"")</f>
        <v/>
      </c>
    </row>
    <row r="306" spans="1:17" ht="14.25" customHeight="1" x14ac:dyDescent="0.3">
      <c r="A306" s="39" t="str">
        <f>IFERROR("FY"&amp;TEXT(MOD(IF(MONTH(Sheet1!A306)&gt;=4,YEAR(Sheet1!A306),YEAR(Sheet1!A306)-1),100),"00")&amp;"-"&amp;TEXT(MOD(IF(MONTH(Sheet1!A306)&gt;=4,YEAR(Sheet1!A306),YEAR(Sheet1!A306)-1)+1,100),"00"),"")</f>
        <v>FY25-26</v>
      </c>
      <c r="B306" s="40" t="str">
        <f>IFERROR("Q"&amp;IF(MONTH(Sheet1!A306)&gt;=4,IF(MONTH(Sheet1!A306)&lt;=6,1,IF(MONTH(Sheet1!A306)&lt;=9,2,3)),4),"")</f>
        <v>Q3</v>
      </c>
      <c r="C306" s="39" t="str">
        <f>IFERROR(Sheet1!C306,0)</f>
        <v>Europe</v>
      </c>
      <c r="D306" s="39" t="str">
        <f>IFERROR(Sheet1!F306,0)</f>
        <v>Bulgaria</v>
      </c>
      <c r="E306" s="39" t="str">
        <f>IFERROR(Sheet1!E306,0)</f>
        <v>Primex EOOD</v>
      </c>
      <c r="F306" s="39" t="str">
        <f>IFERROR(IF(UPPER(TRIM(Sheet1!J306))="NH","Nhava Sheva",IF(UPPER(TRIM(Sheet1!J306))="ICD","ICD Dhannad",IF(UPPER(TRIM(Sheet1!J306))="TIHI","ICD Tihi",Sheet1!J306))),0)</f>
        <v>Nhava Sheva</v>
      </c>
      <c r="G306" s="39" t="str">
        <f>IFERROR(Sheet1!M306,0)</f>
        <v>Varna</v>
      </c>
      <c r="H306" s="39" t="str">
        <f>IFERROR(Sheet1!H306,0)</f>
        <v>Kuehne Nagel</v>
      </c>
      <c r="I306" s="39" t="str">
        <f>IFERROR(Sheet1!G306,0)</f>
        <v>FOB</v>
      </c>
      <c r="J306" s="39" t="str">
        <f>IFERROR(Sheet1!K306,0)</f>
        <v>Hapag</v>
      </c>
      <c r="K306" s="41">
        <f>IFERROR(Sheet1!A306,0)</f>
        <v>45999</v>
      </c>
      <c r="L306" s="41">
        <f>IFERROR(Sheet1!I306,0)</f>
        <v>45997</v>
      </c>
      <c r="M306" s="47" t="str">
        <f>IFERROR(Sheet1!P306,0)</f>
        <v>NA</v>
      </c>
      <c r="N306" s="42">
        <f>IFERROR(IF(ISNUMBER(Sheet1!N306),Sheet1!N306,0),0)</f>
        <v>0</v>
      </c>
      <c r="O306" s="42">
        <f>IFERROR(IF(TRIM(F306)="Nhava Sheva",SUMPRODUCT((UPPER(TRIM('Origin Costs'!$A$5:$A$44))=UPPER(TRIM(J306)))*'Origin Costs'!$C$5:$C$44),IF(TRIM(F306)="ICD Tihi",SUMPRODUCT((UPPER(TRIM('Origin Costs'!$A$49:$A$88))=UPPER(TRIM(J306)))*'Origin Costs'!$C$49:$C$88),IF(TRIM(F306)="ICD Dhannad",SUMPRODUCT((UPPER(TRIM('Origin Costs'!$A$93:$A$132))=UPPER(TRIM(J306)))*'Origin Costs'!$C$93:$C$132),0))),0)</f>
        <v>1192.9777777777779</v>
      </c>
      <c r="P306" s="42">
        <f t="shared" si="4"/>
        <v>1192.9777777777779</v>
      </c>
      <c r="Q306" s="13" t="str">
        <f>IF(OR(Dashboard!$C$4="All Customers",$E306=Dashboard!$C$4),IF($E306="","",$P306+ROW()/10000000),"")</f>
        <v/>
      </c>
    </row>
    <row r="307" spans="1:17" ht="14.25" customHeight="1" x14ac:dyDescent="0.3">
      <c r="A307" s="43" t="str">
        <f>IFERROR("FY"&amp;TEXT(MOD(IF(MONTH(Sheet1!A307)&gt;=4,YEAR(Sheet1!A307),YEAR(Sheet1!A307)-1),100),"00")&amp;"-"&amp;TEXT(MOD(IF(MONTH(Sheet1!A307)&gt;=4,YEAR(Sheet1!A307),YEAR(Sheet1!A307)-1)+1,100),"00"),"")</f>
        <v>FY25-26</v>
      </c>
      <c r="B307" s="44" t="str">
        <f>IFERROR("Q"&amp;IF(MONTH(Sheet1!A307)&gt;=4,IF(MONTH(Sheet1!A307)&lt;=6,1,IF(MONTH(Sheet1!A307)&lt;=9,2,3)),4),"")</f>
        <v>Q3</v>
      </c>
      <c r="C307" s="43" t="str">
        <f>IFERROR(Sheet1!C307,0)</f>
        <v>Europe</v>
      </c>
      <c r="D307" s="43" t="str">
        <f>IFERROR(Sheet1!F307,0)</f>
        <v>Bulgaria</v>
      </c>
      <c r="E307" s="43" t="str">
        <f>IFERROR(Sheet1!E307,0)</f>
        <v>Primex EOOD</v>
      </c>
      <c r="F307" s="43" t="str">
        <f>IFERROR(IF(UPPER(TRIM(Sheet1!J307))="NH","Nhava Sheva",IF(UPPER(TRIM(Sheet1!J307))="ICD","ICD Dhannad",IF(UPPER(TRIM(Sheet1!J307))="TIHI","ICD Tihi",Sheet1!J307))),0)</f>
        <v>Nhava Sheva</v>
      </c>
      <c r="G307" s="43" t="str">
        <f>IFERROR(Sheet1!M307,0)</f>
        <v>Varna</v>
      </c>
      <c r="H307" s="43" t="str">
        <f>IFERROR(Sheet1!H307,0)</f>
        <v>Kuehne Nagel</v>
      </c>
      <c r="I307" s="43" t="str">
        <f>IFERROR(Sheet1!G307,0)</f>
        <v>FOB</v>
      </c>
      <c r="J307" s="43" t="str">
        <f>IFERROR(Sheet1!K307,0)</f>
        <v>Hapag</v>
      </c>
      <c r="K307" s="45">
        <f>IFERROR(Sheet1!A307,0)</f>
        <v>45999</v>
      </c>
      <c r="L307" s="45">
        <f>IFERROR(Sheet1!I307,0)</f>
        <v>45997</v>
      </c>
      <c r="M307" s="47" t="str">
        <f>IFERROR(Sheet1!P307,0)</f>
        <v>NA</v>
      </c>
      <c r="N307" s="46">
        <f>IFERROR(IF(ISNUMBER(Sheet1!N307),Sheet1!N307,0),0)</f>
        <v>0</v>
      </c>
      <c r="O307" s="46">
        <f>IFERROR(IF(TRIM(F307)="Nhava Sheva",SUMPRODUCT((UPPER(TRIM('Origin Costs'!$A$5:$A$44))=UPPER(TRIM(J307)))*'Origin Costs'!$C$5:$C$44),IF(TRIM(F307)="ICD Tihi",SUMPRODUCT((UPPER(TRIM('Origin Costs'!$A$49:$A$88))=UPPER(TRIM(J307)))*'Origin Costs'!$C$49:$C$88),IF(TRIM(F307)="ICD Dhannad",SUMPRODUCT((UPPER(TRIM('Origin Costs'!$A$93:$A$132))=UPPER(TRIM(J307)))*'Origin Costs'!$C$93:$C$132),0))),0)</f>
        <v>1192.9777777777779</v>
      </c>
      <c r="P307" s="46">
        <f t="shared" si="4"/>
        <v>1192.9777777777779</v>
      </c>
      <c r="Q307" s="13" t="str">
        <f>IF(OR(Dashboard!$C$4="All Customers",$E307=Dashboard!$C$4),IF($E307="","",$P307+ROW()/10000000),"")</f>
        <v/>
      </c>
    </row>
    <row r="308" spans="1:17" ht="14.25" customHeight="1" x14ac:dyDescent="0.3">
      <c r="A308" s="39" t="str">
        <f>IFERROR("FY"&amp;TEXT(MOD(IF(MONTH(Sheet1!A308)&gt;=4,YEAR(Sheet1!A308),YEAR(Sheet1!A308)-1),100),"00")&amp;"-"&amp;TEXT(MOD(IF(MONTH(Sheet1!A308)&gt;=4,YEAR(Sheet1!A308),YEAR(Sheet1!A308)-1)+1,100),"00"),"")</f>
        <v>FY25-26</v>
      </c>
      <c r="B308" s="40" t="str">
        <f>IFERROR("Q"&amp;IF(MONTH(Sheet1!A308)&gt;=4,IF(MONTH(Sheet1!A308)&lt;=6,1,IF(MONTH(Sheet1!A308)&lt;=9,2,3)),4),"")</f>
        <v>Q3</v>
      </c>
      <c r="C308" s="39" t="str">
        <f>IFERROR(Sheet1!C308,0)</f>
        <v>Europe</v>
      </c>
      <c r="D308" s="39" t="str">
        <f>IFERROR(Sheet1!F308,0)</f>
        <v>Bulgaria</v>
      </c>
      <c r="E308" s="39" t="str">
        <f>IFERROR(Sheet1!E308,0)</f>
        <v>Primex EOOD</v>
      </c>
      <c r="F308" s="39" t="str">
        <f>IFERROR(IF(UPPER(TRIM(Sheet1!J308))="NH","Nhava Sheva",IF(UPPER(TRIM(Sheet1!J308))="ICD","ICD Dhannad",IF(UPPER(TRIM(Sheet1!J308))="TIHI","ICD Tihi",Sheet1!J308))),0)</f>
        <v>Nhava Sheva</v>
      </c>
      <c r="G308" s="39" t="str">
        <f>IFERROR(Sheet1!M308,0)</f>
        <v>Varna</v>
      </c>
      <c r="H308" s="39" t="str">
        <f>IFERROR(Sheet1!H308,0)</f>
        <v>Kuehne Nagel</v>
      </c>
      <c r="I308" s="39" t="str">
        <f>IFERROR(Sheet1!G308,0)</f>
        <v>FOB</v>
      </c>
      <c r="J308" s="39" t="str">
        <f>IFERROR(Sheet1!K308,0)</f>
        <v>Hapag</v>
      </c>
      <c r="K308" s="41">
        <f>IFERROR(Sheet1!A308,0)</f>
        <v>45999</v>
      </c>
      <c r="L308" s="41">
        <f>IFERROR(Sheet1!I308,0)</f>
        <v>45997</v>
      </c>
      <c r="M308" s="47" t="str">
        <f>IFERROR(Sheet1!P308,0)</f>
        <v>NA</v>
      </c>
      <c r="N308" s="42">
        <f>IFERROR(IF(ISNUMBER(Sheet1!N308),Sheet1!N308,0),0)</f>
        <v>0</v>
      </c>
      <c r="O308" s="42">
        <f>IFERROR(IF(TRIM(F308)="Nhava Sheva",SUMPRODUCT((UPPER(TRIM('Origin Costs'!$A$5:$A$44))=UPPER(TRIM(J308)))*'Origin Costs'!$C$5:$C$44),IF(TRIM(F308)="ICD Tihi",SUMPRODUCT((UPPER(TRIM('Origin Costs'!$A$49:$A$88))=UPPER(TRIM(J308)))*'Origin Costs'!$C$49:$C$88),IF(TRIM(F308)="ICD Dhannad",SUMPRODUCT((UPPER(TRIM('Origin Costs'!$A$93:$A$132))=UPPER(TRIM(J308)))*'Origin Costs'!$C$93:$C$132),0))),0)</f>
        <v>1192.9777777777779</v>
      </c>
      <c r="P308" s="42">
        <f t="shared" si="4"/>
        <v>1192.9777777777779</v>
      </c>
      <c r="Q308" s="13" t="str">
        <f>IF(OR(Dashboard!$C$4="All Customers",$E308=Dashboard!$C$4),IF($E308="","",$P308+ROW()/10000000),"")</f>
        <v/>
      </c>
    </row>
    <row r="309" spans="1:17" ht="14.25" customHeight="1" x14ac:dyDescent="0.3">
      <c r="A309" s="43" t="str">
        <f>IFERROR("FY"&amp;TEXT(MOD(IF(MONTH(Sheet1!A309)&gt;=4,YEAR(Sheet1!A309),YEAR(Sheet1!A309)-1),100),"00")&amp;"-"&amp;TEXT(MOD(IF(MONTH(Sheet1!A309)&gt;=4,YEAR(Sheet1!A309),YEAR(Sheet1!A309)-1)+1,100),"00"),"")</f>
        <v>FY25-26</v>
      </c>
      <c r="B309" s="44" t="str">
        <f>IFERROR("Q"&amp;IF(MONTH(Sheet1!A309)&gt;=4,IF(MONTH(Sheet1!A309)&lt;=6,1,IF(MONTH(Sheet1!A309)&lt;=9,2,3)),4),"")</f>
        <v>Q3</v>
      </c>
      <c r="C309" s="43" t="str">
        <f>IFERROR(Sheet1!C309,0)</f>
        <v>S.A</v>
      </c>
      <c r="D309" s="43" t="str">
        <f>IFERROR(Sheet1!F309,0)</f>
        <v>MEXICO</v>
      </c>
      <c r="E309" s="43" t="str">
        <f>IFERROR(Sheet1!E309,0)</f>
        <v>PC Tyres, Mexico</v>
      </c>
      <c r="F309" s="43" t="str">
        <f>IFERROR(IF(UPPER(TRIM(Sheet1!J309))="NH","Nhava Sheva",IF(UPPER(TRIM(Sheet1!J309))="ICD","ICD Dhannad",IF(UPPER(TRIM(Sheet1!J309))="TIHI","ICD Tihi",Sheet1!J309))),0)</f>
        <v>Nhava Sheva</v>
      </c>
      <c r="G309" s="43" t="str">
        <f>IFERROR(Sheet1!M309,0)</f>
        <v>MANZANILLO</v>
      </c>
      <c r="H309" s="43" t="str">
        <f>IFERROR(Sheet1!H309,0)</f>
        <v>Liyana Logistics</v>
      </c>
      <c r="I309" s="43" t="str">
        <f>IFERROR(Sheet1!G309,0)</f>
        <v>FOB</v>
      </c>
      <c r="J309" s="43" t="str">
        <f>IFERROR(Sheet1!K309,0)</f>
        <v>ONE</v>
      </c>
      <c r="K309" s="45">
        <f>IFERROR(Sheet1!A309,0)</f>
        <v>46000</v>
      </c>
      <c r="L309" s="45">
        <f>IFERROR(Sheet1!I309,0)</f>
        <v>45998</v>
      </c>
      <c r="M309" s="47" t="str">
        <f>IFERROR(Sheet1!P309,0)</f>
        <v>NA</v>
      </c>
      <c r="N309" s="46">
        <f>IFERROR(IF(ISNUMBER(Sheet1!N309),Sheet1!N309,0),0)</f>
        <v>0</v>
      </c>
      <c r="O309" s="46">
        <f>IFERROR(IF(TRIM(F309)="Nhava Sheva",SUMPRODUCT((UPPER(TRIM('Origin Costs'!$A$5:$A$44))=UPPER(TRIM(J309)))*'Origin Costs'!$C$5:$C$44),IF(TRIM(F309)="ICD Tihi",SUMPRODUCT((UPPER(TRIM('Origin Costs'!$A$49:$A$88))=UPPER(TRIM(J309)))*'Origin Costs'!$C$49:$C$88),IF(TRIM(F309)="ICD Dhannad",SUMPRODUCT((UPPER(TRIM('Origin Costs'!$A$93:$A$132))=UPPER(TRIM(J309)))*'Origin Costs'!$C$93:$C$132),0))),0)</f>
        <v>1146.5555555555557</v>
      </c>
      <c r="P309" s="46">
        <f t="shared" si="4"/>
        <v>1146.5555555555557</v>
      </c>
      <c r="Q309" s="13" t="str">
        <f>IF(OR(Dashboard!$C$4="All Customers",$E309=Dashboard!$C$4),IF($E309="","",$P309+ROW()/10000000),"")</f>
        <v/>
      </c>
    </row>
    <row r="310" spans="1:17" ht="14.25" customHeight="1" x14ac:dyDescent="0.3">
      <c r="A310" s="39" t="str">
        <f>IFERROR("FY"&amp;TEXT(MOD(IF(MONTH(Sheet1!A310)&gt;=4,YEAR(Sheet1!A310),YEAR(Sheet1!A310)-1),100),"00")&amp;"-"&amp;TEXT(MOD(IF(MONTH(Sheet1!A310)&gt;=4,YEAR(Sheet1!A310),YEAR(Sheet1!A310)-1)+1,100),"00"),"")</f>
        <v>FY25-26</v>
      </c>
      <c r="B310" s="40" t="str">
        <f>IFERROR("Q"&amp;IF(MONTH(Sheet1!A310)&gt;=4,IF(MONTH(Sheet1!A310)&lt;=6,1,IF(MONTH(Sheet1!A310)&lt;=9,2,3)),4),"")</f>
        <v>Q3</v>
      </c>
      <c r="C310" s="39" t="str">
        <f>IFERROR(Sheet1!C310,0)</f>
        <v>S.A</v>
      </c>
      <c r="D310" s="39" t="str">
        <f>IFERROR(Sheet1!F310,0)</f>
        <v>Brazil</v>
      </c>
      <c r="E310" s="39" t="str">
        <f>IFERROR(Sheet1!E310,0)</f>
        <v>CPX DISTRIBUIDORA S/A-Navegantes</v>
      </c>
      <c r="F310" s="39" t="str">
        <f>IFERROR(IF(UPPER(TRIM(Sheet1!J310))="NH","Nhava Sheva",IF(UPPER(TRIM(Sheet1!J310))="ICD","ICD Dhannad",IF(UPPER(TRIM(Sheet1!J310))="TIHI","ICD Tihi",Sheet1!J310))),0)</f>
        <v>ICD Tihi</v>
      </c>
      <c r="G310" s="39" t="str">
        <f>IFERROR(Sheet1!M310,0)</f>
        <v>Suape</v>
      </c>
      <c r="H310" s="39" t="str">
        <f>IFERROR(Sheet1!H310,0)</f>
        <v>Cargo Marketing</v>
      </c>
      <c r="I310" s="39" t="str">
        <f>IFERROR(Sheet1!G310,0)</f>
        <v>FOB</v>
      </c>
      <c r="J310" s="39" t="str">
        <f>IFERROR(Sheet1!K310,0)</f>
        <v>MSC</v>
      </c>
      <c r="K310" s="41">
        <f>IFERROR(Sheet1!A310,0)</f>
        <v>46003</v>
      </c>
      <c r="L310" s="41">
        <f>IFERROR(Sheet1!I310,0)</f>
        <v>46002</v>
      </c>
      <c r="M310" s="47" t="str">
        <f>IFERROR(Sheet1!P310,0)</f>
        <v>NA</v>
      </c>
      <c r="N310" s="42">
        <f>IFERROR(IF(ISNUMBER(Sheet1!N310),Sheet1!N310,0),0)</f>
        <v>0</v>
      </c>
      <c r="O310" s="42">
        <f>IFERROR(IF(TRIM(F310)="Nhava Sheva",SUMPRODUCT((UPPER(TRIM('Origin Costs'!$A$5:$A$44))=UPPER(TRIM(J310)))*'Origin Costs'!$C$5:$C$44),IF(TRIM(F310)="ICD Tihi",SUMPRODUCT((UPPER(TRIM('Origin Costs'!$A$49:$A$88))=UPPER(TRIM(J310)))*'Origin Costs'!$C$49:$C$88),IF(TRIM(F310)="ICD Dhannad",SUMPRODUCT((UPPER(TRIM('Origin Costs'!$A$93:$A$132))=UPPER(TRIM(J310)))*'Origin Costs'!$C$93:$C$132),0))),0)</f>
        <v>1081.3333333333333</v>
      </c>
      <c r="P310" s="42">
        <f t="shared" si="4"/>
        <v>1081.3333333333333</v>
      </c>
      <c r="Q310" s="13" t="str">
        <f>IF(OR(Dashboard!$C$4="All Customers",$E310=Dashboard!$C$4),IF($E310="","",$P310+ROW()/10000000),"")</f>
        <v/>
      </c>
    </row>
    <row r="311" spans="1:17" ht="14.25" customHeight="1" x14ac:dyDescent="0.3">
      <c r="A311" s="43" t="str">
        <f>IFERROR("FY"&amp;TEXT(MOD(IF(MONTH(Sheet1!A311)&gt;=4,YEAR(Sheet1!A311),YEAR(Sheet1!A311)-1),100),"00")&amp;"-"&amp;TEXT(MOD(IF(MONTH(Sheet1!A311)&gt;=4,YEAR(Sheet1!A311),YEAR(Sheet1!A311)-1)+1,100),"00"),"")</f>
        <v>FY25-26</v>
      </c>
      <c r="B311" s="44" t="str">
        <f>IFERROR("Q"&amp;IF(MONTH(Sheet1!A311)&gt;=4,IF(MONTH(Sheet1!A311)&lt;=6,1,IF(MONTH(Sheet1!A311)&lt;=9,2,3)),4),"")</f>
        <v>Q3</v>
      </c>
      <c r="C311" s="43" t="str">
        <f>IFERROR(Sheet1!C311,0)</f>
        <v>S.A</v>
      </c>
      <c r="D311" s="43" t="str">
        <f>IFERROR(Sheet1!F311,0)</f>
        <v>Brazil</v>
      </c>
      <c r="E311" s="43" t="str">
        <f>IFERROR(Sheet1!E311,0)</f>
        <v>CPX DISTRIBUIDORA S/A-Navegantes</v>
      </c>
      <c r="F311" s="43" t="str">
        <f>IFERROR(IF(UPPER(TRIM(Sheet1!J311))="NH","Nhava Sheva",IF(UPPER(TRIM(Sheet1!J311))="ICD","ICD Dhannad",IF(UPPER(TRIM(Sheet1!J311))="TIHI","ICD Tihi",Sheet1!J311))),0)</f>
        <v>ICD Tihi</v>
      </c>
      <c r="G311" s="43" t="str">
        <f>IFERROR(Sheet1!M311,0)</f>
        <v>Suape</v>
      </c>
      <c r="H311" s="43" t="str">
        <f>IFERROR(Sheet1!H311,0)</f>
        <v>Cargo Marketing</v>
      </c>
      <c r="I311" s="43" t="str">
        <f>IFERROR(Sheet1!G311,0)</f>
        <v>FOB</v>
      </c>
      <c r="J311" s="43" t="str">
        <f>IFERROR(Sheet1!K311,0)</f>
        <v>MSC</v>
      </c>
      <c r="K311" s="45">
        <f>IFERROR(Sheet1!A311,0)</f>
        <v>46003</v>
      </c>
      <c r="L311" s="45">
        <f>IFERROR(Sheet1!I311,0)</f>
        <v>46002</v>
      </c>
      <c r="M311" s="47" t="str">
        <f>IFERROR(Sheet1!P311,0)</f>
        <v>NA</v>
      </c>
      <c r="N311" s="46">
        <f>IFERROR(IF(ISNUMBER(Sheet1!N311),Sheet1!N311,0),0)</f>
        <v>0</v>
      </c>
      <c r="O311" s="46">
        <f>IFERROR(IF(TRIM(F311)="Nhava Sheva",SUMPRODUCT((UPPER(TRIM('Origin Costs'!$A$5:$A$44))=UPPER(TRIM(J311)))*'Origin Costs'!$C$5:$C$44),IF(TRIM(F311)="ICD Tihi",SUMPRODUCT((UPPER(TRIM('Origin Costs'!$A$49:$A$88))=UPPER(TRIM(J311)))*'Origin Costs'!$C$49:$C$88),IF(TRIM(F311)="ICD Dhannad",SUMPRODUCT((UPPER(TRIM('Origin Costs'!$A$93:$A$132))=UPPER(TRIM(J311)))*'Origin Costs'!$C$93:$C$132),0))),0)</f>
        <v>1081.3333333333333</v>
      </c>
      <c r="P311" s="46">
        <f t="shared" si="4"/>
        <v>1081.3333333333333</v>
      </c>
      <c r="Q311" s="13" t="str">
        <f>IF(OR(Dashboard!$C$4="All Customers",$E311=Dashboard!$C$4),IF($E311="","",$P311+ROW()/10000000),"")</f>
        <v/>
      </c>
    </row>
    <row r="312" spans="1:17" ht="14.25" customHeight="1" x14ac:dyDescent="0.3">
      <c r="A312" s="39" t="str">
        <f>IFERROR("FY"&amp;TEXT(MOD(IF(MONTH(Sheet1!A312)&gt;=4,YEAR(Sheet1!A312),YEAR(Sheet1!A312)-1),100),"00")&amp;"-"&amp;TEXT(MOD(IF(MONTH(Sheet1!A312)&gt;=4,YEAR(Sheet1!A312),YEAR(Sheet1!A312)-1)+1,100),"00"),"")</f>
        <v>FY25-26</v>
      </c>
      <c r="B312" s="40" t="str">
        <f>IFERROR("Q"&amp;IF(MONTH(Sheet1!A312)&gt;=4,IF(MONTH(Sheet1!A312)&lt;=6,1,IF(MONTH(Sheet1!A312)&lt;=9,2,3)),4),"")</f>
        <v>Q3</v>
      </c>
      <c r="C312" s="39" t="str">
        <f>IFERROR(Sheet1!C312,0)</f>
        <v>S.A</v>
      </c>
      <c r="D312" s="39" t="str">
        <f>IFERROR(Sheet1!F312,0)</f>
        <v>Brazil</v>
      </c>
      <c r="E312" s="39" t="str">
        <f>IFERROR(Sheet1!E312,0)</f>
        <v>CPX DISTRIBUIDORA S/A-Navegantes</v>
      </c>
      <c r="F312" s="39" t="str">
        <f>IFERROR(IF(UPPER(TRIM(Sheet1!J312))="NH","Nhava Sheva",IF(UPPER(TRIM(Sheet1!J312))="ICD","ICD Dhannad",IF(UPPER(TRIM(Sheet1!J312))="TIHI","ICD Tihi",Sheet1!J312))),0)</f>
        <v>ICD Tihi</v>
      </c>
      <c r="G312" s="39" t="str">
        <f>IFERROR(Sheet1!M312,0)</f>
        <v>Suape</v>
      </c>
      <c r="H312" s="39" t="str">
        <f>IFERROR(Sheet1!H312,0)</f>
        <v>Cargo Marketing</v>
      </c>
      <c r="I312" s="39" t="str">
        <f>IFERROR(Sheet1!G312,0)</f>
        <v>FOB</v>
      </c>
      <c r="J312" s="39" t="str">
        <f>IFERROR(Sheet1!K312,0)</f>
        <v>MSC</v>
      </c>
      <c r="K312" s="41">
        <f>IFERROR(Sheet1!A312,0)</f>
        <v>46003</v>
      </c>
      <c r="L312" s="41">
        <f>IFERROR(Sheet1!I312,0)</f>
        <v>46002</v>
      </c>
      <c r="M312" s="47" t="str">
        <f>IFERROR(Sheet1!P312,0)</f>
        <v>NA</v>
      </c>
      <c r="N312" s="42">
        <f>IFERROR(IF(ISNUMBER(Sheet1!N312),Sheet1!N312,0),0)</f>
        <v>0</v>
      </c>
      <c r="O312" s="42">
        <f>IFERROR(IF(TRIM(F312)="Nhava Sheva",SUMPRODUCT((UPPER(TRIM('Origin Costs'!$A$5:$A$44))=UPPER(TRIM(J312)))*'Origin Costs'!$C$5:$C$44),IF(TRIM(F312)="ICD Tihi",SUMPRODUCT((UPPER(TRIM('Origin Costs'!$A$49:$A$88))=UPPER(TRIM(J312)))*'Origin Costs'!$C$49:$C$88),IF(TRIM(F312)="ICD Dhannad",SUMPRODUCT((UPPER(TRIM('Origin Costs'!$A$93:$A$132))=UPPER(TRIM(J312)))*'Origin Costs'!$C$93:$C$132),0))),0)</f>
        <v>1081.3333333333333</v>
      </c>
      <c r="P312" s="42">
        <f t="shared" si="4"/>
        <v>1081.3333333333333</v>
      </c>
      <c r="Q312" s="13" t="str">
        <f>IF(OR(Dashboard!$C$4="All Customers",$E312=Dashboard!$C$4),IF($E312="","",$P312+ROW()/10000000),"")</f>
        <v/>
      </c>
    </row>
    <row r="313" spans="1:17" ht="14.25" customHeight="1" x14ac:dyDescent="0.3">
      <c r="A313" s="43" t="str">
        <f>IFERROR("FY"&amp;TEXT(MOD(IF(MONTH(Sheet1!A313)&gt;=4,YEAR(Sheet1!A313),YEAR(Sheet1!A313)-1),100),"00")&amp;"-"&amp;TEXT(MOD(IF(MONTH(Sheet1!A313)&gt;=4,YEAR(Sheet1!A313),YEAR(Sheet1!A313)-1)+1,100),"00"),"")</f>
        <v>FY25-26</v>
      </c>
      <c r="B313" s="44" t="str">
        <f>IFERROR("Q"&amp;IF(MONTH(Sheet1!A313)&gt;=4,IF(MONTH(Sheet1!A313)&lt;=6,1,IF(MONTH(Sheet1!A313)&lt;=9,2,3)),4),"")</f>
        <v>Q3</v>
      </c>
      <c r="C313" s="43" t="str">
        <f>IFERROR(Sheet1!C313,0)</f>
        <v>S.A</v>
      </c>
      <c r="D313" s="43" t="str">
        <f>IFERROR(Sheet1!F313,0)</f>
        <v>Brazil</v>
      </c>
      <c r="E313" s="43" t="str">
        <f>IFERROR(Sheet1!E313,0)</f>
        <v>CPX DISTRIBUIDORA S/A-Navegantes</v>
      </c>
      <c r="F313" s="43" t="str">
        <f>IFERROR(IF(UPPER(TRIM(Sheet1!J313))="NH","Nhava Sheva",IF(UPPER(TRIM(Sheet1!J313))="ICD","ICD Dhannad",IF(UPPER(TRIM(Sheet1!J313))="TIHI","ICD Tihi",Sheet1!J313))),0)</f>
        <v>ICD Tihi</v>
      </c>
      <c r="G313" s="43" t="str">
        <f>IFERROR(Sheet1!M313,0)</f>
        <v>Suape</v>
      </c>
      <c r="H313" s="43" t="str">
        <f>IFERROR(Sheet1!H313,0)</f>
        <v>Cargo Marketing</v>
      </c>
      <c r="I313" s="43" t="str">
        <f>IFERROR(Sheet1!G313,0)</f>
        <v>FOB</v>
      </c>
      <c r="J313" s="43" t="str">
        <f>IFERROR(Sheet1!K313,0)</f>
        <v>MSC</v>
      </c>
      <c r="K313" s="45">
        <f>IFERROR(Sheet1!A313,0)</f>
        <v>46003</v>
      </c>
      <c r="L313" s="45">
        <f>IFERROR(Sheet1!I313,0)</f>
        <v>46002</v>
      </c>
      <c r="M313" s="47" t="str">
        <f>IFERROR(Sheet1!P313,0)</f>
        <v>NA</v>
      </c>
      <c r="N313" s="46">
        <f>IFERROR(IF(ISNUMBER(Sheet1!N313),Sheet1!N313,0),0)</f>
        <v>0</v>
      </c>
      <c r="O313" s="46">
        <f>IFERROR(IF(TRIM(F313)="Nhava Sheva",SUMPRODUCT((UPPER(TRIM('Origin Costs'!$A$5:$A$44))=UPPER(TRIM(J313)))*'Origin Costs'!$C$5:$C$44),IF(TRIM(F313)="ICD Tihi",SUMPRODUCT((UPPER(TRIM('Origin Costs'!$A$49:$A$88))=UPPER(TRIM(J313)))*'Origin Costs'!$C$49:$C$88),IF(TRIM(F313)="ICD Dhannad",SUMPRODUCT((UPPER(TRIM('Origin Costs'!$A$93:$A$132))=UPPER(TRIM(J313)))*'Origin Costs'!$C$93:$C$132),0))),0)</f>
        <v>1081.3333333333333</v>
      </c>
      <c r="P313" s="46">
        <f t="shared" si="4"/>
        <v>1081.3333333333333</v>
      </c>
      <c r="Q313" s="13" t="str">
        <f>IF(OR(Dashboard!$C$4="All Customers",$E313=Dashboard!$C$4),IF($E313="","",$P313+ROW()/10000000),"")</f>
        <v/>
      </c>
    </row>
    <row r="314" spans="1:17" ht="14.25" customHeight="1" x14ac:dyDescent="0.3">
      <c r="A314" s="39" t="str">
        <f>IFERROR("FY"&amp;TEXT(MOD(IF(MONTH(Sheet1!A314)&gt;=4,YEAR(Sheet1!A314),YEAR(Sheet1!A314)-1),100),"00")&amp;"-"&amp;TEXT(MOD(IF(MONTH(Sheet1!A314)&gt;=4,YEAR(Sheet1!A314),YEAR(Sheet1!A314)-1)+1,100),"00"),"")</f>
        <v>FY25-26</v>
      </c>
      <c r="B314" s="40" t="str">
        <f>IFERROR("Q"&amp;IF(MONTH(Sheet1!A314)&gt;=4,IF(MONTH(Sheet1!A314)&lt;=6,1,IF(MONTH(Sheet1!A314)&lt;=9,2,3)),4),"")</f>
        <v>Q3</v>
      </c>
      <c r="C314" s="39" t="str">
        <f>IFERROR(Sheet1!C314,0)</f>
        <v>S.A</v>
      </c>
      <c r="D314" s="39" t="str">
        <f>IFERROR(Sheet1!F314,0)</f>
        <v>Brazil</v>
      </c>
      <c r="E314" s="39" t="str">
        <f>IFERROR(Sheet1!E314,0)</f>
        <v>CPX DISTRIBUIDORA S/A-Navegantes</v>
      </c>
      <c r="F314" s="39" t="str">
        <f>IFERROR(IF(UPPER(TRIM(Sheet1!J314))="NH","Nhava Sheva",IF(UPPER(TRIM(Sheet1!J314))="ICD","ICD Dhannad",IF(UPPER(TRIM(Sheet1!J314))="TIHI","ICD Tihi",Sheet1!J314))),0)</f>
        <v>ICD Tihi</v>
      </c>
      <c r="G314" s="39" t="str">
        <f>IFERROR(Sheet1!M314,0)</f>
        <v>Suape</v>
      </c>
      <c r="H314" s="39" t="str">
        <f>IFERROR(Sheet1!H314,0)</f>
        <v>Cargo Marketing</v>
      </c>
      <c r="I314" s="39" t="str">
        <f>IFERROR(Sheet1!G314,0)</f>
        <v>FOB</v>
      </c>
      <c r="J314" s="39" t="str">
        <f>IFERROR(Sheet1!K314,0)</f>
        <v>MSC</v>
      </c>
      <c r="K314" s="41">
        <f>IFERROR(Sheet1!A314,0)</f>
        <v>46003</v>
      </c>
      <c r="L314" s="41">
        <f>IFERROR(Sheet1!I314,0)</f>
        <v>46002</v>
      </c>
      <c r="M314" s="47" t="str">
        <f>IFERROR(Sheet1!P314,0)</f>
        <v>NA</v>
      </c>
      <c r="N314" s="42">
        <f>IFERROR(IF(ISNUMBER(Sheet1!N314),Sheet1!N314,0),0)</f>
        <v>0</v>
      </c>
      <c r="O314" s="42">
        <f>IFERROR(IF(TRIM(F314)="Nhava Sheva",SUMPRODUCT((UPPER(TRIM('Origin Costs'!$A$5:$A$44))=UPPER(TRIM(J314)))*'Origin Costs'!$C$5:$C$44),IF(TRIM(F314)="ICD Tihi",SUMPRODUCT((UPPER(TRIM('Origin Costs'!$A$49:$A$88))=UPPER(TRIM(J314)))*'Origin Costs'!$C$49:$C$88),IF(TRIM(F314)="ICD Dhannad",SUMPRODUCT((UPPER(TRIM('Origin Costs'!$A$93:$A$132))=UPPER(TRIM(J314)))*'Origin Costs'!$C$93:$C$132),0))),0)</f>
        <v>1081.3333333333333</v>
      </c>
      <c r="P314" s="42">
        <f t="shared" si="4"/>
        <v>1081.3333333333333</v>
      </c>
      <c r="Q314" s="13" t="str">
        <f>IF(OR(Dashboard!$C$4="All Customers",$E314=Dashboard!$C$4),IF($E314="","",$P314+ROW()/10000000),"")</f>
        <v/>
      </c>
    </row>
    <row r="315" spans="1:17" ht="14.25" customHeight="1" x14ac:dyDescent="0.3">
      <c r="A315" s="43" t="str">
        <f>IFERROR("FY"&amp;TEXT(MOD(IF(MONTH(Sheet1!A315)&gt;=4,YEAR(Sheet1!A315),YEAR(Sheet1!A315)-1),100),"00")&amp;"-"&amp;TEXT(MOD(IF(MONTH(Sheet1!A315)&gt;=4,YEAR(Sheet1!A315),YEAR(Sheet1!A315)-1)+1,100),"00"),"")</f>
        <v>FY25-26</v>
      </c>
      <c r="B315" s="44" t="str">
        <f>IFERROR("Q"&amp;IF(MONTH(Sheet1!A315)&gt;=4,IF(MONTH(Sheet1!A315)&lt;=6,1,IF(MONTH(Sheet1!A315)&lt;=9,2,3)),4),"")</f>
        <v>Q3</v>
      </c>
      <c r="C315" s="43" t="str">
        <f>IFERROR(Sheet1!C315,0)</f>
        <v>Europe</v>
      </c>
      <c r="D315" s="43" t="str">
        <f>IFERROR(Sheet1!F315,0)</f>
        <v>Romania</v>
      </c>
      <c r="E315" s="43" t="str">
        <f>IFERROR(Sheet1!E315,0)</f>
        <v>Inter Cars Romania Srl</v>
      </c>
      <c r="F315" s="43" t="str">
        <f>IFERROR(IF(UPPER(TRIM(Sheet1!J315))="NH","Nhava Sheva",IF(UPPER(TRIM(Sheet1!J315))="ICD","ICD Dhannad",IF(UPPER(TRIM(Sheet1!J315))="TIHI","ICD Tihi",Sheet1!J315))),0)</f>
        <v>ICD Tihi</v>
      </c>
      <c r="G315" s="43" t="str">
        <f>IFERROR(Sheet1!M315,0)</f>
        <v>Constanta</v>
      </c>
      <c r="H315" s="43" t="str">
        <f>IFERROR(Sheet1!H315,0)</f>
        <v>DSV</v>
      </c>
      <c r="I315" s="43" t="str">
        <f>IFERROR(Sheet1!G315,0)</f>
        <v>FOB</v>
      </c>
      <c r="J315" s="43" t="str">
        <f>IFERROR(Sheet1!K315,0)</f>
        <v>MSC</v>
      </c>
      <c r="K315" s="45">
        <f>IFERROR(Sheet1!A315,0)</f>
        <v>46003</v>
      </c>
      <c r="L315" s="45">
        <f>IFERROR(Sheet1!I315,0)</f>
        <v>46002</v>
      </c>
      <c r="M315" s="47" t="str">
        <f>IFERROR(Sheet1!P315,0)</f>
        <v>NA</v>
      </c>
      <c r="N315" s="46">
        <f>IFERROR(IF(ISNUMBER(Sheet1!N315),Sheet1!N315,0),0)</f>
        <v>0</v>
      </c>
      <c r="O315" s="46">
        <f>IFERROR(IF(TRIM(F315)="Nhava Sheva",SUMPRODUCT((UPPER(TRIM('Origin Costs'!$A$5:$A$44))=UPPER(TRIM(J315)))*'Origin Costs'!$C$5:$C$44),IF(TRIM(F315)="ICD Tihi",SUMPRODUCT((UPPER(TRIM('Origin Costs'!$A$49:$A$88))=UPPER(TRIM(J315)))*'Origin Costs'!$C$49:$C$88),IF(TRIM(F315)="ICD Dhannad",SUMPRODUCT((UPPER(TRIM('Origin Costs'!$A$93:$A$132))=UPPER(TRIM(J315)))*'Origin Costs'!$C$93:$C$132),0))),0)</f>
        <v>1081.3333333333333</v>
      </c>
      <c r="P315" s="46">
        <f t="shared" si="4"/>
        <v>1081.3333333333333</v>
      </c>
      <c r="Q315" s="13" t="str">
        <f>IF(OR(Dashboard!$C$4="All Customers",$E315=Dashboard!$C$4),IF($E315="","",$P315+ROW()/10000000),"")</f>
        <v/>
      </c>
    </row>
    <row r="316" spans="1:17" ht="14.25" customHeight="1" x14ac:dyDescent="0.3">
      <c r="A316" s="39" t="str">
        <f>IFERROR("FY"&amp;TEXT(MOD(IF(MONTH(Sheet1!A316)&gt;=4,YEAR(Sheet1!A316),YEAR(Sheet1!A316)-1),100),"00")&amp;"-"&amp;TEXT(MOD(IF(MONTH(Sheet1!A316)&gt;=4,YEAR(Sheet1!A316),YEAR(Sheet1!A316)-1)+1,100),"00"),"")</f>
        <v>FY25-26</v>
      </c>
      <c r="B316" s="40" t="str">
        <f>IFERROR("Q"&amp;IF(MONTH(Sheet1!A316)&gt;=4,IF(MONTH(Sheet1!A316)&lt;=6,1,IF(MONTH(Sheet1!A316)&lt;=9,2,3)),4),"")</f>
        <v>Q3</v>
      </c>
      <c r="C316" s="39" t="str">
        <f>IFERROR(Sheet1!C316,0)</f>
        <v>S.A</v>
      </c>
      <c r="D316" s="39" t="str">
        <f>IFERROR(Sheet1!F316,0)</f>
        <v>Colombia</v>
      </c>
      <c r="E316" s="39" t="str">
        <f>IFERROR(Sheet1!E316,0)</f>
        <v>REDLLANTAS S.A</v>
      </c>
      <c r="F316" s="39" t="str">
        <f>IFERROR(IF(UPPER(TRIM(Sheet1!J316))="NH","Nhava Sheva",IF(UPPER(TRIM(Sheet1!J316))="ICD","ICD Dhannad",IF(UPPER(TRIM(Sheet1!J316))="TIHI","ICD Tihi",Sheet1!J316))),0)</f>
        <v>ICD Tihi</v>
      </c>
      <c r="G316" s="39" t="str">
        <f>IFERROR(Sheet1!M316,0)</f>
        <v>Buenaventura</v>
      </c>
      <c r="H316" s="39" t="str">
        <f>IFERROR(Sheet1!H316,0)</f>
        <v>Mentor Freight</v>
      </c>
      <c r="I316" s="39" t="str">
        <f>IFERROR(Sheet1!G316,0)</f>
        <v>FOB</v>
      </c>
      <c r="J316" s="39" t="str">
        <f>IFERROR(Sheet1!K316,0)</f>
        <v>CMA</v>
      </c>
      <c r="K316" s="41">
        <f>IFERROR(Sheet1!A316,0)</f>
        <v>46003</v>
      </c>
      <c r="L316" s="41">
        <f>IFERROR(Sheet1!I316,0)</f>
        <v>46003</v>
      </c>
      <c r="M316" s="47" t="str">
        <f>IFERROR(Sheet1!P316,0)</f>
        <v>NA</v>
      </c>
      <c r="N316" s="42">
        <f>IFERROR(IF(ISNUMBER(Sheet1!N316),Sheet1!N316,0),0)</f>
        <v>0</v>
      </c>
      <c r="O316" s="42">
        <f>IFERROR(IF(TRIM(F316)="Nhava Sheva",SUMPRODUCT((UPPER(TRIM('Origin Costs'!$A$5:$A$44))=UPPER(TRIM(J316)))*'Origin Costs'!$C$5:$C$44),IF(TRIM(F316)="ICD Tihi",SUMPRODUCT((UPPER(TRIM('Origin Costs'!$A$49:$A$88))=UPPER(TRIM(J316)))*'Origin Costs'!$C$49:$C$88),IF(TRIM(F316)="ICD Dhannad",SUMPRODUCT((UPPER(TRIM('Origin Costs'!$A$93:$A$132))=UPPER(TRIM(J316)))*'Origin Costs'!$C$93:$C$132),0))),0)</f>
        <v>1110.9666666666667</v>
      </c>
      <c r="P316" s="42">
        <f t="shared" si="4"/>
        <v>1110.9666666666667</v>
      </c>
      <c r="Q316" s="13" t="str">
        <f>IF(OR(Dashboard!$C$4="All Customers",$E316=Dashboard!$C$4),IF($E316="","",$P316+ROW()/10000000),"")</f>
        <v/>
      </c>
    </row>
    <row r="317" spans="1:17" ht="14.25" customHeight="1" x14ac:dyDescent="0.3">
      <c r="A317" s="43" t="str">
        <f>IFERROR("FY"&amp;TEXT(MOD(IF(MONTH(Sheet1!A317)&gt;=4,YEAR(Sheet1!A317),YEAR(Sheet1!A317)-1),100),"00")&amp;"-"&amp;TEXT(MOD(IF(MONTH(Sheet1!A317)&gt;=4,YEAR(Sheet1!A317),YEAR(Sheet1!A317)-1)+1,100),"00"),"")</f>
        <v>FY25-26</v>
      </c>
      <c r="B317" s="44" t="str">
        <f>IFERROR("Q"&amp;IF(MONTH(Sheet1!A317)&gt;=4,IF(MONTH(Sheet1!A317)&lt;=6,1,IF(MONTH(Sheet1!A317)&lt;=9,2,3)),4),"")</f>
        <v>Q3</v>
      </c>
      <c r="C317" s="43" t="str">
        <f>IFERROR(Sheet1!C317,0)</f>
        <v>S.A</v>
      </c>
      <c r="D317" s="43" t="str">
        <f>IFERROR(Sheet1!F317,0)</f>
        <v>Colombia</v>
      </c>
      <c r="E317" s="43" t="str">
        <f>IFERROR(Sheet1!E317,0)</f>
        <v>REDLLANTAS S.A</v>
      </c>
      <c r="F317" s="43" t="str">
        <f>IFERROR(IF(UPPER(TRIM(Sheet1!J317))="NH","Nhava Sheva",IF(UPPER(TRIM(Sheet1!J317))="ICD","ICD Dhannad",IF(UPPER(TRIM(Sheet1!J317))="TIHI","ICD Tihi",Sheet1!J317))),0)</f>
        <v>ICD Tihi</v>
      </c>
      <c r="G317" s="43" t="str">
        <f>IFERROR(Sheet1!M317,0)</f>
        <v>Buenaventura</v>
      </c>
      <c r="H317" s="43" t="str">
        <f>IFERROR(Sheet1!H317,0)</f>
        <v>Mentor Freight</v>
      </c>
      <c r="I317" s="43" t="str">
        <f>IFERROR(Sheet1!G317,0)</f>
        <v>FOB</v>
      </c>
      <c r="J317" s="43" t="str">
        <f>IFERROR(Sheet1!K317,0)</f>
        <v>CMA</v>
      </c>
      <c r="K317" s="45">
        <f>IFERROR(Sheet1!A317,0)</f>
        <v>46003</v>
      </c>
      <c r="L317" s="45">
        <f>IFERROR(Sheet1!I317,0)</f>
        <v>46003</v>
      </c>
      <c r="M317" s="47" t="str">
        <f>IFERROR(Sheet1!P317,0)</f>
        <v>NA</v>
      </c>
      <c r="N317" s="46">
        <f>IFERROR(IF(ISNUMBER(Sheet1!N317),Sheet1!N317,0),0)</f>
        <v>0</v>
      </c>
      <c r="O317" s="46">
        <f>IFERROR(IF(TRIM(F317)="Nhava Sheva",SUMPRODUCT((UPPER(TRIM('Origin Costs'!$A$5:$A$44))=UPPER(TRIM(J317)))*'Origin Costs'!$C$5:$C$44),IF(TRIM(F317)="ICD Tihi",SUMPRODUCT((UPPER(TRIM('Origin Costs'!$A$49:$A$88))=UPPER(TRIM(J317)))*'Origin Costs'!$C$49:$C$88),IF(TRIM(F317)="ICD Dhannad",SUMPRODUCT((UPPER(TRIM('Origin Costs'!$A$93:$A$132))=UPPER(TRIM(J317)))*'Origin Costs'!$C$93:$C$132),0))),0)</f>
        <v>1110.9666666666667</v>
      </c>
      <c r="P317" s="46">
        <f t="shared" si="4"/>
        <v>1110.9666666666667</v>
      </c>
      <c r="Q317" s="13" t="str">
        <f>IF(OR(Dashboard!$C$4="All Customers",$E317=Dashboard!$C$4),IF($E317="","",$P317+ROW()/10000000),"")</f>
        <v/>
      </c>
    </row>
    <row r="318" spans="1:17" ht="14.25" customHeight="1" x14ac:dyDescent="0.3">
      <c r="A318" s="39" t="str">
        <f>IFERROR("FY"&amp;TEXT(MOD(IF(MONTH(Sheet1!A318)&gt;=4,YEAR(Sheet1!A318),YEAR(Sheet1!A318)-1),100),"00")&amp;"-"&amp;TEXT(MOD(IF(MONTH(Sheet1!A318)&gt;=4,YEAR(Sheet1!A318),YEAR(Sheet1!A318)-1)+1,100),"00"),"")</f>
        <v>FY25-26</v>
      </c>
      <c r="B318" s="40" t="str">
        <f>IFERROR("Q"&amp;IF(MONTH(Sheet1!A318)&gt;=4,IF(MONTH(Sheet1!A318)&lt;=6,1,IF(MONTH(Sheet1!A318)&lt;=9,2,3)),4),"")</f>
        <v>Q3</v>
      </c>
      <c r="C318" s="39" t="str">
        <f>IFERROR(Sheet1!C318,0)</f>
        <v>S.A</v>
      </c>
      <c r="D318" s="39" t="str">
        <f>IFERROR(Sheet1!F318,0)</f>
        <v>Colombia</v>
      </c>
      <c r="E318" s="39" t="str">
        <f>IFERROR(Sheet1!E318,0)</f>
        <v>REDLLANTAS S.A</v>
      </c>
      <c r="F318" s="39" t="str">
        <f>IFERROR(IF(UPPER(TRIM(Sheet1!J318))="NH","Nhava Sheva",IF(UPPER(TRIM(Sheet1!J318))="ICD","ICD Dhannad",IF(UPPER(TRIM(Sheet1!J318))="TIHI","ICD Tihi",Sheet1!J318))),0)</f>
        <v>ICD Tihi</v>
      </c>
      <c r="G318" s="39" t="str">
        <f>IFERROR(Sheet1!M318,0)</f>
        <v>Buenaventura</v>
      </c>
      <c r="H318" s="39" t="str">
        <f>IFERROR(Sheet1!H318,0)</f>
        <v>Mentor Freight</v>
      </c>
      <c r="I318" s="39" t="str">
        <f>IFERROR(Sheet1!G318,0)</f>
        <v>FOB</v>
      </c>
      <c r="J318" s="39" t="str">
        <f>IFERROR(Sheet1!K318,0)</f>
        <v>CMA</v>
      </c>
      <c r="K318" s="41">
        <f>IFERROR(Sheet1!A318,0)</f>
        <v>46003</v>
      </c>
      <c r="L318" s="41">
        <f>IFERROR(Sheet1!I318,0)</f>
        <v>46003</v>
      </c>
      <c r="M318" s="47" t="str">
        <f>IFERROR(Sheet1!P318,0)</f>
        <v>NA</v>
      </c>
      <c r="N318" s="42">
        <f>IFERROR(IF(ISNUMBER(Sheet1!N318),Sheet1!N318,0),0)</f>
        <v>0</v>
      </c>
      <c r="O318" s="42">
        <f>IFERROR(IF(TRIM(F318)="Nhava Sheva",SUMPRODUCT((UPPER(TRIM('Origin Costs'!$A$5:$A$44))=UPPER(TRIM(J318)))*'Origin Costs'!$C$5:$C$44),IF(TRIM(F318)="ICD Tihi",SUMPRODUCT((UPPER(TRIM('Origin Costs'!$A$49:$A$88))=UPPER(TRIM(J318)))*'Origin Costs'!$C$49:$C$88),IF(TRIM(F318)="ICD Dhannad",SUMPRODUCT((UPPER(TRIM('Origin Costs'!$A$93:$A$132))=UPPER(TRIM(J318)))*'Origin Costs'!$C$93:$C$132),0))),0)</f>
        <v>1110.9666666666667</v>
      </c>
      <c r="P318" s="42">
        <f t="shared" si="4"/>
        <v>1110.9666666666667</v>
      </c>
      <c r="Q318" s="13" t="str">
        <f>IF(OR(Dashboard!$C$4="All Customers",$E318=Dashboard!$C$4),IF($E318="","",$P318+ROW()/10000000),"")</f>
        <v/>
      </c>
    </row>
    <row r="319" spans="1:17" ht="14.25" customHeight="1" x14ac:dyDescent="0.3">
      <c r="A319" s="43" t="str">
        <f>IFERROR("FY"&amp;TEXT(MOD(IF(MONTH(Sheet1!A319)&gt;=4,YEAR(Sheet1!A319),YEAR(Sheet1!A319)-1),100),"00")&amp;"-"&amp;TEXT(MOD(IF(MONTH(Sheet1!A319)&gt;=4,YEAR(Sheet1!A319),YEAR(Sheet1!A319)-1)+1,100),"00"),"")</f>
        <v>FY25-26</v>
      </c>
      <c r="B319" s="44" t="str">
        <f>IFERROR("Q"&amp;IF(MONTH(Sheet1!A319)&gt;=4,IF(MONTH(Sheet1!A319)&lt;=6,1,IF(MONTH(Sheet1!A319)&lt;=9,2,3)),4),"")</f>
        <v>Q3</v>
      </c>
      <c r="C319" s="43" t="str">
        <f>IFERROR(Sheet1!C319,0)</f>
        <v>S.A</v>
      </c>
      <c r="D319" s="43" t="str">
        <f>IFERROR(Sheet1!F319,0)</f>
        <v>Colombia</v>
      </c>
      <c r="E319" s="43" t="str">
        <f>IFERROR(Sheet1!E319,0)</f>
        <v>REDLLANTAS S.A</v>
      </c>
      <c r="F319" s="43" t="str">
        <f>IFERROR(IF(UPPER(TRIM(Sheet1!J319))="NH","Nhava Sheva",IF(UPPER(TRIM(Sheet1!J319))="ICD","ICD Dhannad",IF(UPPER(TRIM(Sheet1!J319))="TIHI","ICD Tihi",Sheet1!J319))),0)</f>
        <v>ICD Tihi</v>
      </c>
      <c r="G319" s="43" t="str">
        <f>IFERROR(Sheet1!M319,0)</f>
        <v>Buenaventura</v>
      </c>
      <c r="H319" s="43" t="str">
        <f>IFERROR(Sheet1!H319,0)</f>
        <v>Mentor Freight</v>
      </c>
      <c r="I319" s="43" t="str">
        <f>IFERROR(Sheet1!G319,0)</f>
        <v>FOB</v>
      </c>
      <c r="J319" s="43" t="str">
        <f>IFERROR(Sheet1!K319,0)</f>
        <v>CMA</v>
      </c>
      <c r="K319" s="45">
        <f>IFERROR(Sheet1!A319,0)</f>
        <v>46003</v>
      </c>
      <c r="L319" s="45">
        <f>IFERROR(Sheet1!I319,0)</f>
        <v>46003</v>
      </c>
      <c r="M319" s="47" t="str">
        <f>IFERROR(Sheet1!P319,0)</f>
        <v>NA</v>
      </c>
      <c r="N319" s="46">
        <f>IFERROR(IF(ISNUMBER(Sheet1!N319),Sheet1!N319,0),0)</f>
        <v>0</v>
      </c>
      <c r="O319" s="46">
        <f>IFERROR(IF(TRIM(F319)="Nhava Sheva",SUMPRODUCT((UPPER(TRIM('Origin Costs'!$A$5:$A$44))=UPPER(TRIM(J319)))*'Origin Costs'!$C$5:$C$44),IF(TRIM(F319)="ICD Tihi",SUMPRODUCT((UPPER(TRIM('Origin Costs'!$A$49:$A$88))=UPPER(TRIM(J319)))*'Origin Costs'!$C$49:$C$88),IF(TRIM(F319)="ICD Dhannad",SUMPRODUCT((UPPER(TRIM('Origin Costs'!$A$93:$A$132))=UPPER(TRIM(J319)))*'Origin Costs'!$C$93:$C$132),0))),0)</f>
        <v>1110.9666666666667</v>
      </c>
      <c r="P319" s="46">
        <f t="shared" si="4"/>
        <v>1110.9666666666667</v>
      </c>
      <c r="Q319" s="13" t="str">
        <f>IF(OR(Dashboard!$C$4="All Customers",$E319=Dashboard!$C$4),IF($E319="","",$P319+ROW()/10000000),"")</f>
        <v/>
      </c>
    </row>
    <row r="320" spans="1:17" ht="14.25" customHeight="1" x14ac:dyDescent="0.3">
      <c r="A320" s="39" t="str">
        <f>IFERROR("FY"&amp;TEXT(MOD(IF(MONTH(Sheet1!A320)&gt;=4,YEAR(Sheet1!A320),YEAR(Sheet1!A320)-1),100),"00")&amp;"-"&amp;TEXT(MOD(IF(MONTH(Sheet1!A320)&gt;=4,YEAR(Sheet1!A320),YEAR(Sheet1!A320)-1)+1,100),"00"),"")</f>
        <v>FY25-26</v>
      </c>
      <c r="B320" s="40" t="str">
        <f>IFERROR("Q"&amp;IF(MONTH(Sheet1!A320)&gt;=4,IF(MONTH(Sheet1!A320)&lt;=6,1,IF(MONTH(Sheet1!A320)&lt;=9,2,3)),4),"")</f>
        <v>Q3</v>
      </c>
      <c r="C320" s="39" t="str">
        <f>IFERROR(Sheet1!C320,0)</f>
        <v>S.A</v>
      </c>
      <c r="D320" s="39" t="str">
        <f>IFERROR(Sheet1!F320,0)</f>
        <v>Colombia</v>
      </c>
      <c r="E320" s="39" t="str">
        <f>IFERROR(Sheet1!E320,0)</f>
        <v>Acostallantas S.A, Colombia</v>
      </c>
      <c r="F320" s="39" t="str">
        <f>IFERROR(IF(UPPER(TRIM(Sheet1!J320))="NH","Nhava Sheva",IF(UPPER(TRIM(Sheet1!J320))="ICD","ICD Dhannad",IF(UPPER(TRIM(Sheet1!J320))="TIHI","ICD Tihi",Sheet1!J320))),0)</f>
        <v>ICD Dhannad</v>
      </c>
      <c r="G320" s="39" t="str">
        <f>IFERROR(Sheet1!M320,0)</f>
        <v>Buenaventura</v>
      </c>
      <c r="H320" s="39" t="str">
        <f>IFERROR(Sheet1!H320,0)</f>
        <v>Clearship</v>
      </c>
      <c r="I320" s="39" t="str">
        <f>IFERROR(Sheet1!G320,0)</f>
        <v>CIF</v>
      </c>
      <c r="J320" s="39" t="str">
        <f>IFERROR(Sheet1!K320,0)</f>
        <v>CMA</v>
      </c>
      <c r="K320" s="41">
        <f>IFERROR(Sheet1!A320,0)</f>
        <v>46004</v>
      </c>
      <c r="L320" s="41">
        <f>IFERROR(Sheet1!I320,0)</f>
        <v>46004</v>
      </c>
      <c r="M320" s="47" t="str">
        <f>IFERROR(Sheet1!P320,0)</f>
        <v>NA</v>
      </c>
      <c r="N320" s="42">
        <f>IFERROR(IF(ISNUMBER(Sheet1!N320),Sheet1!N320,0),0)</f>
        <v>1490</v>
      </c>
      <c r="O320" s="42">
        <f>IFERROR(IF(TRIM(F320)="Nhava Sheva",SUMPRODUCT((UPPER(TRIM('Origin Costs'!$A$5:$A$44))=UPPER(TRIM(J320)))*'Origin Costs'!$C$5:$C$44),IF(TRIM(F320)="ICD Tihi",SUMPRODUCT((UPPER(TRIM('Origin Costs'!$A$49:$A$88))=UPPER(TRIM(J320)))*'Origin Costs'!$C$49:$C$88),IF(TRIM(F320)="ICD Dhannad",SUMPRODUCT((UPPER(TRIM('Origin Costs'!$A$93:$A$132))=UPPER(TRIM(J320)))*'Origin Costs'!$C$93:$C$132),0))),0)</f>
        <v>0</v>
      </c>
      <c r="P320" s="42">
        <f t="shared" si="4"/>
        <v>1490</v>
      </c>
      <c r="Q320" s="13">
        <f>IF(OR(Dashboard!$C$4="All Customers",$E320=Dashboard!$C$4),IF($E320="","",$P320+ROW()/10000000),"")</f>
        <v>1490.0000319999999</v>
      </c>
    </row>
    <row r="321" spans="1:17" ht="14.25" customHeight="1" x14ac:dyDescent="0.3">
      <c r="A321" s="43" t="str">
        <f>IFERROR("FY"&amp;TEXT(MOD(IF(MONTH(Sheet1!A321)&gt;=4,YEAR(Sheet1!A321),YEAR(Sheet1!A321)-1),100),"00")&amp;"-"&amp;TEXT(MOD(IF(MONTH(Sheet1!A321)&gt;=4,YEAR(Sheet1!A321),YEAR(Sheet1!A321)-1)+1,100),"00"),"")</f>
        <v>FY25-26</v>
      </c>
      <c r="B321" s="44" t="str">
        <f>IFERROR("Q"&amp;IF(MONTH(Sheet1!A321)&gt;=4,IF(MONTH(Sheet1!A321)&lt;=6,1,IF(MONTH(Sheet1!A321)&lt;=9,2,3)),4),"")</f>
        <v>Q3</v>
      </c>
      <c r="C321" s="43" t="str">
        <f>IFERROR(Sheet1!C321,0)</f>
        <v>S.A</v>
      </c>
      <c r="D321" s="43" t="str">
        <f>IFERROR(Sheet1!F321,0)</f>
        <v>Colombia</v>
      </c>
      <c r="E321" s="43" t="str">
        <f>IFERROR(Sheet1!E321,0)</f>
        <v>Acostallantas S.A, Colombia</v>
      </c>
      <c r="F321" s="43" t="str">
        <f>IFERROR(IF(UPPER(TRIM(Sheet1!J321))="NH","Nhava Sheva",IF(UPPER(TRIM(Sheet1!J321))="ICD","ICD Dhannad",IF(UPPER(TRIM(Sheet1!J321))="TIHI","ICD Tihi",Sheet1!J321))),0)</f>
        <v>ICD Dhannad</v>
      </c>
      <c r="G321" s="43" t="str">
        <f>IFERROR(Sheet1!M321,0)</f>
        <v>Buenaventura</v>
      </c>
      <c r="H321" s="43" t="str">
        <f>IFERROR(Sheet1!H321,0)</f>
        <v>Clearship</v>
      </c>
      <c r="I321" s="43" t="str">
        <f>IFERROR(Sheet1!G321,0)</f>
        <v>CIF</v>
      </c>
      <c r="J321" s="43" t="str">
        <f>IFERROR(Sheet1!K321,0)</f>
        <v>CMA</v>
      </c>
      <c r="K321" s="45">
        <f>IFERROR(Sheet1!A321,0)</f>
        <v>46004</v>
      </c>
      <c r="L321" s="45">
        <f>IFERROR(Sheet1!I321,0)</f>
        <v>46004</v>
      </c>
      <c r="M321" s="47" t="str">
        <f>IFERROR(Sheet1!P321,0)</f>
        <v>NA</v>
      </c>
      <c r="N321" s="46">
        <f>IFERROR(IF(ISNUMBER(Sheet1!N321),Sheet1!N321,0),0)</f>
        <v>1490</v>
      </c>
      <c r="O321" s="46">
        <f>IFERROR(IF(TRIM(F321)="Nhava Sheva",SUMPRODUCT((UPPER(TRIM('Origin Costs'!$A$5:$A$44))=UPPER(TRIM(J321)))*'Origin Costs'!$C$5:$C$44),IF(TRIM(F321)="ICD Tihi",SUMPRODUCT((UPPER(TRIM('Origin Costs'!$A$49:$A$88))=UPPER(TRIM(J321)))*'Origin Costs'!$C$49:$C$88),IF(TRIM(F321)="ICD Dhannad",SUMPRODUCT((UPPER(TRIM('Origin Costs'!$A$93:$A$132))=UPPER(TRIM(J321)))*'Origin Costs'!$C$93:$C$132),0))),0)</f>
        <v>0</v>
      </c>
      <c r="P321" s="46">
        <f t="shared" si="4"/>
        <v>1490</v>
      </c>
      <c r="Q321" s="13">
        <f>IF(OR(Dashboard!$C$4="All Customers",$E321=Dashboard!$C$4),IF($E321="","",$P321+ROW()/10000000),"")</f>
        <v>1490.0000321</v>
      </c>
    </row>
    <row r="322" spans="1:17" ht="14.25" customHeight="1" x14ac:dyDescent="0.3">
      <c r="A322" s="39" t="str">
        <f>IFERROR("FY"&amp;TEXT(MOD(IF(MONTH(Sheet1!A322)&gt;=4,YEAR(Sheet1!A322),YEAR(Sheet1!A322)-1),100),"00")&amp;"-"&amp;TEXT(MOD(IF(MONTH(Sheet1!A322)&gt;=4,YEAR(Sheet1!A322),YEAR(Sheet1!A322)-1)+1,100),"00"),"")</f>
        <v>FY25-26</v>
      </c>
      <c r="B322" s="40" t="str">
        <f>IFERROR("Q"&amp;IF(MONTH(Sheet1!A322)&gt;=4,IF(MONTH(Sheet1!A322)&lt;=6,1,IF(MONTH(Sheet1!A322)&lt;=9,2,3)),4),"")</f>
        <v>Q3</v>
      </c>
      <c r="C322" s="39" t="str">
        <f>IFERROR(Sheet1!C322,0)</f>
        <v>S.A</v>
      </c>
      <c r="D322" s="39" t="str">
        <f>IFERROR(Sheet1!F322,0)</f>
        <v>Puerto Rico</v>
      </c>
      <c r="E322" s="39" t="str">
        <f>IFERROR(Sheet1!E322,0)</f>
        <v>Correa Tire Distributor Inc, Puerte Rico</v>
      </c>
      <c r="F322" s="39" t="str">
        <f>IFERROR(IF(UPPER(TRIM(Sheet1!J322))="NH","Nhava Sheva",IF(UPPER(TRIM(Sheet1!J322))="ICD","ICD Dhannad",IF(UPPER(TRIM(Sheet1!J322))="TIHI","ICD Tihi",Sheet1!J322))),0)</f>
        <v>Nhava Sheva</v>
      </c>
      <c r="G322" s="39" t="str">
        <f>IFERROR(Sheet1!M322,0)</f>
        <v>San Juan</v>
      </c>
      <c r="H322" s="39" t="str">
        <f>IFERROR(Sheet1!H322,0)</f>
        <v>Expo Freight</v>
      </c>
      <c r="I322" s="39" t="str">
        <f>IFERROR(Sheet1!G322,0)</f>
        <v>FOB</v>
      </c>
      <c r="J322" s="39" t="str">
        <f>IFERROR(Sheet1!K322,0)</f>
        <v>Hapag</v>
      </c>
      <c r="K322" s="41">
        <f>IFERROR(Sheet1!A322,0)</f>
        <v>46005</v>
      </c>
      <c r="L322" s="41">
        <f>IFERROR(Sheet1!I322,0)</f>
        <v>46003</v>
      </c>
      <c r="M322" s="47" t="str">
        <f>IFERROR(Sheet1!P322,0)</f>
        <v>NA</v>
      </c>
      <c r="N322" s="42">
        <f>IFERROR(IF(ISNUMBER(Sheet1!N322),Sheet1!N322,0),0)</f>
        <v>0</v>
      </c>
      <c r="O322" s="42">
        <f>IFERROR(IF(TRIM(F322)="Nhava Sheva",SUMPRODUCT((UPPER(TRIM('Origin Costs'!$A$5:$A$44))=UPPER(TRIM(J322)))*'Origin Costs'!$C$5:$C$44),IF(TRIM(F322)="ICD Tihi",SUMPRODUCT((UPPER(TRIM('Origin Costs'!$A$49:$A$88))=UPPER(TRIM(J322)))*'Origin Costs'!$C$49:$C$88),IF(TRIM(F322)="ICD Dhannad",SUMPRODUCT((UPPER(TRIM('Origin Costs'!$A$93:$A$132))=UPPER(TRIM(J322)))*'Origin Costs'!$C$93:$C$132),0))),0)</f>
        <v>1192.9777777777779</v>
      </c>
      <c r="P322" s="42">
        <f t="shared" ref="P322:P385" si="5">N322+O322</f>
        <v>1192.9777777777779</v>
      </c>
      <c r="Q322" s="13" t="str">
        <f>IF(OR(Dashboard!$C$4="All Customers",$E322=Dashboard!$C$4),IF($E322="","",$P322+ROW()/10000000),"")</f>
        <v/>
      </c>
    </row>
    <row r="323" spans="1:17" ht="14.25" customHeight="1" x14ac:dyDescent="0.3">
      <c r="A323" s="43" t="str">
        <f>IFERROR("FY"&amp;TEXT(MOD(IF(MONTH(Sheet1!A323)&gt;=4,YEAR(Sheet1!A323),YEAR(Sheet1!A323)-1),100),"00")&amp;"-"&amp;TEXT(MOD(IF(MONTH(Sheet1!A323)&gt;=4,YEAR(Sheet1!A323),YEAR(Sheet1!A323)-1)+1,100),"00"),"")</f>
        <v>FY25-26</v>
      </c>
      <c r="B323" s="44" t="str">
        <f>IFERROR("Q"&amp;IF(MONTH(Sheet1!A323)&gt;=4,IF(MONTH(Sheet1!A323)&lt;=6,1,IF(MONTH(Sheet1!A323)&lt;=9,2,3)),4),"")</f>
        <v>Q3</v>
      </c>
      <c r="C323" s="43" t="str">
        <f>IFERROR(Sheet1!C323,0)</f>
        <v>Europe</v>
      </c>
      <c r="D323" s="43" t="str">
        <f>IFERROR(Sheet1!F323,0)</f>
        <v>Croatia</v>
      </c>
      <c r="E323" s="43" t="str">
        <f>IFERROR(Sheet1!E323,0)</f>
        <v>Inter Cars d.o.o., Croatia</v>
      </c>
      <c r="F323" s="43" t="str">
        <f>IFERROR(IF(UPPER(TRIM(Sheet1!J323))="NH","Nhava Sheva",IF(UPPER(TRIM(Sheet1!J323))="ICD","ICD Dhannad",IF(UPPER(TRIM(Sheet1!J323))="TIHI","ICD Tihi",Sheet1!J323))),0)</f>
        <v>ICD Tihi</v>
      </c>
      <c r="G323" s="43" t="str">
        <f>IFERROR(Sheet1!M323,0)</f>
        <v>Rijeka</v>
      </c>
      <c r="H323" s="43" t="str">
        <f>IFERROR(Sheet1!H323,0)</f>
        <v>DHL</v>
      </c>
      <c r="I323" s="43" t="str">
        <f>IFERROR(Sheet1!G323,0)</f>
        <v>FOB</v>
      </c>
      <c r="J323" s="43" t="str">
        <f>IFERROR(Sheet1!K323,0)</f>
        <v>MSC</v>
      </c>
      <c r="K323" s="45">
        <f>IFERROR(Sheet1!A323,0)</f>
        <v>46005</v>
      </c>
      <c r="L323" s="45">
        <f>IFERROR(Sheet1!I323,0)</f>
        <v>46006</v>
      </c>
      <c r="M323" s="47" t="str">
        <f>IFERROR(Sheet1!P323,0)</f>
        <v>NA</v>
      </c>
      <c r="N323" s="46">
        <f>IFERROR(IF(ISNUMBER(Sheet1!N323),Sheet1!N323,0),0)</f>
        <v>0</v>
      </c>
      <c r="O323" s="46">
        <f>IFERROR(IF(TRIM(F323)="Nhava Sheva",SUMPRODUCT((UPPER(TRIM('Origin Costs'!$A$5:$A$44))=UPPER(TRIM(J323)))*'Origin Costs'!$C$5:$C$44),IF(TRIM(F323)="ICD Tihi",SUMPRODUCT((UPPER(TRIM('Origin Costs'!$A$49:$A$88))=UPPER(TRIM(J323)))*'Origin Costs'!$C$49:$C$88),IF(TRIM(F323)="ICD Dhannad",SUMPRODUCT((UPPER(TRIM('Origin Costs'!$A$93:$A$132))=UPPER(TRIM(J323)))*'Origin Costs'!$C$93:$C$132),0))),0)</f>
        <v>1081.3333333333333</v>
      </c>
      <c r="P323" s="46">
        <f t="shared" si="5"/>
        <v>1081.3333333333333</v>
      </c>
      <c r="Q323" s="13" t="str">
        <f>IF(OR(Dashboard!$C$4="All Customers",$E323=Dashboard!$C$4),IF($E323="","",$P323+ROW()/10000000),"")</f>
        <v/>
      </c>
    </row>
    <row r="324" spans="1:17" ht="14.25" customHeight="1" x14ac:dyDescent="0.3">
      <c r="A324" s="39" t="str">
        <f>IFERROR("FY"&amp;TEXT(MOD(IF(MONTH(Sheet1!A324)&gt;=4,YEAR(Sheet1!A324),YEAR(Sheet1!A324)-1),100),"00")&amp;"-"&amp;TEXT(MOD(IF(MONTH(Sheet1!A324)&gt;=4,YEAR(Sheet1!A324),YEAR(Sheet1!A324)-1)+1,100),"00"),"")</f>
        <v>FY25-26</v>
      </c>
      <c r="B324" s="40" t="str">
        <f>IFERROR("Q"&amp;IF(MONTH(Sheet1!A324)&gt;=4,IF(MONTH(Sheet1!A324)&lt;=6,1,IF(MONTH(Sheet1!A324)&lt;=9,2,3)),4),"")</f>
        <v>Q3</v>
      </c>
      <c r="C324" s="39" t="str">
        <f>IFERROR(Sheet1!C324,0)</f>
        <v>Europe</v>
      </c>
      <c r="D324" s="39" t="str">
        <f>IFERROR(Sheet1!F324,0)</f>
        <v>Croatia</v>
      </c>
      <c r="E324" s="39" t="str">
        <f>IFERROR(Sheet1!E324,0)</f>
        <v>Inter Cars d.o.o., Croatia</v>
      </c>
      <c r="F324" s="39" t="str">
        <f>IFERROR(IF(UPPER(TRIM(Sheet1!J324))="NH","Nhava Sheva",IF(UPPER(TRIM(Sheet1!J324))="ICD","ICD Dhannad",IF(UPPER(TRIM(Sheet1!J324))="TIHI","ICD Tihi",Sheet1!J324))),0)</f>
        <v>ICD Tihi</v>
      </c>
      <c r="G324" s="39" t="str">
        <f>IFERROR(Sheet1!M324,0)</f>
        <v>Rijeka</v>
      </c>
      <c r="H324" s="39" t="str">
        <f>IFERROR(Sheet1!H324,0)</f>
        <v>DHL</v>
      </c>
      <c r="I324" s="39" t="str">
        <f>IFERROR(Sheet1!G324,0)</f>
        <v>FOB</v>
      </c>
      <c r="J324" s="39" t="str">
        <f>IFERROR(Sheet1!K324,0)</f>
        <v>MSC</v>
      </c>
      <c r="K324" s="41">
        <f>IFERROR(Sheet1!A324,0)</f>
        <v>46005</v>
      </c>
      <c r="L324" s="41">
        <f>IFERROR(Sheet1!I324,0)</f>
        <v>46006</v>
      </c>
      <c r="M324" s="47" t="str">
        <f>IFERROR(Sheet1!P324,0)</f>
        <v>NA</v>
      </c>
      <c r="N324" s="42">
        <f>IFERROR(IF(ISNUMBER(Sheet1!N324),Sheet1!N324,0),0)</f>
        <v>0</v>
      </c>
      <c r="O324" s="42">
        <f>IFERROR(IF(TRIM(F324)="Nhava Sheva",SUMPRODUCT((UPPER(TRIM('Origin Costs'!$A$5:$A$44))=UPPER(TRIM(J324)))*'Origin Costs'!$C$5:$C$44),IF(TRIM(F324)="ICD Tihi",SUMPRODUCT((UPPER(TRIM('Origin Costs'!$A$49:$A$88))=UPPER(TRIM(J324)))*'Origin Costs'!$C$49:$C$88),IF(TRIM(F324)="ICD Dhannad",SUMPRODUCT((UPPER(TRIM('Origin Costs'!$A$93:$A$132))=UPPER(TRIM(J324)))*'Origin Costs'!$C$93:$C$132),0))),0)</f>
        <v>1081.3333333333333</v>
      </c>
      <c r="P324" s="42">
        <f t="shared" si="5"/>
        <v>1081.3333333333333</v>
      </c>
      <c r="Q324" s="13" t="str">
        <f>IF(OR(Dashboard!$C$4="All Customers",$E324=Dashboard!$C$4),IF($E324="","",$P324+ROW()/10000000),"")</f>
        <v/>
      </c>
    </row>
    <row r="325" spans="1:17" ht="14.25" customHeight="1" x14ac:dyDescent="0.3">
      <c r="A325" s="43" t="str">
        <f>IFERROR("FY"&amp;TEXT(MOD(IF(MONTH(Sheet1!A325)&gt;=4,YEAR(Sheet1!A325),YEAR(Sheet1!A325)-1),100),"00")&amp;"-"&amp;TEXT(MOD(IF(MONTH(Sheet1!A325)&gt;=4,YEAR(Sheet1!A325),YEAR(Sheet1!A325)-1)+1,100),"00"),"")</f>
        <v>FY25-26</v>
      </c>
      <c r="B325" s="44" t="str">
        <f>IFERROR("Q"&amp;IF(MONTH(Sheet1!A325)&gt;=4,IF(MONTH(Sheet1!A325)&lt;=6,1,IF(MONTH(Sheet1!A325)&lt;=9,2,3)),4),"")</f>
        <v>Q3</v>
      </c>
      <c r="C325" s="43" t="str">
        <f>IFERROR(Sheet1!C325,0)</f>
        <v>S.A</v>
      </c>
      <c r="D325" s="43" t="str">
        <f>IFERROR(Sheet1!F325,0)</f>
        <v>MEXICO</v>
      </c>
      <c r="E325" s="43" t="str">
        <f>IFERROR(Sheet1!E325,0)</f>
        <v>PC Tyres, Mexico</v>
      </c>
      <c r="F325" s="43" t="str">
        <f>IFERROR(IF(UPPER(TRIM(Sheet1!J325))="NH","Nhava Sheva",IF(UPPER(TRIM(Sheet1!J325))="ICD","ICD Dhannad",IF(UPPER(TRIM(Sheet1!J325))="TIHI","ICD Tihi",Sheet1!J325))),0)</f>
        <v>Nhava Sheva</v>
      </c>
      <c r="G325" s="43" t="str">
        <f>IFERROR(Sheet1!M325,0)</f>
        <v>MANZANILLO</v>
      </c>
      <c r="H325" s="43" t="str">
        <f>IFERROR(Sheet1!H325,0)</f>
        <v>Liyana Logistics</v>
      </c>
      <c r="I325" s="43" t="str">
        <f>IFERROR(Sheet1!G325,0)</f>
        <v>FOB</v>
      </c>
      <c r="J325" s="43" t="str">
        <f>IFERROR(Sheet1!K325,0)</f>
        <v>Evergreen</v>
      </c>
      <c r="K325" s="45">
        <f>IFERROR(Sheet1!A325,0)</f>
        <v>46007</v>
      </c>
      <c r="L325" s="45">
        <f>IFERROR(Sheet1!I325,0)</f>
        <v>46006</v>
      </c>
      <c r="M325" s="47" t="str">
        <f>IFERROR(Sheet1!P325,0)</f>
        <v>NA</v>
      </c>
      <c r="N325" s="46">
        <f>IFERROR(IF(ISNUMBER(Sheet1!N325),Sheet1!N325,0),0)</f>
        <v>0</v>
      </c>
      <c r="O325" s="46">
        <f>IFERROR(IF(TRIM(F325)="Nhava Sheva",SUMPRODUCT((UPPER(TRIM('Origin Costs'!$A$5:$A$44))=UPPER(TRIM(J325)))*'Origin Costs'!$C$5:$C$44),IF(TRIM(F325)="ICD Tihi",SUMPRODUCT((UPPER(TRIM('Origin Costs'!$A$49:$A$88))=UPPER(TRIM(J325)))*'Origin Costs'!$C$49:$C$88),IF(TRIM(F325)="ICD Dhannad",SUMPRODUCT((UPPER(TRIM('Origin Costs'!$A$93:$A$132))=UPPER(TRIM(J325)))*'Origin Costs'!$C$93:$C$132),0))),0)</f>
        <v>0</v>
      </c>
      <c r="P325" s="46">
        <f t="shared" si="5"/>
        <v>0</v>
      </c>
      <c r="Q325" s="13" t="str">
        <f>IF(OR(Dashboard!$C$4="All Customers",$E325=Dashboard!$C$4),IF($E325="","",$P325+ROW()/10000000),"")</f>
        <v/>
      </c>
    </row>
    <row r="326" spans="1:17" ht="14.25" customHeight="1" x14ac:dyDescent="0.3">
      <c r="A326" s="39" t="str">
        <f>IFERROR("FY"&amp;TEXT(MOD(IF(MONTH(Sheet1!A326)&gt;=4,YEAR(Sheet1!A326),YEAR(Sheet1!A326)-1),100),"00")&amp;"-"&amp;TEXT(MOD(IF(MONTH(Sheet1!A326)&gt;=4,YEAR(Sheet1!A326),YEAR(Sheet1!A326)-1)+1,100),"00"),"")</f>
        <v>FY25-26</v>
      </c>
      <c r="B326" s="40" t="str">
        <f>IFERROR("Q"&amp;IF(MONTH(Sheet1!A326)&gt;=4,IF(MONTH(Sheet1!A326)&lt;=6,1,IF(MONTH(Sheet1!A326)&lt;=9,2,3)),4),"")</f>
        <v>Q3</v>
      </c>
      <c r="C326" s="39" t="str">
        <f>IFERROR(Sheet1!C326,0)</f>
        <v>Europe</v>
      </c>
      <c r="D326" s="39" t="str">
        <f>IFERROR(Sheet1!F326,0)</f>
        <v>Poland</v>
      </c>
      <c r="E326" s="39" t="str">
        <f>IFERROR(Sheet1!E326,0)</f>
        <v>Inter Cars S.A., Poland</v>
      </c>
      <c r="F326" s="39" t="str">
        <f>IFERROR(IF(UPPER(TRIM(Sheet1!J326))="NH","Nhava Sheva",IF(UPPER(TRIM(Sheet1!J326))="ICD","ICD Dhannad",IF(UPPER(TRIM(Sheet1!J326))="TIHI","ICD Tihi",Sheet1!J326))),0)</f>
        <v>Nhava Sheva</v>
      </c>
      <c r="G326" s="39" t="str">
        <f>IFERROR(Sheet1!M326,0)</f>
        <v>Gdansk</v>
      </c>
      <c r="H326" s="39" t="str">
        <f>IFERROR(Sheet1!H326,0)</f>
        <v>FEI Cargo</v>
      </c>
      <c r="I326" s="39" t="str">
        <f>IFERROR(Sheet1!G326,0)</f>
        <v>FOB</v>
      </c>
      <c r="J326" s="39" t="str">
        <f>IFERROR(Sheet1!K326,0)</f>
        <v>Maersk</v>
      </c>
      <c r="K326" s="41">
        <f>IFERROR(Sheet1!A326,0)</f>
        <v>46015</v>
      </c>
      <c r="L326" s="41">
        <f>IFERROR(Sheet1!I326,0)</f>
        <v>46013</v>
      </c>
      <c r="M326" s="47" t="str">
        <f>IFERROR(Sheet1!P326,0)</f>
        <v>NA</v>
      </c>
      <c r="N326" s="42">
        <f>IFERROR(IF(ISNUMBER(Sheet1!N326),Sheet1!N326,0),0)</f>
        <v>0</v>
      </c>
      <c r="O326" s="42">
        <f>IFERROR(IF(TRIM(F326)="Nhava Sheva",SUMPRODUCT((UPPER(TRIM('Origin Costs'!$A$5:$A$44))=UPPER(TRIM(J326)))*'Origin Costs'!$C$5:$C$44),IF(TRIM(F326)="ICD Tihi",SUMPRODUCT((UPPER(TRIM('Origin Costs'!$A$49:$A$88))=UPPER(TRIM(J326)))*'Origin Costs'!$C$49:$C$88),IF(TRIM(F326)="ICD Dhannad",SUMPRODUCT((UPPER(TRIM('Origin Costs'!$A$93:$A$132))=UPPER(TRIM(J326)))*'Origin Costs'!$C$93:$C$132),0))),0)</f>
        <v>1148.588888888889</v>
      </c>
      <c r="P326" s="42">
        <f t="shared" si="5"/>
        <v>1148.588888888889</v>
      </c>
      <c r="Q326" s="13" t="str">
        <f>IF(OR(Dashboard!$C$4="All Customers",$E326=Dashboard!$C$4),IF($E326="","",$P326+ROW()/10000000),"")</f>
        <v/>
      </c>
    </row>
    <row r="327" spans="1:17" ht="14.25" customHeight="1" x14ac:dyDescent="0.3">
      <c r="A327" s="43" t="str">
        <f>IFERROR("FY"&amp;TEXT(MOD(IF(MONTH(Sheet1!A327)&gt;=4,YEAR(Sheet1!A327),YEAR(Sheet1!A327)-1),100),"00")&amp;"-"&amp;TEXT(MOD(IF(MONTH(Sheet1!A327)&gt;=4,YEAR(Sheet1!A327),YEAR(Sheet1!A327)-1)+1,100),"00"),"")</f>
        <v>FY25-26</v>
      </c>
      <c r="B327" s="44" t="str">
        <f>IFERROR("Q"&amp;IF(MONTH(Sheet1!A327)&gt;=4,IF(MONTH(Sheet1!A327)&lt;=6,1,IF(MONTH(Sheet1!A327)&lt;=9,2,3)),4),"")</f>
        <v>Q3</v>
      </c>
      <c r="C327" s="43" t="str">
        <f>IFERROR(Sheet1!C327,0)</f>
        <v>Europe</v>
      </c>
      <c r="D327" s="43" t="str">
        <f>IFERROR(Sheet1!F327,0)</f>
        <v>Poland</v>
      </c>
      <c r="E327" s="43" t="str">
        <f>IFERROR(Sheet1!E327,0)</f>
        <v>Inter Cars S.A., Poland</v>
      </c>
      <c r="F327" s="43" t="str">
        <f>IFERROR(IF(UPPER(TRIM(Sheet1!J327))="NH","Nhava Sheva",IF(UPPER(TRIM(Sheet1!J327))="ICD","ICD Dhannad",IF(UPPER(TRIM(Sheet1!J327))="TIHI","ICD Tihi",Sheet1!J327))),0)</f>
        <v>Nhava Sheva</v>
      </c>
      <c r="G327" s="43" t="str">
        <f>IFERROR(Sheet1!M327,0)</f>
        <v>Gdansk</v>
      </c>
      <c r="H327" s="43" t="str">
        <f>IFERROR(Sheet1!H327,0)</f>
        <v>FEI Cargo</v>
      </c>
      <c r="I327" s="43" t="str">
        <f>IFERROR(Sheet1!G327,0)</f>
        <v>FOB</v>
      </c>
      <c r="J327" s="43" t="str">
        <f>IFERROR(Sheet1!K327,0)</f>
        <v>Maersk</v>
      </c>
      <c r="K327" s="45">
        <f>IFERROR(Sheet1!A327,0)</f>
        <v>46015</v>
      </c>
      <c r="L327" s="45">
        <f>IFERROR(Sheet1!I327,0)</f>
        <v>46013</v>
      </c>
      <c r="M327" s="47" t="str">
        <f>IFERROR(Sheet1!P327,0)</f>
        <v>NA</v>
      </c>
      <c r="N327" s="46">
        <f>IFERROR(IF(ISNUMBER(Sheet1!N327),Sheet1!N327,0),0)</f>
        <v>0</v>
      </c>
      <c r="O327" s="46">
        <f>IFERROR(IF(TRIM(F327)="Nhava Sheva",SUMPRODUCT((UPPER(TRIM('Origin Costs'!$A$5:$A$44))=UPPER(TRIM(J327)))*'Origin Costs'!$C$5:$C$44),IF(TRIM(F327)="ICD Tihi",SUMPRODUCT((UPPER(TRIM('Origin Costs'!$A$49:$A$88))=UPPER(TRIM(J327)))*'Origin Costs'!$C$49:$C$88),IF(TRIM(F327)="ICD Dhannad",SUMPRODUCT((UPPER(TRIM('Origin Costs'!$A$93:$A$132))=UPPER(TRIM(J327)))*'Origin Costs'!$C$93:$C$132),0))),0)</f>
        <v>1148.588888888889</v>
      </c>
      <c r="P327" s="46">
        <f t="shared" si="5"/>
        <v>1148.588888888889</v>
      </c>
      <c r="Q327" s="13" t="str">
        <f>IF(OR(Dashboard!$C$4="All Customers",$E327=Dashboard!$C$4),IF($E327="","",$P327+ROW()/10000000),"")</f>
        <v/>
      </c>
    </row>
    <row r="328" spans="1:17" ht="14.25" customHeight="1" x14ac:dyDescent="0.3">
      <c r="A328" s="39" t="str">
        <f>IFERROR("FY"&amp;TEXT(MOD(IF(MONTH(Sheet1!A328)&gt;=4,YEAR(Sheet1!A328),YEAR(Sheet1!A328)-1),100),"00")&amp;"-"&amp;TEXT(MOD(IF(MONTH(Sheet1!A328)&gt;=4,YEAR(Sheet1!A328),YEAR(Sheet1!A328)-1)+1,100),"00"),"")</f>
        <v>FY25-26</v>
      </c>
      <c r="B328" s="40" t="str">
        <f>IFERROR("Q"&amp;IF(MONTH(Sheet1!A328)&gt;=4,IF(MONTH(Sheet1!A328)&lt;=6,1,IF(MONTH(Sheet1!A328)&lt;=9,2,3)),4),"")</f>
        <v>Q3</v>
      </c>
      <c r="C328" s="39" t="str">
        <f>IFERROR(Sheet1!C328,0)</f>
        <v>Europe</v>
      </c>
      <c r="D328" s="39" t="str">
        <f>IFERROR(Sheet1!F328,0)</f>
        <v>Italy</v>
      </c>
      <c r="E328" s="39" t="str">
        <f>IFERROR(Sheet1!E328,0)</f>
        <v>Fintyre Spa, Italy</v>
      </c>
      <c r="F328" s="39" t="str">
        <f>IFERROR(IF(UPPER(TRIM(Sheet1!J328))="NH","Nhava Sheva",IF(UPPER(TRIM(Sheet1!J328))="ICD","ICD Dhannad",IF(UPPER(TRIM(Sheet1!J328))="TIHI","ICD Tihi",Sheet1!J328))),0)</f>
        <v>Nhava Sheva</v>
      </c>
      <c r="G328" s="39" t="str">
        <f>IFERROR(Sheet1!M328,0)</f>
        <v>Genoa</v>
      </c>
      <c r="H328" s="39" t="str">
        <f>IFERROR(Sheet1!H328,0)</f>
        <v>FEI Cargo</v>
      </c>
      <c r="I328" s="39" t="str">
        <f>IFERROR(Sheet1!G328,0)</f>
        <v>FOB</v>
      </c>
      <c r="J328" s="39" t="str">
        <f>IFERROR(Sheet1!K328,0)</f>
        <v>Hapag</v>
      </c>
      <c r="K328" s="41">
        <f>IFERROR(Sheet1!A328,0)</f>
        <v>46018</v>
      </c>
      <c r="L328" s="41">
        <f>IFERROR(Sheet1!I328,0)</f>
        <v>46015</v>
      </c>
      <c r="M328" s="47" t="str">
        <f>IFERROR(Sheet1!P328,0)</f>
        <v>NA</v>
      </c>
      <c r="N328" s="42">
        <f>IFERROR(IF(ISNUMBER(Sheet1!N328),Sheet1!N328,0),0)</f>
        <v>0</v>
      </c>
      <c r="O328" s="42">
        <f>IFERROR(IF(TRIM(F328)="Nhava Sheva",SUMPRODUCT((UPPER(TRIM('Origin Costs'!$A$5:$A$44))=UPPER(TRIM(J328)))*'Origin Costs'!$C$5:$C$44),IF(TRIM(F328)="ICD Tihi",SUMPRODUCT((UPPER(TRIM('Origin Costs'!$A$49:$A$88))=UPPER(TRIM(J328)))*'Origin Costs'!$C$49:$C$88),IF(TRIM(F328)="ICD Dhannad",SUMPRODUCT((UPPER(TRIM('Origin Costs'!$A$93:$A$132))=UPPER(TRIM(J328)))*'Origin Costs'!$C$93:$C$132),0))),0)</f>
        <v>1192.9777777777779</v>
      </c>
      <c r="P328" s="42">
        <f t="shared" si="5"/>
        <v>1192.9777777777779</v>
      </c>
      <c r="Q328" s="13" t="str">
        <f>IF(OR(Dashboard!$C$4="All Customers",$E328=Dashboard!$C$4),IF($E328="","",$P328+ROW()/10000000),"")</f>
        <v/>
      </c>
    </row>
    <row r="329" spans="1:17" ht="14.25" customHeight="1" x14ac:dyDescent="0.3">
      <c r="A329" s="43" t="str">
        <f>IFERROR("FY"&amp;TEXT(MOD(IF(MONTH(Sheet1!A329)&gt;=4,YEAR(Sheet1!A329),YEAR(Sheet1!A329)-1),100),"00")&amp;"-"&amp;TEXT(MOD(IF(MONTH(Sheet1!A329)&gt;=4,YEAR(Sheet1!A329),YEAR(Sheet1!A329)-1)+1,100),"00"),"")</f>
        <v>FY25-26</v>
      </c>
      <c r="B329" s="44" t="str">
        <f>IFERROR("Q"&amp;IF(MONTH(Sheet1!A329)&gt;=4,IF(MONTH(Sheet1!A329)&lt;=6,1,IF(MONTH(Sheet1!A329)&lt;=9,2,3)),4),"")</f>
        <v>Q3</v>
      </c>
      <c r="C329" s="43" t="str">
        <f>IFERROR(Sheet1!C329,0)</f>
        <v>Europe</v>
      </c>
      <c r="D329" s="43" t="str">
        <f>IFERROR(Sheet1!F329,0)</f>
        <v>Italy</v>
      </c>
      <c r="E329" s="43" t="str">
        <f>IFERROR(Sheet1!E329,0)</f>
        <v>Fintyre Spa, Italy</v>
      </c>
      <c r="F329" s="43" t="str">
        <f>IFERROR(IF(UPPER(TRIM(Sheet1!J329))="NH","Nhava Sheva",IF(UPPER(TRIM(Sheet1!J329))="ICD","ICD Dhannad",IF(UPPER(TRIM(Sheet1!J329))="TIHI","ICD Tihi",Sheet1!J329))),0)</f>
        <v>Nhava Sheva</v>
      </c>
      <c r="G329" s="43" t="str">
        <f>IFERROR(Sheet1!M329,0)</f>
        <v>Genoa</v>
      </c>
      <c r="H329" s="43" t="str">
        <f>IFERROR(Sheet1!H329,0)</f>
        <v>FEI Cargo</v>
      </c>
      <c r="I329" s="43" t="str">
        <f>IFERROR(Sheet1!G329,0)</f>
        <v>FOB</v>
      </c>
      <c r="J329" s="43" t="str">
        <f>IFERROR(Sheet1!K329,0)</f>
        <v>Hapag</v>
      </c>
      <c r="K329" s="45">
        <f>IFERROR(Sheet1!A329,0)</f>
        <v>46018</v>
      </c>
      <c r="L329" s="45">
        <f>IFERROR(Sheet1!I329,0)</f>
        <v>46015</v>
      </c>
      <c r="M329" s="47" t="str">
        <f>IFERROR(Sheet1!P329,0)</f>
        <v>NA</v>
      </c>
      <c r="N329" s="46">
        <f>IFERROR(IF(ISNUMBER(Sheet1!N329),Sheet1!N329,0),0)</f>
        <v>0</v>
      </c>
      <c r="O329" s="46">
        <f>IFERROR(IF(TRIM(F329)="Nhava Sheva",SUMPRODUCT((UPPER(TRIM('Origin Costs'!$A$5:$A$44))=UPPER(TRIM(J329)))*'Origin Costs'!$C$5:$C$44),IF(TRIM(F329)="ICD Tihi",SUMPRODUCT((UPPER(TRIM('Origin Costs'!$A$49:$A$88))=UPPER(TRIM(J329)))*'Origin Costs'!$C$49:$C$88),IF(TRIM(F329)="ICD Dhannad",SUMPRODUCT((UPPER(TRIM('Origin Costs'!$A$93:$A$132))=UPPER(TRIM(J329)))*'Origin Costs'!$C$93:$C$132),0))),0)</f>
        <v>1192.9777777777779</v>
      </c>
      <c r="P329" s="46">
        <f t="shared" si="5"/>
        <v>1192.9777777777779</v>
      </c>
      <c r="Q329" s="13" t="str">
        <f>IF(OR(Dashboard!$C$4="All Customers",$E329=Dashboard!$C$4),IF($E329="","",$P329+ROW()/10000000),"")</f>
        <v/>
      </c>
    </row>
    <row r="330" spans="1:17" ht="14.25" customHeight="1" x14ac:dyDescent="0.3">
      <c r="A330" s="39" t="str">
        <f>IFERROR("FY"&amp;TEXT(MOD(IF(MONTH(Sheet1!A330)&gt;=4,YEAR(Sheet1!A330),YEAR(Sheet1!A330)-1),100),"00")&amp;"-"&amp;TEXT(MOD(IF(MONTH(Sheet1!A330)&gt;=4,YEAR(Sheet1!A330),YEAR(Sheet1!A330)-1)+1,100),"00"),"")</f>
        <v>FY25-26</v>
      </c>
      <c r="B330" s="40" t="str">
        <f>IFERROR("Q"&amp;IF(MONTH(Sheet1!A330)&gt;=4,IF(MONTH(Sheet1!A330)&lt;=6,1,IF(MONTH(Sheet1!A330)&lt;=9,2,3)),4),"")</f>
        <v>Q3</v>
      </c>
      <c r="C330" s="39" t="str">
        <f>IFERROR(Sheet1!C330,0)</f>
        <v>Europe</v>
      </c>
      <c r="D330" s="39" t="str">
        <f>IFERROR(Sheet1!F330,0)</f>
        <v>Italy</v>
      </c>
      <c r="E330" s="39" t="str">
        <f>IFERROR(Sheet1!E330,0)</f>
        <v>Fintyre Spa, Italy</v>
      </c>
      <c r="F330" s="39" t="str">
        <f>IFERROR(IF(UPPER(TRIM(Sheet1!J330))="NH","Nhava Sheva",IF(UPPER(TRIM(Sheet1!J330))="ICD","ICD Dhannad",IF(UPPER(TRIM(Sheet1!J330))="TIHI","ICD Tihi",Sheet1!J330))),0)</f>
        <v>Nhava Sheva</v>
      </c>
      <c r="G330" s="39" t="str">
        <f>IFERROR(Sheet1!M330,0)</f>
        <v>Genoa</v>
      </c>
      <c r="H330" s="39" t="str">
        <f>IFERROR(Sheet1!H330,0)</f>
        <v>FEI Cargo</v>
      </c>
      <c r="I330" s="39" t="str">
        <f>IFERROR(Sheet1!G330,0)</f>
        <v>FOB</v>
      </c>
      <c r="J330" s="39" t="str">
        <f>IFERROR(Sheet1!K330,0)</f>
        <v>Hapag</v>
      </c>
      <c r="K330" s="41">
        <f>IFERROR(Sheet1!A330,0)</f>
        <v>46018</v>
      </c>
      <c r="L330" s="41">
        <f>IFERROR(Sheet1!I330,0)</f>
        <v>46015</v>
      </c>
      <c r="M330" s="47" t="str">
        <f>IFERROR(Sheet1!P330,0)</f>
        <v>NA</v>
      </c>
      <c r="N330" s="42">
        <f>IFERROR(IF(ISNUMBER(Sheet1!N330),Sheet1!N330,0),0)</f>
        <v>0</v>
      </c>
      <c r="O330" s="42">
        <f>IFERROR(IF(TRIM(F330)="Nhava Sheva",SUMPRODUCT((UPPER(TRIM('Origin Costs'!$A$5:$A$44))=UPPER(TRIM(J330)))*'Origin Costs'!$C$5:$C$44),IF(TRIM(F330)="ICD Tihi",SUMPRODUCT((UPPER(TRIM('Origin Costs'!$A$49:$A$88))=UPPER(TRIM(J330)))*'Origin Costs'!$C$49:$C$88),IF(TRIM(F330)="ICD Dhannad",SUMPRODUCT((UPPER(TRIM('Origin Costs'!$A$93:$A$132))=UPPER(TRIM(J330)))*'Origin Costs'!$C$93:$C$132),0))),0)</f>
        <v>1192.9777777777779</v>
      </c>
      <c r="P330" s="42">
        <f t="shared" si="5"/>
        <v>1192.9777777777779</v>
      </c>
      <c r="Q330" s="13" t="str">
        <f>IF(OR(Dashboard!$C$4="All Customers",$E330=Dashboard!$C$4),IF($E330="","",$P330+ROW()/10000000),"")</f>
        <v/>
      </c>
    </row>
    <row r="331" spans="1:17" ht="14.25" customHeight="1" x14ac:dyDescent="0.3">
      <c r="A331" s="43" t="str">
        <f>IFERROR("FY"&amp;TEXT(MOD(IF(MONTH(Sheet1!A331)&gt;=4,YEAR(Sheet1!A331),YEAR(Sheet1!A331)-1),100),"00")&amp;"-"&amp;TEXT(MOD(IF(MONTH(Sheet1!A331)&gt;=4,YEAR(Sheet1!A331),YEAR(Sheet1!A331)-1)+1,100),"00"),"")</f>
        <v>FY25-26</v>
      </c>
      <c r="B331" s="44" t="str">
        <f>IFERROR("Q"&amp;IF(MONTH(Sheet1!A331)&gt;=4,IF(MONTH(Sheet1!A331)&lt;=6,1,IF(MONTH(Sheet1!A331)&lt;=9,2,3)),4),"")</f>
        <v>Q3</v>
      </c>
      <c r="C331" s="43" t="str">
        <f>IFERROR(Sheet1!C331,0)</f>
        <v>Europe</v>
      </c>
      <c r="D331" s="43" t="str">
        <f>IFERROR(Sheet1!F331,0)</f>
        <v>Slovakia</v>
      </c>
      <c r="E331" s="43" t="str">
        <f>IFERROR(Sheet1!E331,0)</f>
        <v>Inter Cars INT d.o.o. Slovenia</v>
      </c>
      <c r="F331" s="43" t="str">
        <f>IFERROR(IF(UPPER(TRIM(Sheet1!J331))="NH","Nhava Sheva",IF(UPPER(TRIM(Sheet1!J331))="ICD","ICD Dhannad",IF(UPPER(TRIM(Sheet1!J331))="TIHI","ICD Tihi",Sheet1!J331))),0)</f>
        <v>Nhava Sheva</v>
      </c>
      <c r="G331" s="43" t="str">
        <f>IFERROR(Sheet1!M331,0)</f>
        <v>Hamburg</v>
      </c>
      <c r="H331" s="43" t="str">
        <f>IFERROR(Sheet1!H331,0)</f>
        <v>Cargo Partner</v>
      </c>
      <c r="I331" s="43" t="str">
        <f>IFERROR(Sheet1!G331,0)</f>
        <v>FOB</v>
      </c>
      <c r="J331" s="43" t="str">
        <f>IFERROR(Sheet1!K331,0)</f>
        <v>MSC</v>
      </c>
      <c r="K331" s="45">
        <f>IFERROR(Sheet1!A331,0)</f>
        <v>46019</v>
      </c>
      <c r="L331" s="45">
        <f>IFERROR(Sheet1!I331,0)</f>
        <v>46017</v>
      </c>
      <c r="M331" s="47" t="str">
        <f>IFERROR(Sheet1!P331,0)</f>
        <v>NA</v>
      </c>
      <c r="N331" s="46">
        <f>IFERROR(IF(ISNUMBER(Sheet1!N331),Sheet1!N331,0),0)</f>
        <v>0</v>
      </c>
      <c r="O331" s="46">
        <f>IFERROR(IF(TRIM(F331)="Nhava Sheva",SUMPRODUCT((UPPER(TRIM('Origin Costs'!$A$5:$A$44))=UPPER(TRIM(J331)))*'Origin Costs'!$C$5:$C$44),IF(TRIM(F331)="ICD Tihi",SUMPRODUCT((UPPER(TRIM('Origin Costs'!$A$49:$A$88))=UPPER(TRIM(J331)))*'Origin Costs'!$C$49:$C$88),IF(TRIM(F331)="ICD Dhannad",SUMPRODUCT((UPPER(TRIM('Origin Costs'!$A$93:$A$132))=UPPER(TRIM(J331)))*'Origin Costs'!$C$93:$C$132),0))),0)</f>
        <v>1168.8222222222223</v>
      </c>
      <c r="P331" s="46">
        <f t="shared" si="5"/>
        <v>1168.8222222222223</v>
      </c>
      <c r="Q331" s="13" t="str">
        <f>IF(OR(Dashboard!$C$4="All Customers",$E331=Dashboard!$C$4),IF($E331="","",$P331+ROW()/10000000),"")</f>
        <v/>
      </c>
    </row>
    <row r="332" spans="1:17" ht="14.25" customHeight="1" x14ac:dyDescent="0.3">
      <c r="A332" s="39" t="str">
        <f>IFERROR("FY"&amp;TEXT(MOD(IF(MONTH(Sheet1!A332)&gt;=4,YEAR(Sheet1!A332),YEAR(Sheet1!A332)-1),100),"00")&amp;"-"&amp;TEXT(MOD(IF(MONTH(Sheet1!A332)&gt;=4,YEAR(Sheet1!A332),YEAR(Sheet1!A332)-1)+1,100),"00"),"")</f>
        <v>FY25-26</v>
      </c>
      <c r="B332" s="40" t="str">
        <f>IFERROR("Q"&amp;IF(MONTH(Sheet1!A332)&gt;=4,IF(MONTH(Sheet1!A332)&lt;=6,1,IF(MONTH(Sheet1!A332)&lt;=9,2,3)),4),"")</f>
        <v>Q3</v>
      </c>
      <c r="C332" s="39" t="str">
        <f>IFERROR(Sheet1!C332,0)</f>
        <v>MEA</v>
      </c>
      <c r="D332" s="39" t="str">
        <f>IFERROR(Sheet1!F332,0)</f>
        <v>DI</v>
      </c>
      <c r="E332" s="39" t="str">
        <f>IFERROR(Sheet1!E332,0)</f>
        <v>MSK Egypt For Import and Export</v>
      </c>
      <c r="F332" s="39" t="str">
        <f>IFERROR(IF(UPPER(TRIM(Sheet1!J332))="NH","Nhava Sheva",IF(UPPER(TRIM(Sheet1!J332))="ICD","ICD Dhannad",IF(UPPER(TRIM(Sheet1!J332))="TIHI","ICD Tihi",Sheet1!J332))),0)</f>
        <v>Nhava Sheva</v>
      </c>
      <c r="G332" s="39">
        <f>IFERROR(Sheet1!M332,0)</f>
        <v>0</v>
      </c>
      <c r="H332" s="39" t="str">
        <f>IFERROR(Sheet1!H332,0)</f>
        <v>Hind Freight</v>
      </c>
      <c r="I332" s="39" t="str">
        <f>IFERROR(Sheet1!G332,0)</f>
        <v>CIF</v>
      </c>
      <c r="J332" s="39" t="str">
        <f>IFERROR(Sheet1!K332,0)</f>
        <v>Emirates</v>
      </c>
      <c r="K332" s="41">
        <f>IFERROR(Sheet1!A332,0)</f>
        <v>46020</v>
      </c>
      <c r="L332" s="41">
        <f>IFERROR(Sheet1!I332,0)</f>
        <v>46019</v>
      </c>
      <c r="M332" s="47" t="str">
        <f>IFERROR(Sheet1!P332,0)</f>
        <v>NA</v>
      </c>
      <c r="N332" s="42">
        <f>IFERROR(IF(ISNUMBER(Sheet1!N332),Sheet1!N332,0),0)</f>
        <v>975</v>
      </c>
      <c r="O332" s="42">
        <f>IFERROR(IF(TRIM(F332)="Nhava Sheva",SUMPRODUCT((UPPER(TRIM('Origin Costs'!$A$5:$A$44))=UPPER(TRIM(J332)))*'Origin Costs'!$C$5:$C$44),IF(TRIM(F332)="ICD Tihi",SUMPRODUCT((UPPER(TRIM('Origin Costs'!$A$49:$A$88))=UPPER(TRIM(J332)))*'Origin Costs'!$C$49:$C$88),IF(TRIM(F332)="ICD Dhannad",SUMPRODUCT((UPPER(TRIM('Origin Costs'!$A$93:$A$132))=UPPER(TRIM(J332)))*'Origin Costs'!$C$93:$C$132),0))),0)</f>
        <v>0</v>
      </c>
      <c r="P332" s="42">
        <f t="shared" si="5"/>
        <v>975</v>
      </c>
      <c r="Q332" s="13" t="str">
        <f>IF(OR(Dashboard!$C$4="All Customers",$E332=Dashboard!$C$4),IF($E332="","",$P332+ROW()/10000000),"")</f>
        <v/>
      </c>
    </row>
    <row r="333" spans="1:17" ht="14.25" customHeight="1" x14ac:dyDescent="0.3">
      <c r="A333" s="43" t="str">
        <f>IFERROR("FY"&amp;TEXT(MOD(IF(MONTH(Sheet1!A333)&gt;=4,YEAR(Sheet1!A333),YEAR(Sheet1!A333)-1),100),"00")&amp;"-"&amp;TEXT(MOD(IF(MONTH(Sheet1!A333)&gt;=4,YEAR(Sheet1!A333),YEAR(Sheet1!A333)-1)+1,100),"00"),"")</f>
        <v>FY25-26</v>
      </c>
      <c r="B333" s="44" t="str">
        <f>IFERROR("Q"&amp;IF(MONTH(Sheet1!A333)&gt;=4,IF(MONTH(Sheet1!A333)&lt;=6,1,IF(MONTH(Sheet1!A333)&lt;=9,2,3)),4),"")</f>
        <v>Q3</v>
      </c>
      <c r="C333" s="43" t="str">
        <f>IFERROR(Sheet1!C333,0)</f>
        <v>S.A</v>
      </c>
      <c r="D333" s="43" t="str">
        <f>IFERROR(Sheet1!F333,0)</f>
        <v>Paraguay</v>
      </c>
      <c r="E333" s="43" t="str">
        <f>IFERROR(Sheet1!E333,0)</f>
        <v>Autopiezas Comercial E Industrial</v>
      </c>
      <c r="F333" s="43" t="str">
        <f>IFERROR(IF(UPPER(TRIM(Sheet1!J333))="NH","Nhava Sheva",IF(UPPER(TRIM(Sheet1!J333))="ICD","ICD Dhannad",IF(UPPER(TRIM(Sheet1!J333))="TIHI","ICD Tihi",Sheet1!J333))),0)</f>
        <v>ICD Tihi</v>
      </c>
      <c r="G333" s="43" t="str">
        <f>IFERROR(Sheet1!M333,0)</f>
        <v>Asuncion</v>
      </c>
      <c r="H333" s="43" t="str">
        <f>IFERROR(Sheet1!H333,0)</f>
        <v>DP WORLD</v>
      </c>
      <c r="I333" s="43" t="str">
        <f>IFERROR(Sheet1!G333,0)</f>
        <v>CIF</v>
      </c>
      <c r="J333" s="43" t="str">
        <f>IFERROR(Sheet1!K333,0)</f>
        <v>MSC</v>
      </c>
      <c r="K333" s="45">
        <f>IFERROR(Sheet1!A333,0)</f>
        <v>46021</v>
      </c>
      <c r="L333" s="45">
        <f>IFERROR(Sheet1!I333,0)</f>
        <v>46020</v>
      </c>
      <c r="M333" s="47" t="str">
        <f>IFERROR(Sheet1!P333,0)</f>
        <v>NA</v>
      </c>
      <c r="N333" s="46">
        <f>IFERROR(IF(ISNUMBER(Sheet1!N333),Sheet1!N333,0),0)</f>
        <v>2290</v>
      </c>
      <c r="O333" s="46">
        <f>IFERROR(IF(TRIM(F333)="Nhava Sheva",SUMPRODUCT((UPPER(TRIM('Origin Costs'!$A$5:$A$44))=UPPER(TRIM(J333)))*'Origin Costs'!$C$5:$C$44),IF(TRIM(F333)="ICD Tihi",SUMPRODUCT((UPPER(TRIM('Origin Costs'!$A$49:$A$88))=UPPER(TRIM(J333)))*'Origin Costs'!$C$49:$C$88),IF(TRIM(F333)="ICD Dhannad",SUMPRODUCT((UPPER(TRIM('Origin Costs'!$A$93:$A$132))=UPPER(TRIM(J333)))*'Origin Costs'!$C$93:$C$132),0))),0)</f>
        <v>1081.3333333333333</v>
      </c>
      <c r="P333" s="46">
        <f t="shared" si="5"/>
        <v>3371.333333333333</v>
      </c>
      <c r="Q333" s="13" t="str">
        <f>IF(OR(Dashboard!$C$4="All Customers",$E333=Dashboard!$C$4),IF($E333="","",$P333+ROW()/10000000),"")</f>
        <v/>
      </c>
    </row>
    <row r="334" spans="1:17" ht="14.25" customHeight="1" x14ac:dyDescent="0.3">
      <c r="A334" s="39" t="str">
        <f>IFERROR("FY"&amp;TEXT(MOD(IF(MONTH(Sheet1!A334)&gt;=4,YEAR(Sheet1!A334),YEAR(Sheet1!A334)-1),100),"00")&amp;"-"&amp;TEXT(MOD(IF(MONTH(Sheet1!A334)&gt;=4,YEAR(Sheet1!A334),YEAR(Sheet1!A334)-1)+1,100),"00"),"")</f>
        <v>FY25-26</v>
      </c>
      <c r="B334" s="40" t="str">
        <f>IFERROR("Q"&amp;IF(MONTH(Sheet1!A334)&gt;=4,IF(MONTH(Sheet1!A334)&lt;=6,1,IF(MONTH(Sheet1!A334)&lt;=9,2,3)),4),"")</f>
        <v>Q3</v>
      </c>
      <c r="C334" s="39" t="str">
        <f>IFERROR(Sheet1!C334,0)</f>
        <v>S.A</v>
      </c>
      <c r="D334" s="39" t="str">
        <f>IFERROR(Sheet1!F334,0)</f>
        <v>Paraguay</v>
      </c>
      <c r="E334" s="39" t="str">
        <f>IFERROR(Sheet1!E334,0)</f>
        <v>Autopiezas Comercial E Industrial</v>
      </c>
      <c r="F334" s="39" t="str">
        <f>IFERROR(IF(UPPER(TRIM(Sheet1!J334))="NH","Nhava Sheva",IF(UPPER(TRIM(Sheet1!J334))="ICD","ICD Dhannad",IF(UPPER(TRIM(Sheet1!J334))="TIHI","ICD Tihi",Sheet1!J334))),0)</f>
        <v>ICD Tihi</v>
      </c>
      <c r="G334" s="39" t="str">
        <f>IFERROR(Sheet1!M334,0)</f>
        <v>Asuncion</v>
      </c>
      <c r="H334" s="39" t="str">
        <f>IFERROR(Sheet1!H334,0)</f>
        <v>DP WORLD</v>
      </c>
      <c r="I334" s="39" t="str">
        <f>IFERROR(Sheet1!G334,0)</f>
        <v>CIF</v>
      </c>
      <c r="J334" s="39" t="str">
        <f>IFERROR(Sheet1!K334,0)</f>
        <v>MSC</v>
      </c>
      <c r="K334" s="41">
        <f>IFERROR(Sheet1!A334,0)</f>
        <v>46021</v>
      </c>
      <c r="L334" s="41">
        <f>IFERROR(Sheet1!I334,0)</f>
        <v>46020</v>
      </c>
      <c r="M334" s="47" t="str">
        <f>IFERROR(Sheet1!P334,0)</f>
        <v>NA</v>
      </c>
      <c r="N334" s="42">
        <f>IFERROR(IF(ISNUMBER(Sheet1!N334),Sheet1!N334,0),0)</f>
        <v>2290</v>
      </c>
      <c r="O334" s="42">
        <f>IFERROR(IF(TRIM(F334)="Nhava Sheva",SUMPRODUCT((UPPER(TRIM('Origin Costs'!$A$5:$A$44))=UPPER(TRIM(J334)))*'Origin Costs'!$C$5:$C$44),IF(TRIM(F334)="ICD Tihi",SUMPRODUCT((UPPER(TRIM('Origin Costs'!$A$49:$A$88))=UPPER(TRIM(J334)))*'Origin Costs'!$C$49:$C$88),IF(TRIM(F334)="ICD Dhannad",SUMPRODUCT((UPPER(TRIM('Origin Costs'!$A$93:$A$132))=UPPER(TRIM(J334)))*'Origin Costs'!$C$93:$C$132),0))),0)</f>
        <v>1081.3333333333333</v>
      </c>
      <c r="P334" s="42">
        <f t="shared" si="5"/>
        <v>3371.333333333333</v>
      </c>
      <c r="Q334" s="13" t="str">
        <f>IF(OR(Dashboard!$C$4="All Customers",$E334=Dashboard!$C$4),IF($E334="","",$P334+ROW()/10000000),"")</f>
        <v/>
      </c>
    </row>
    <row r="335" spans="1:17" ht="14.25" customHeight="1" x14ac:dyDescent="0.3">
      <c r="A335" s="43" t="str">
        <f>IFERROR("FY"&amp;TEXT(MOD(IF(MONTH(Sheet1!A335)&gt;=4,YEAR(Sheet1!A335),YEAR(Sheet1!A335)-1),100),"00")&amp;"-"&amp;TEXT(MOD(IF(MONTH(Sheet1!A335)&gt;=4,YEAR(Sheet1!A335),YEAR(Sheet1!A335)-1)+1,100),"00"),"")</f>
        <v>FY25-26</v>
      </c>
      <c r="B335" s="44" t="str">
        <f>IFERROR("Q"&amp;IF(MONTH(Sheet1!A335)&gt;=4,IF(MONTH(Sheet1!A335)&lt;=6,1,IF(MONTH(Sheet1!A335)&lt;=9,2,3)),4),"")</f>
        <v>Q3</v>
      </c>
      <c r="C335" s="43" t="str">
        <f>IFERROR(Sheet1!C335,0)</f>
        <v>Europe</v>
      </c>
      <c r="D335" s="43" t="str">
        <f>IFERROR(Sheet1!F335,0)</f>
        <v>UK</v>
      </c>
      <c r="E335" s="43" t="str">
        <f>IFERROR(Sheet1!E335,0)</f>
        <v>BA Bush Tyres</v>
      </c>
      <c r="F335" s="43" t="str">
        <f>IFERROR(IF(UPPER(TRIM(Sheet1!J335))="NH","Nhava Sheva",IF(UPPER(TRIM(Sheet1!J335))="ICD","ICD Dhannad",IF(UPPER(TRIM(Sheet1!J335))="TIHI","ICD Tihi",Sheet1!J335))),0)</f>
        <v>ICD Dhannad</v>
      </c>
      <c r="G335" s="43" t="str">
        <f>IFERROR(Sheet1!M335,0)</f>
        <v>London Gateway</v>
      </c>
      <c r="H335" s="43" t="str">
        <f>IFERROR(Sheet1!H335,0)</f>
        <v>Hellmann</v>
      </c>
      <c r="I335" s="43" t="str">
        <f>IFERROR(Sheet1!G335,0)</f>
        <v>CIF</v>
      </c>
      <c r="J335" s="43" t="str">
        <f>IFERROR(Sheet1!K335,0)</f>
        <v>Hapag</v>
      </c>
      <c r="K335" s="45">
        <f>IFERROR(Sheet1!A335,0)</f>
        <v>46021</v>
      </c>
      <c r="L335" s="45">
        <f>IFERROR(Sheet1!I335,0)</f>
        <v>46020</v>
      </c>
      <c r="M335" s="47" t="str">
        <f>IFERROR(Sheet1!P335,0)</f>
        <v>NA</v>
      </c>
      <c r="N335" s="46">
        <f>IFERROR(IF(ISNUMBER(Sheet1!N335),Sheet1!N335,0),0)</f>
        <v>1095</v>
      </c>
      <c r="O335" s="46">
        <f>IFERROR(IF(TRIM(F335)="Nhava Sheva",SUMPRODUCT((UPPER(TRIM('Origin Costs'!$A$5:$A$44))=UPPER(TRIM(J335)))*'Origin Costs'!$C$5:$C$44),IF(TRIM(F335)="ICD Tihi",SUMPRODUCT((UPPER(TRIM('Origin Costs'!$A$49:$A$88))=UPPER(TRIM(J335)))*'Origin Costs'!$C$49:$C$88),IF(TRIM(F335)="ICD Dhannad",SUMPRODUCT((UPPER(TRIM('Origin Costs'!$A$93:$A$132))=UPPER(TRIM(J335)))*'Origin Costs'!$C$93:$C$132),0))),0)</f>
        <v>1209.3888888888889</v>
      </c>
      <c r="P335" s="46">
        <f t="shared" si="5"/>
        <v>2304.3888888888887</v>
      </c>
      <c r="Q335" s="13" t="str">
        <f>IF(OR(Dashboard!$C$4="All Customers",$E335=Dashboard!$C$4),IF($E335="","",$P335+ROW()/10000000),"")</f>
        <v/>
      </c>
    </row>
    <row r="336" spans="1:17" ht="14.25" customHeight="1" x14ac:dyDescent="0.3">
      <c r="A336" s="39" t="str">
        <f>IFERROR("FY"&amp;TEXT(MOD(IF(MONTH(Sheet1!A336)&gt;=4,YEAR(Sheet1!A336),YEAR(Sheet1!A336)-1),100),"00")&amp;"-"&amp;TEXT(MOD(IF(MONTH(Sheet1!A336)&gt;=4,YEAR(Sheet1!A336),YEAR(Sheet1!A336)-1)+1,100),"00"),"")</f>
        <v>FY25-26</v>
      </c>
      <c r="B336" s="40" t="str">
        <f>IFERROR("Q"&amp;IF(MONTH(Sheet1!A336)&gt;=4,IF(MONTH(Sheet1!A336)&lt;=6,1,IF(MONTH(Sheet1!A336)&lt;=9,2,3)),4),"")</f>
        <v>Q3</v>
      </c>
      <c r="C336" s="39" t="str">
        <f>IFERROR(Sheet1!C336,0)</f>
        <v>MEA</v>
      </c>
      <c r="D336" s="39" t="str">
        <f>IFERROR(Sheet1!F336,0)</f>
        <v>Zambia</v>
      </c>
      <c r="E336" s="39" t="str">
        <f>IFERROR(Sheet1!E336,0)</f>
        <v>SUMERU GLOBAL DMCC, Tanzania</v>
      </c>
      <c r="F336" s="39" t="str">
        <f>IFERROR(IF(UPPER(TRIM(Sheet1!J336))="NH","Nhava Sheva",IF(UPPER(TRIM(Sheet1!J336))="ICD","ICD Dhannad",IF(UPPER(TRIM(Sheet1!J336))="TIHI","ICD Tihi",Sheet1!J336))),0)</f>
        <v>ICD Tihi</v>
      </c>
      <c r="G336" s="39" t="str">
        <f>IFERROR(Sheet1!M336,0)</f>
        <v>Dar Es Salam</v>
      </c>
      <c r="H336" s="39" t="str">
        <f>IFERROR(Sheet1!H336,0)</f>
        <v>Transmarine Vcargo</v>
      </c>
      <c r="I336" s="39" t="str">
        <f>IFERROR(Sheet1!G336,0)</f>
        <v>FOB</v>
      </c>
      <c r="J336" s="39" t="str">
        <f>IFERROR(Sheet1!K336,0)</f>
        <v>CMA</v>
      </c>
      <c r="K336" s="41">
        <f>IFERROR(Sheet1!A336,0)</f>
        <v>46021</v>
      </c>
      <c r="L336" s="41">
        <f>IFERROR(Sheet1!I336,0)</f>
        <v>46021</v>
      </c>
      <c r="M336" s="47" t="str">
        <f>IFERROR(Sheet1!P336,0)</f>
        <v>NA</v>
      </c>
      <c r="N336" s="42">
        <f>IFERROR(IF(ISNUMBER(Sheet1!N336),Sheet1!N336,0),0)</f>
        <v>0</v>
      </c>
      <c r="O336" s="42">
        <f>IFERROR(IF(TRIM(F336)="Nhava Sheva",SUMPRODUCT((UPPER(TRIM('Origin Costs'!$A$5:$A$44))=UPPER(TRIM(J336)))*'Origin Costs'!$C$5:$C$44),IF(TRIM(F336)="ICD Tihi",SUMPRODUCT((UPPER(TRIM('Origin Costs'!$A$49:$A$88))=UPPER(TRIM(J336)))*'Origin Costs'!$C$49:$C$88),IF(TRIM(F336)="ICD Dhannad",SUMPRODUCT((UPPER(TRIM('Origin Costs'!$A$93:$A$132))=UPPER(TRIM(J336)))*'Origin Costs'!$C$93:$C$132),0))),0)</f>
        <v>1110.9666666666667</v>
      </c>
      <c r="P336" s="42">
        <f t="shared" si="5"/>
        <v>1110.9666666666667</v>
      </c>
      <c r="Q336" s="13" t="str">
        <f>IF(OR(Dashboard!$C$4="All Customers",$E336=Dashboard!$C$4),IF($E336="","",$P336+ROW()/10000000),"")</f>
        <v/>
      </c>
    </row>
    <row r="337" spans="1:17" ht="14.25" customHeight="1" x14ac:dyDescent="0.3">
      <c r="A337" s="43" t="str">
        <f>IFERROR("FY"&amp;TEXT(MOD(IF(MONTH(Sheet1!A337)&gt;=4,YEAR(Sheet1!A337),YEAR(Sheet1!A337)-1),100),"00")&amp;"-"&amp;TEXT(MOD(IF(MONTH(Sheet1!A337)&gt;=4,YEAR(Sheet1!A337),YEAR(Sheet1!A337)-1)+1,100),"00"),"")</f>
        <v>FY25-26</v>
      </c>
      <c r="B337" s="44" t="str">
        <f>IFERROR("Q"&amp;IF(MONTH(Sheet1!A337)&gt;=4,IF(MONTH(Sheet1!A337)&lt;=6,1,IF(MONTH(Sheet1!A337)&lt;=9,2,3)),4),"")</f>
        <v>Q3</v>
      </c>
      <c r="C337" s="43" t="str">
        <f>IFERROR(Sheet1!C337,0)</f>
        <v>MEA</v>
      </c>
      <c r="D337" s="43" t="str">
        <f>IFERROR(Sheet1!F337,0)</f>
        <v>Zambia</v>
      </c>
      <c r="E337" s="43" t="str">
        <f>IFERROR(Sheet1!E337,0)</f>
        <v>SUMERU GLOBAL DMCC, Tanzania</v>
      </c>
      <c r="F337" s="43" t="str">
        <f>IFERROR(IF(UPPER(TRIM(Sheet1!J337))="NH","Nhava Sheva",IF(UPPER(TRIM(Sheet1!J337))="ICD","ICD Dhannad",IF(UPPER(TRIM(Sheet1!J337))="TIHI","ICD Tihi",Sheet1!J337))),0)</f>
        <v>ICD Tihi</v>
      </c>
      <c r="G337" s="43" t="str">
        <f>IFERROR(Sheet1!M337,0)</f>
        <v>Dar Es Salam</v>
      </c>
      <c r="H337" s="43" t="str">
        <f>IFERROR(Sheet1!H337,0)</f>
        <v>Transmarine Vcargo</v>
      </c>
      <c r="I337" s="43" t="str">
        <f>IFERROR(Sheet1!G337,0)</f>
        <v>FOB</v>
      </c>
      <c r="J337" s="43" t="str">
        <f>IFERROR(Sheet1!K337,0)</f>
        <v>CMA</v>
      </c>
      <c r="K337" s="45">
        <f>IFERROR(Sheet1!A337,0)</f>
        <v>46021</v>
      </c>
      <c r="L337" s="45">
        <f>IFERROR(Sheet1!I337,0)</f>
        <v>46021</v>
      </c>
      <c r="M337" s="47" t="str">
        <f>IFERROR(Sheet1!P337,0)</f>
        <v>NA</v>
      </c>
      <c r="N337" s="46">
        <f>IFERROR(IF(ISNUMBER(Sheet1!N337),Sheet1!N337,0),0)</f>
        <v>0</v>
      </c>
      <c r="O337" s="46">
        <f>IFERROR(IF(TRIM(F337)="Nhava Sheva",SUMPRODUCT((UPPER(TRIM('Origin Costs'!$A$5:$A$44))=UPPER(TRIM(J337)))*'Origin Costs'!$C$5:$C$44),IF(TRIM(F337)="ICD Tihi",SUMPRODUCT((UPPER(TRIM('Origin Costs'!$A$49:$A$88))=UPPER(TRIM(J337)))*'Origin Costs'!$C$49:$C$88),IF(TRIM(F337)="ICD Dhannad",SUMPRODUCT((UPPER(TRIM('Origin Costs'!$A$93:$A$132))=UPPER(TRIM(J337)))*'Origin Costs'!$C$93:$C$132),0))),0)</f>
        <v>1110.9666666666667</v>
      </c>
      <c r="P337" s="46">
        <f t="shared" si="5"/>
        <v>1110.9666666666667</v>
      </c>
      <c r="Q337" s="13" t="str">
        <f>IF(OR(Dashboard!$C$4="All Customers",$E337=Dashboard!$C$4),IF($E337="","",$P337+ROW()/10000000),"")</f>
        <v/>
      </c>
    </row>
    <row r="338" spans="1:17" ht="14.25" customHeight="1" x14ac:dyDescent="0.3">
      <c r="A338" s="39" t="str">
        <f>IFERROR("FY"&amp;TEXT(MOD(IF(MONTH(Sheet1!A338)&gt;=4,YEAR(Sheet1!A338),YEAR(Sheet1!A338)-1),100),"00")&amp;"-"&amp;TEXT(MOD(IF(MONTH(Sheet1!A338)&gt;=4,YEAR(Sheet1!A338),YEAR(Sheet1!A338)-1)+1,100),"00"),"")</f>
        <v>FY25-26</v>
      </c>
      <c r="B338" s="40" t="str">
        <f>IFERROR("Q"&amp;IF(MONTH(Sheet1!A338)&gt;=4,IF(MONTH(Sheet1!A338)&lt;=6,1,IF(MONTH(Sheet1!A338)&lt;=9,2,3)),4),"")</f>
        <v>Q3</v>
      </c>
      <c r="C338" s="39" t="str">
        <f>IFERROR(Sheet1!C338,0)</f>
        <v>Europe</v>
      </c>
      <c r="D338" s="39" t="str">
        <f>IFERROR(Sheet1!F338,0)</f>
        <v>UK</v>
      </c>
      <c r="E338" s="39" t="str">
        <f>IFERROR(Sheet1!E338,0)</f>
        <v>BA Bush Tyres</v>
      </c>
      <c r="F338" s="39" t="str">
        <f>IFERROR(IF(UPPER(TRIM(Sheet1!J338))="NH","Nhava Sheva",IF(UPPER(TRIM(Sheet1!J338))="ICD","ICD Dhannad",IF(UPPER(TRIM(Sheet1!J338))="TIHI","ICD Tihi",Sheet1!J338))),0)</f>
        <v>Nhava Sheva</v>
      </c>
      <c r="G338" s="39" t="str">
        <f>IFERROR(Sheet1!M338,0)</f>
        <v>London Gateway</v>
      </c>
      <c r="H338" s="39" t="str">
        <f>IFERROR(Sheet1!H338,0)</f>
        <v>Seven Seas</v>
      </c>
      <c r="I338" s="39" t="str">
        <f>IFERROR(Sheet1!G338,0)</f>
        <v>CIF</v>
      </c>
      <c r="J338" s="39" t="str">
        <f>IFERROR(Sheet1!K338,0)</f>
        <v>Hapag</v>
      </c>
      <c r="K338" s="41">
        <f>IFERROR(Sheet1!A338,0)</f>
        <v>46022</v>
      </c>
      <c r="L338" s="41">
        <f>IFERROR(Sheet1!I338,0)</f>
        <v>46019</v>
      </c>
      <c r="M338" s="47" t="str">
        <f>IFERROR(Sheet1!P338,0)</f>
        <v>NA</v>
      </c>
      <c r="N338" s="42">
        <f>IFERROR(IF(ISNUMBER(Sheet1!N338),Sheet1!N338,0),0)</f>
        <v>1095</v>
      </c>
      <c r="O338" s="42">
        <f>IFERROR(IF(TRIM(F338)="Nhava Sheva",SUMPRODUCT((UPPER(TRIM('Origin Costs'!$A$5:$A$44))=UPPER(TRIM(J338)))*'Origin Costs'!$C$5:$C$44),IF(TRIM(F338)="ICD Tihi",SUMPRODUCT((UPPER(TRIM('Origin Costs'!$A$49:$A$88))=UPPER(TRIM(J338)))*'Origin Costs'!$C$49:$C$88),IF(TRIM(F338)="ICD Dhannad",SUMPRODUCT((UPPER(TRIM('Origin Costs'!$A$93:$A$132))=UPPER(TRIM(J338)))*'Origin Costs'!$C$93:$C$132),0))),0)</f>
        <v>1192.9777777777779</v>
      </c>
      <c r="P338" s="42">
        <f t="shared" si="5"/>
        <v>2287.9777777777781</v>
      </c>
      <c r="Q338" s="13" t="str">
        <f>IF(OR(Dashboard!$C$4="All Customers",$E338=Dashboard!$C$4),IF($E338="","",$P338+ROW()/10000000),"")</f>
        <v/>
      </c>
    </row>
    <row r="339" spans="1:17" ht="14.25" customHeight="1" x14ac:dyDescent="0.3">
      <c r="A339" s="43" t="str">
        <f>IFERROR("FY"&amp;TEXT(MOD(IF(MONTH(Sheet1!A339)&gt;=4,YEAR(Sheet1!A339),YEAR(Sheet1!A339)-1),100),"00")&amp;"-"&amp;TEXT(MOD(IF(MONTH(Sheet1!A339)&gt;=4,YEAR(Sheet1!A339),YEAR(Sheet1!A339)-1)+1,100),"00"),"")</f>
        <v>FY25-26</v>
      </c>
      <c r="B339" s="44" t="str">
        <f>IFERROR("Q"&amp;IF(MONTH(Sheet1!A339)&gt;=4,IF(MONTH(Sheet1!A339)&lt;=6,1,IF(MONTH(Sheet1!A339)&lt;=9,2,3)),4),"")</f>
        <v>Q3</v>
      </c>
      <c r="C339" s="43" t="str">
        <f>IFERROR(Sheet1!C339,0)</f>
        <v>Europe</v>
      </c>
      <c r="D339" s="43" t="str">
        <f>IFERROR(Sheet1!F339,0)</f>
        <v>UK</v>
      </c>
      <c r="E339" s="43" t="str">
        <f>IFERROR(Sheet1!E339,0)</f>
        <v>BA Bush Tyres</v>
      </c>
      <c r="F339" s="43" t="str">
        <f>IFERROR(IF(UPPER(TRIM(Sheet1!J339))="NH","Nhava Sheva",IF(UPPER(TRIM(Sheet1!J339))="ICD","ICD Dhannad",IF(UPPER(TRIM(Sheet1!J339))="TIHI","ICD Tihi",Sheet1!J339))),0)</f>
        <v>Nhava Sheva</v>
      </c>
      <c r="G339" s="43" t="str">
        <f>IFERROR(Sheet1!M339,0)</f>
        <v>London Gateway</v>
      </c>
      <c r="H339" s="43" t="str">
        <f>IFERROR(Sheet1!H339,0)</f>
        <v>Seven Seas</v>
      </c>
      <c r="I339" s="43" t="str">
        <f>IFERROR(Sheet1!G339,0)</f>
        <v>CIF</v>
      </c>
      <c r="J339" s="43" t="str">
        <f>IFERROR(Sheet1!K339,0)</f>
        <v>Hapag</v>
      </c>
      <c r="K339" s="45">
        <f>IFERROR(Sheet1!A339,0)</f>
        <v>46022</v>
      </c>
      <c r="L339" s="45">
        <f>IFERROR(Sheet1!I339,0)</f>
        <v>46019</v>
      </c>
      <c r="M339" s="47" t="str">
        <f>IFERROR(Sheet1!P339,0)</f>
        <v>NA</v>
      </c>
      <c r="N339" s="46">
        <f>IFERROR(IF(ISNUMBER(Sheet1!N339),Sheet1!N339,0),0)</f>
        <v>1095</v>
      </c>
      <c r="O339" s="46">
        <f>IFERROR(IF(TRIM(F339)="Nhava Sheva",SUMPRODUCT((UPPER(TRIM('Origin Costs'!$A$5:$A$44))=UPPER(TRIM(J339)))*'Origin Costs'!$C$5:$C$44),IF(TRIM(F339)="ICD Tihi",SUMPRODUCT((UPPER(TRIM('Origin Costs'!$A$49:$A$88))=UPPER(TRIM(J339)))*'Origin Costs'!$C$49:$C$88),IF(TRIM(F339)="ICD Dhannad",SUMPRODUCT((UPPER(TRIM('Origin Costs'!$A$93:$A$132))=UPPER(TRIM(J339)))*'Origin Costs'!$C$93:$C$132),0))),0)</f>
        <v>1192.9777777777779</v>
      </c>
      <c r="P339" s="46">
        <f t="shared" si="5"/>
        <v>2287.9777777777781</v>
      </c>
      <c r="Q339" s="13" t="str">
        <f>IF(OR(Dashboard!$C$4="All Customers",$E339=Dashboard!$C$4),IF($E339="","",$P339+ROW()/10000000),"")</f>
        <v/>
      </c>
    </row>
    <row r="340" spans="1:17" ht="14.25" customHeight="1" x14ac:dyDescent="0.3">
      <c r="A340" s="39" t="str">
        <f>IFERROR("FY"&amp;TEXT(MOD(IF(MONTH(Sheet1!A340)&gt;=4,YEAR(Sheet1!A340),YEAR(Sheet1!A340)-1),100),"00")&amp;"-"&amp;TEXT(MOD(IF(MONTH(Sheet1!A340)&gt;=4,YEAR(Sheet1!A340),YEAR(Sheet1!A340)-1)+1,100),"00"),"")</f>
        <v>FY25-26</v>
      </c>
      <c r="B340" s="40" t="str">
        <f>IFERROR("Q"&amp;IF(MONTH(Sheet1!A340)&gt;=4,IF(MONTH(Sheet1!A340)&lt;=6,1,IF(MONTH(Sheet1!A340)&lt;=9,2,3)),4),"")</f>
        <v>Q3</v>
      </c>
      <c r="C340" s="39" t="str">
        <f>IFERROR(Sheet1!C340,0)</f>
        <v>Europe</v>
      </c>
      <c r="D340" s="39" t="str">
        <f>IFERROR(Sheet1!F340,0)</f>
        <v>France</v>
      </c>
      <c r="E340" s="39" t="str">
        <f>IFERROR(Sheet1!E340,0)</f>
        <v>Copadex, France</v>
      </c>
      <c r="F340" s="39" t="str">
        <f>IFERROR(IF(UPPER(TRIM(Sheet1!J340))="NH","Nhava Sheva",IF(UPPER(TRIM(Sheet1!J340))="ICD","ICD Dhannad",IF(UPPER(TRIM(Sheet1!J340))="TIHI","ICD Tihi",Sheet1!J340))),0)</f>
        <v>ICD Tihi</v>
      </c>
      <c r="G340" s="39" t="str">
        <f>IFERROR(Sheet1!M340,0)</f>
        <v>LE HAVRE</v>
      </c>
      <c r="H340" s="39" t="str">
        <f>IFERROR(Sheet1!H340,0)</f>
        <v>Jeena &amp; Co</v>
      </c>
      <c r="I340" s="39" t="str">
        <f>IFERROR(Sheet1!G340,0)</f>
        <v>FOB</v>
      </c>
      <c r="J340" s="39" t="str">
        <f>IFERROR(Sheet1!K340,0)</f>
        <v>MSC</v>
      </c>
      <c r="K340" s="41">
        <f>IFERROR(Sheet1!A340,0)</f>
        <v>46021</v>
      </c>
      <c r="L340" s="41">
        <f>IFERROR(Sheet1!I340,0)</f>
        <v>46021</v>
      </c>
      <c r="M340" s="47" t="str">
        <f>IFERROR(Sheet1!P340,0)</f>
        <v>NA</v>
      </c>
      <c r="N340" s="42">
        <f>IFERROR(IF(ISNUMBER(Sheet1!N340),Sheet1!N340,0),0)</f>
        <v>0</v>
      </c>
      <c r="O340" s="42">
        <f>IFERROR(IF(TRIM(F340)="Nhava Sheva",SUMPRODUCT((UPPER(TRIM('Origin Costs'!$A$5:$A$44))=UPPER(TRIM(J340)))*'Origin Costs'!$C$5:$C$44),IF(TRIM(F340)="ICD Tihi",SUMPRODUCT((UPPER(TRIM('Origin Costs'!$A$49:$A$88))=UPPER(TRIM(J340)))*'Origin Costs'!$C$49:$C$88),IF(TRIM(F340)="ICD Dhannad",SUMPRODUCT((UPPER(TRIM('Origin Costs'!$A$93:$A$132))=UPPER(TRIM(J340)))*'Origin Costs'!$C$93:$C$132),0))),0)</f>
        <v>1081.3333333333333</v>
      </c>
      <c r="P340" s="42">
        <f t="shared" si="5"/>
        <v>1081.3333333333333</v>
      </c>
      <c r="Q340" s="13" t="str">
        <f>IF(OR(Dashboard!$C$4="All Customers",$E340=Dashboard!$C$4),IF($E340="","",$P340+ROW()/10000000),"")</f>
        <v/>
      </c>
    </row>
    <row r="341" spans="1:17" ht="14.25" customHeight="1" x14ac:dyDescent="0.3">
      <c r="A341" s="43" t="str">
        <f>IFERROR("FY"&amp;TEXT(MOD(IF(MONTH(Sheet1!A341)&gt;=4,YEAR(Sheet1!A341),YEAR(Sheet1!A341)-1),100),"00")&amp;"-"&amp;TEXT(MOD(IF(MONTH(Sheet1!A341)&gt;=4,YEAR(Sheet1!A341),YEAR(Sheet1!A341)-1)+1,100),"00"),"")</f>
        <v>FY25-26</v>
      </c>
      <c r="B341" s="44" t="str">
        <f>IFERROR("Q"&amp;IF(MONTH(Sheet1!A341)&gt;=4,IF(MONTH(Sheet1!A341)&lt;=6,1,IF(MONTH(Sheet1!A341)&lt;=9,2,3)),4),"")</f>
        <v>Q4</v>
      </c>
      <c r="C341" s="43" t="str">
        <f>IFERROR(Sheet1!C341,0)</f>
        <v>MEA</v>
      </c>
      <c r="D341" s="43" t="str">
        <f>IFERROR(Sheet1!F341,0)</f>
        <v>Oman</v>
      </c>
      <c r="E341" s="43" t="str">
        <f>IFERROR(Sheet1!E341,0)</f>
        <v>UNITED MOTORS AND HEAVY EQUIPMENT</v>
      </c>
      <c r="F341" s="43" t="str">
        <f>IFERROR(IF(UPPER(TRIM(Sheet1!J341))="NH","Nhava Sheva",IF(UPPER(TRIM(Sheet1!J341))="ICD","ICD Dhannad",IF(UPPER(TRIM(Sheet1!J341))="TIHI","ICD Tihi",Sheet1!J341))),0)</f>
        <v>Nhava Sheva</v>
      </c>
      <c r="G341" s="43" t="str">
        <f>IFERROR(Sheet1!M341,0)</f>
        <v>Sohar</v>
      </c>
      <c r="H341" s="43" t="str">
        <f>IFERROR(Sheet1!H341,0)</f>
        <v>Emirates Logistics</v>
      </c>
      <c r="I341" s="43" t="str">
        <f>IFERROR(Sheet1!G341,0)</f>
        <v>FOB</v>
      </c>
      <c r="J341" s="43" t="str">
        <f>IFERROR(Sheet1!K341,0)</f>
        <v>RCL</v>
      </c>
      <c r="K341" s="45">
        <f>IFERROR(Sheet1!A341,0)</f>
        <v>46023</v>
      </c>
      <c r="L341" s="45">
        <f>IFERROR(Sheet1!I341,0)</f>
        <v>46021</v>
      </c>
      <c r="M341" s="47" t="str">
        <f>IFERROR(Sheet1!P341,0)</f>
        <v>NA</v>
      </c>
      <c r="N341" s="46">
        <f>IFERROR(IF(ISNUMBER(Sheet1!N341),Sheet1!N341,0),0)</f>
        <v>0</v>
      </c>
      <c r="O341" s="46">
        <f>IFERROR(IF(TRIM(F341)="Nhava Sheva",SUMPRODUCT((UPPER(TRIM('Origin Costs'!$A$5:$A$44))=UPPER(TRIM(J341)))*'Origin Costs'!$C$5:$C$44),IF(TRIM(F341)="ICD Tihi",SUMPRODUCT((UPPER(TRIM('Origin Costs'!$A$49:$A$88))=UPPER(TRIM(J341)))*'Origin Costs'!$C$49:$C$88),IF(TRIM(F341)="ICD Dhannad",SUMPRODUCT((UPPER(TRIM('Origin Costs'!$A$93:$A$132))=UPPER(TRIM(J341)))*'Origin Costs'!$C$93:$C$132),0))),0)</f>
        <v>0</v>
      </c>
      <c r="P341" s="46">
        <f t="shared" si="5"/>
        <v>0</v>
      </c>
      <c r="Q341" s="13" t="str">
        <f>IF(OR(Dashboard!$C$4="All Customers",$E341=Dashboard!$C$4),IF($E341="","",$P341+ROW()/10000000),"")</f>
        <v/>
      </c>
    </row>
    <row r="342" spans="1:17" ht="14.25" customHeight="1" x14ac:dyDescent="0.3">
      <c r="A342" s="39" t="str">
        <f>IFERROR("FY"&amp;TEXT(MOD(IF(MONTH(Sheet1!A342)&gt;=4,YEAR(Sheet1!A342),YEAR(Sheet1!A342)-1),100),"00")&amp;"-"&amp;TEXT(MOD(IF(MONTH(Sheet1!A342)&gt;=4,YEAR(Sheet1!A342),YEAR(Sheet1!A342)-1)+1,100),"00"),"")</f>
        <v>FY25-26</v>
      </c>
      <c r="B342" s="40" t="str">
        <f>IFERROR("Q"&amp;IF(MONTH(Sheet1!A342)&gt;=4,IF(MONTH(Sheet1!A342)&lt;=6,1,IF(MONTH(Sheet1!A342)&lt;=9,2,3)),4),"")</f>
        <v>Q4</v>
      </c>
      <c r="C342" s="39" t="str">
        <f>IFERROR(Sheet1!C342,0)</f>
        <v>MEA</v>
      </c>
      <c r="D342" s="39" t="str">
        <f>IFERROR(Sheet1!F342,0)</f>
        <v>Oman</v>
      </c>
      <c r="E342" s="39" t="str">
        <f>IFERROR(Sheet1!E342,0)</f>
        <v>UNITED MOTORS AND HEAVY EQUIPMENT</v>
      </c>
      <c r="F342" s="39" t="str">
        <f>IFERROR(IF(UPPER(TRIM(Sheet1!J342))="NH","Nhava Sheva",IF(UPPER(TRIM(Sheet1!J342))="ICD","ICD Dhannad",IF(UPPER(TRIM(Sheet1!J342))="TIHI","ICD Tihi",Sheet1!J342))),0)</f>
        <v>Nhava Sheva</v>
      </c>
      <c r="G342" s="39" t="str">
        <f>IFERROR(Sheet1!M342,0)</f>
        <v>Sohar</v>
      </c>
      <c r="H342" s="39" t="str">
        <f>IFERROR(Sheet1!H342,0)</f>
        <v>Emirates Logistics</v>
      </c>
      <c r="I342" s="39" t="str">
        <f>IFERROR(Sheet1!G342,0)</f>
        <v>FOB</v>
      </c>
      <c r="J342" s="39" t="str">
        <f>IFERROR(Sheet1!K342,0)</f>
        <v>RCL</v>
      </c>
      <c r="K342" s="41">
        <f>IFERROR(Sheet1!A342,0)</f>
        <v>46023</v>
      </c>
      <c r="L342" s="41">
        <f>IFERROR(Sheet1!I342,0)</f>
        <v>46021</v>
      </c>
      <c r="M342" s="47" t="str">
        <f>IFERROR(Sheet1!P342,0)</f>
        <v>NA</v>
      </c>
      <c r="N342" s="42">
        <f>IFERROR(IF(ISNUMBER(Sheet1!N342),Sheet1!N342,0),0)</f>
        <v>0</v>
      </c>
      <c r="O342" s="42">
        <f>IFERROR(IF(TRIM(F342)="Nhava Sheva",SUMPRODUCT((UPPER(TRIM('Origin Costs'!$A$5:$A$44))=UPPER(TRIM(J342)))*'Origin Costs'!$C$5:$C$44),IF(TRIM(F342)="ICD Tihi",SUMPRODUCT((UPPER(TRIM('Origin Costs'!$A$49:$A$88))=UPPER(TRIM(J342)))*'Origin Costs'!$C$49:$C$88),IF(TRIM(F342)="ICD Dhannad",SUMPRODUCT((UPPER(TRIM('Origin Costs'!$A$93:$A$132))=UPPER(TRIM(J342)))*'Origin Costs'!$C$93:$C$132),0))),0)</f>
        <v>0</v>
      </c>
      <c r="P342" s="42">
        <f t="shared" si="5"/>
        <v>0</v>
      </c>
      <c r="Q342" s="13" t="str">
        <f>IF(OR(Dashboard!$C$4="All Customers",$E342=Dashboard!$C$4),IF($E342="","",$P342+ROW()/10000000),"")</f>
        <v/>
      </c>
    </row>
    <row r="343" spans="1:17" ht="14.25" customHeight="1" x14ac:dyDescent="0.3">
      <c r="A343" s="43" t="str">
        <f>IFERROR("FY"&amp;TEXT(MOD(IF(MONTH(Sheet1!A343)&gt;=4,YEAR(Sheet1!A343),YEAR(Sheet1!A343)-1),100),"00")&amp;"-"&amp;TEXT(MOD(IF(MONTH(Sheet1!A343)&gt;=4,YEAR(Sheet1!A343),YEAR(Sheet1!A343)-1)+1,100),"00"),"")</f>
        <v>FY25-26</v>
      </c>
      <c r="B343" s="44" t="str">
        <f>IFERROR("Q"&amp;IF(MONTH(Sheet1!A343)&gt;=4,IF(MONTH(Sheet1!A343)&lt;=6,1,IF(MONTH(Sheet1!A343)&lt;=9,2,3)),4),"")</f>
        <v>Q4</v>
      </c>
      <c r="C343" s="43" t="str">
        <f>IFERROR(Sheet1!C343,0)</f>
        <v>S.A</v>
      </c>
      <c r="D343" s="43" t="str">
        <f>IFERROR(Sheet1!F343,0)</f>
        <v>Brazil</v>
      </c>
      <c r="E343" s="43" t="str">
        <f>IFERROR(Sheet1!E343,0)</f>
        <v>CPX DISTRIBUIDORA S/A</v>
      </c>
      <c r="F343" s="43" t="str">
        <f>IFERROR(IF(UPPER(TRIM(Sheet1!J343))="NH","Nhava Sheva",IF(UPPER(TRIM(Sheet1!J343))="ICD","ICD Dhannad",IF(UPPER(TRIM(Sheet1!J343))="TIHI","ICD Tihi",Sheet1!J343))),0)</f>
        <v>Nhava Sheva</v>
      </c>
      <c r="G343" s="43" t="str">
        <f>IFERROR(Sheet1!M343,0)</f>
        <v>Itajai</v>
      </c>
      <c r="H343" s="43" t="str">
        <f>IFERROR(Sheet1!H343,0)</f>
        <v>Cargo Marketing</v>
      </c>
      <c r="I343" s="43" t="str">
        <f>IFERROR(Sheet1!G343,0)</f>
        <v>FOB</v>
      </c>
      <c r="J343" s="43" t="str">
        <f>IFERROR(Sheet1!K343,0)</f>
        <v>MSC</v>
      </c>
      <c r="K343" s="45">
        <f>IFERROR(Sheet1!A343,0)</f>
        <v>46027</v>
      </c>
      <c r="L343" s="45">
        <f>IFERROR(Sheet1!I343,0)</f>
        <v>46025</v>
      </c>
      <c r="M343" s="47" t="str">
        <f>IFERROR(Sheet1!P343,0)</f>
        <v>NA</v>
      </c>
      <c r="N343" s="46">
        <f>IFERROR(IF(ISNUMBER(Sheet1!N343),Sheet1!N343,0),0)</f>
        <v>0</v>
      </c>
      <c r="O343" s="46">
        <f>IFERROR(IF(TRIM(F343)="Nhava Sheva",SUMPRODUCT((UPPER(TRIM('Origin Costs'!$A$5:$A$44))=UPPER(TRIM(J343)))*'Origin Costs'!$C$5:$C$44),IF(TRIM(F343)="ICD Tihi",SUMPRODUCT((UPPER(TRIM('Origin Costs'!$A$49:$A$88))=UPPER(TRIM(J343)))*'Origin Costs'!$C$49:$C$88),IF(TRIM(F343)="ICD Dhannad",SUMPRODUCT((UPPER(TRIM('Origin Costs'!$A$93:$A$132))=UPPER(TRIM(J343)))*'Origin Costs'!$C$93:$C$132),0))),0)</f>
        <v>1168.8222222222223</v>
      </c>
      <c r="P343" s="46">
        <f t="shared" si="5"/>
        <v>1168.8222222222223</v>
      </c>
      <c r="Q343" s="13" t="str">
        <f>IF(OR(Dashboard!$C$4="All Customers",$E343=Dashboard!$C$4),IF($E343="","",$P343+ROW()/10000000),"")</f>
        <v/>
      </c>
    </row>
    <row r="344" spans="1:17" ht="14.25" customHeight="1" x14ac:dyDescent="0.3">
      <c r="A344" s="39" t="str">
        <f>IFERROR("FY"&amp;TEXT(MOD(IF(MONTH(Sheet1!A344)&gt;=4,YEAR(Sheet1!A344),YEAR(Sheet1!A344)-1),100),"00")&amp;"-"&amp;TEXT(MOD(IF(MONTH(Sheet1!A344)&gt;=4,YEAR(Sheet1!A344),YEAR(Sheet1!A344)-1)+1,100),"00"),"")</f>
        <v>FY25-26</v>
      </c>
      <c r="B344" s="40" t="str">
        <f>IFERROR("Q"&amp;IF(MONTH(Sheet1!A344)&gt;=4,IF(MONTH(Sheet1!A344)&lt;=6,1,IF(MONTH(Sheet1!A344)&lt;=9,2,3)),4),"")</f>
        <v>Q4</v>
      </c>
      <c r="C344" s="39" t="str">
        <f>IFERROR(Sheet1!C344,0)</f>
        <v>S.A</v>
      </c>
      <c r="D344" s="39" t="str">
        <f>IFERROR(Sheet1!F344,0)</f>
        <v>Brazil</v>
      </c>
      <c r="E344" s="39" t="str">
        <f>IFERROR(Sheet1!E344,0)</f>
        <v>CPX DISTRIBUIDORA S/A</v>
      </c>
      <c r="F344" s="39" t="str">
        <f>IFERROR(IF(UPPER(TRIM(Sheet1!J344))="NH","Nhava Sheva",IF(UPPER(TRIM(Sheet1!J344))="ICD","ICD Dhannad",IF(UPPER(TRIM(Sheet1!J344))="TIHI","ICD Tihi",Sheet1!J344))),0)</f>
        <v>Nhava Sheva</v>
      </c>
      <c r="G344" s="39" t="str">
        <f>IFERROR(Sheet1!M344,0)</f>
        <v>Itajai</v>
      </c>
      <c r="H344" s="39" t="str">
        <f>IFERROR(Sheet1!H344,0)</f>
        <v>Cargo Marketing</v>
      </c>
      <c r="I344" s="39" t="str">
        <f>IFERROR(Sheet1!G344,0)</f>
        <v>FOB</v>
      </c>
      <c r="J344" s="39" t="str">
        <f>IFERROR(Sheet1!K344,0)</f>
        <v>MSC</v>
      </c>
      <c r="K344" s="41">
        <f>IFERROR(Sheet1!A344,0)</f>
        <v>46027</v>
      </c>
      <c r="L344" s="41">
        <f>IFERROR(Sheet1!I344,0)</f>
        <v>46025</v>
      </c>
      <c r="M344" s="47" t="str">
        <f>IFERROR(Sheet1!P344,0)</f>
        <v>NA</v>
      </c>
      <c r="N344" s="42">
        <f>IFERROR(IF(ISNUMBER(Sheet1!N344),Sheet1!N344,0),0)</f>
        <v>0</v>
      </c>
      <c r="O344" s="42">
        <f>IFERROR(IF(TRIM(F344)="Nhava Sheva",SUMPRODUCT((UPPER(TRIM('Origin Costs'!$A$5:$A$44))=UPPER(TRIM(J344)))*'Origin Costs'!$C$5:$C$44),IF(TRIM(F344)="ICD Tihi",SUMPRODUCT((UPPER(TRIM('Origin Costs'!$A$49:$A$88))=UPPER(TRIM(J344)))*'Origin Costs'!$C$49:$C$88),IF(TRIM(F344)="ICD Dhannad",SUMPRODUCT((UPPER(TRIM('Origin Costs'!$A$93:$A$132))=UPPER(TRIM(J344)))*'Origin Costs'!$C$93:$C$132),0))),0)</f>
        <v>1168.8222222222223</v>
      </c>
      <c r="P344" s="42">
        <f t="shared" si="5"/>
        <v>1168.8222222222223</v>
      </c>
      <c r="Q344" s="13" t="str">
        <f>IF(OR(Dashboard!$C$4="All Customers",$E344=Dashboard!$C$4),IF($E344="","",$P344+ROW()/10000000),"")</f>
        <v/>
      </c>
    </row>
    <row r="345" spans="1:17" ht="14.25" customHeight="1" x14ac:dyDescent="0.3">
      <c r="A345" s="43" t="str">
        <f>IFERROR("FY"&amp;TEXT(MOD(IF(MONTH(Sheet1!A345)&gt;=4,YEAR(Sheet1!A345),YEAR(Sheet1!A345)-1),100),"00")&amp;"-"&amp;TEXT(MOD(IF(MONTH(Sheet1!A345)&gt;=4,YEAR(Sheet1!A345),YEAR(Sheet1!A345)-1)+1,100),"00"),"")</f>
        <v>FY25-26</v>
      </c>
      <c r="B345" s="44" t="str">
        <f>IFERROR("Q"&amp;IF(MONTH(Sheet1!A345)&gt;=4,IF(MONTH(Sheet1!A345)&lt;=6,1,IF(MONTH(Sheet1!A345)&lt;=9,2,3)),4),"")</f>
        <v>Q4</v>
      </c>
      <c r="C345" s="43" t="str">
        <f>IFERROR(Sheet1!C345,0)</f>
        <v>S.A</v>
      </c>
      <c r="D345" s="43" t="str">
        <f>IFERROR(Sheet1!F345,0)</f>
        <v>Brazil</v>
      </c>
      <c r="E345" s="43" t="str">
        <f>IFERROR(Sheet1!E345,0)</f>
        <v>CPX DISTRIBUIDORA S/A</v>
      </c>
      <c r="F345" s="43" t="str">
        <f>IFERROR(IF(UPPER(TRIM(Sheet1!J345))="NH","Nhava Sheva",IF(UPPER(TRIM(Sheet1!J345))="ICD","ICD Dhannad",IF(UPPER(TRIM(Sheet1!J345))="TIHI","ICD Tihi",Sheet1!J345))),0)</f>
        <v>Nhava Sheva</v>
      </c>
      <c r="G345" s="43" t="str">
        <f>IFERROR(Sheet1!M345,0)</f>
        <v>Itajai</v>
      </c>
      <c r="H345" s="43" t="str">
        <f>IFERROR(Sheet1!H345,0)</f>
        <v>Cargo Marketing</v>
      </c>
      <c r="I345" s="43" t="str">
        <f>IFERROR(Sheet1!G345,0)</f>
        <v>FOB</v>
      </c>
      <c r="J345" s="43" t="str">
        <f>IFERROR(Sheet1!K345,0)</f>
        <v>MSC</v>
      </c>
      <c r="K345" s="45">
        <f>IFERROR(Sheet1!A345,0)</f>
        <v>46027</v>
      </c>
      <c r="L345" s="45">
        <f>IFERROR(Sheet1!I345,0)</f>
        <v>46025</v>
      </c>
      <c r="M345" s="47" t="str">
        <f>IFERROR(Sheet1!P345,0)</f>
        <v>NA</v>
      </c>
      <c r="N345" s="46">
        <f>IFERROR(IF(ISNUMBER(Sheet1!N345),Sheet1!N345,0),0)</f>
        <v>0</v>
      </c>
      <c r="O345" s="46">
        <f>IFERROR(IF(TRIM(F345)="Nhava Sheva",SUMPRODUCT((UPPER(TRIM('Origin Costs'!$A$5:$A$44))=UPPER(TRIM(J345)))*'Origin Costs'!$C$5:$C$44),IF(TRIM(F345)="ICD Tihi",SUMPRODUCT((UPPER(TRIM('Origin Costs'!$A$49:$A$88))=UPPER(TRIM(J345)))*'Origin Costs'!$C$49:$C$88),IF(TRIM(F345)="ICD Dhannad",SUMPRODUCT((UPPER(TRIM('Origin Costs'!$A$93:$A$132))=UPPER(TRIM(J345)))*'Origin Costs'!$C$93:$C$132),0))),0)</f>
        <v>1168.8222222222223</v>
      </c>
      <c r="P345" s="46">
        <f t="shared" si="5"/>
        <v>1168.8222222222223</v>
      </c>
      <c r="Q345" s="13" t="str">
        <f>IF(OR(Dashboard!$C$4="All Customers",$E345=Dashboard!$C$4),IF($E345="","",$P345+ROW()/10000000),"")</f>
        <v/>
      </c>
    </row>
    <row r="346" spans="1:17" ht="14.25" customHeight="1" x14ac:dyDescent="0.3">
      <c r="A346" s="39" t="str">
        <f>IFERROR("FY"&amp;TEXT(MOD(IF(MONTH(Sheet1!A346)&gt;=4,YEAR(Sheet1!A346),YEAR(Sheet1!A346)-1),100),"00")&amp;"-"&amp;TEXT(MOD(IF(MONTH(Sheet1!A346)&gt;=4,YEAR(Sheet1!A346),YEAR(Sheet1!A346)-1)+1,100),"00"),"")</f>
        <v>FY25-26</v>
      </c>
      <c r="B346" s="40" t="str">
        <f>IFERROR("Q"&amp;IF(MONTH(Sheet1!A346)&gt;=4,IF(MONTH(Sheet1!A346)&lt;=6,1,IF(MONTH(Sheet1!A346)&lt;=9,2,3)),4),"")</f>
        <v>Q4</v>
      </c>
      <c r="C346" s="39" t="str">
        <f>IFERROR(Sheet1!C346,0)</f>
        <v>S.A</v>
      </c>
      <c r="D346" s="39" t="str">
        <f>IFERROR(Sheet1!F346,0)</f>
        <v>Brazil</v>
      </c>
      <c r="E346" s="39" t="str">
        <f>IFERROR(Sheet1!E346,0)</f>
        <v>CPX DISTRIBUIDORA S/A</v>
      </c>
      <c r="F346" s="39" t="str">
        <f>IFERROR(IF(UPPER(TRIM(Sheet1!J346))="NH","Nhava Sheva",IF(UPPER(TRIM(Sheet1!J346))="ICD","ICD Dhannad",IF(UPPER(TRIM(Sheet1!J346))="TIHI","ICD Tihi",Sheet1!J346))),0)</f>
        <v>Nhava Sheva</v>
      </c>
      <c r="G346" s="39" t="str">
        <f>IFERROR(Sheet1!M346,0)</f>
        <v>Itajai</v>
      </c>
      <c r="H346" s="39" t="str">
        <f>IFERROR(Sheet1!H346,0)</f>
        <v>Cargo Marketing</v>
      </c>
      <c r="I346" s="39" t="str">
        <f>IFERROR(Sheet1!G346,0)</f>
        <v>FOB</v>
      </c>
      <c r="J346" s="39" t="str">
        <f>IFERROR(Sheet1!K346,0)</f>
        <v>MSC</v>
      </c>
      <c r="K346" s="41">
        <f>IFERROR(Sheet1!A346,0)</f>
        <v>46027</v>
      </c>
      <c r="L346" s="41">
        <f>IFERROR(Sheet1!I346,0)</f>
        <v>46025</v>
      </c>
      <c r="M346" s="47" t="str">
        <f>IFERROR(Sheet1!P346,0)</f>
        <v>NA</v>
      </c>
      <c r="N346" s="42">
        <f>IFERROR(IF(ISNUMBER(Sheet1!N346),Sheet1!N346,0),0)</f>
        <v>0</v>
      </c>
      <c r="O346" s="42">
        <f>IFERROR(IF(TRIM(F346)="Nhava Sheva",SUMPRODUCT((UPPER(TRIM('Origin Costs'!$A$5:$A$44))=UPPER(TRIM(J346)))*'Origin Costs'!$C$5:$C$44),IF(TRIM(F346)="ICD Tihi",SUMPRODUCT((UPPER(TRIM('Origin Costs'!$A$49:$A$88))=UPPER(TRIM(J346)))*'Origin Costs'!$C$49:$C$88),IF(TRIM(F346)="ICD Dhannad",SUMPRODUCT((UPPER(TRIM('Origin Costs'!$A$93:$A$132))=UPPER(TRIM(J346)))*'Origin Costs'!$C$93:$C$132),0))),0)</f>
        <v>1168.8222222222223</v>
      </c>
      <c r="P346" s="42">
        <f t="shared" si="5"/>
        <v>1168.8222222222223</v>
      </c>
      <c r="Q346" s="13" t="str">
        <f>IF(OR(Dashboard!$C$4="All Customers",$E346=Dashboard!$C$4),IF($E346="","",$P346+ROW()/10000000),"")</f>
        <v/>
      </c>
    </row>
    <row r="347" spans="1:17" ht="14.25" customHeight="1" x14ac:dyDescent="0.3">
      <c r="A347" s="43" t="str">
        <f>IFERROR("FY"&amp;TEXT(MOD(IF(MONTH(Sheet1!A347)&gt;=4,YEAR(Sheet1!A347),YEAR(Sheet1!A347)-1),100),"00")&amp;"-"&amp;TEXT(MOD(IF(MONTH(Sheet1!A347)&gt;=4,YEAR(Sheet1!A347),YEAR(Sheet1!A347)-1)+1,100),"00"),"")</f>
        <v>FY25-26</v>
      </c>
      <c r="B347" s="44" t="str">
        <f>IFERROR("Q"&amp;IF(MONTH(Sheet1!A347)&gt;=4,IF(MONTH(Sheet1!A347)&lt;=6,1,IF(MONTH(Sheet1!A347)&lt;=9,2,3)),4),"")</f>
        <v>Q4</v>
      </c>
      <c r="C347" s="43" t="str">
        <f>IFERROR(Sheet1!C347,0)</f>
        <v>Europe</v>
      </c>
      <c r="D347" s="43" t="str">
        <f>IFERROR(Sheet1!F347,0)</f>
        <v>Greece</v>
      </c>
      <c r="E347" s="43" t="str">
        <f>IFERROR(Sheet1!E347,0)</f>
        <v>INTER CARS GREECE LTD</v>
      </c>
      <c r="F347" s="43" t="str">
        <f>IFERROR(IF(UPPER(TRIM(Sheet1!J347))="NH","Nhava Sheva",IF(UPPER(TRIM(Sheet1!J347))="ICD","ICD Dhannad",IF(UPPER(TRIM(Sheet1!J347))="TIHI","ICD Tihi",Sheet1!J347))),0)</f>
        <v>ICD Tihi</v>
      </c>
      <c r="G347" s="43" t="str">
        <f>IFERROR(Sheet1!M347,0)</f>
        <v>PIRAEUS</v>
      </c>
      <c r="H347" s="43" t="str">
        <f>IFERROR(Sheet1!H347,0)</f>
        <v>VS Trans Lojistik</v>
      </c>
      <c r="I347" s="43" t="str">
        <f>IFERROR(Sheet1!G347,0)</f>
        <v>FOB</v>
      </c>
      <c r="J347" s="43" t="str">
        <f>IFERROR(Sheet1!K347,0)</f>
        <v>CMA</v>
      </c>
      <c r="K347" s="45">
        <f>IFERROR(Sheet1!A347,0)</f>
        <v>46033</v>
      </c>
      <c r="L347" s="45">
        <f>IFERROR(Sheet1!I347,0)</f>
        <v>46031</v>
      </c>
      <c r="M347" s="47" t="str">
        <f>IFERROR(Sheet1!P347,0)</f>
        <v>NA</v>
      </c>
      <c r="N347" s="46">
        <f>IFERROR(IF(ISNUMBER(Sheet1!N347),Sheet1!N347,0),0)</f>
        <v>0</v>
      </c>
      <c r="O347" s="46">
        <f>IFERROR(IF(TRIM(F347)="Nhava Sheva",SUMPRODUCT((UPPER(TRIM('Origin Costs'!$A$5:$A$44))=UPPER(TRIM(J347)))*'Origin Costs'!$C$5:$C$44),IF(TRIM(F347)="ICD Tihi",SUMPRODUCT((UPPER(TRIM('Origin Costs'!$A$49:$A$88))=UPPER(TRIM(J347)))*'Origin Costs'!$C$49:$C$88),IF(TRIM(F347)="ICD Dhannad",SUMPRODUCT((UPPER(TRIM('Origin Costs'!$A$93:$A$132))=UPPER(TRIM(J347)))*'Origin Costs'!$C$93:$C$132),0))),0)</f>
        <v>1110.9666666666667</v>
      </c>
      <c r="P347" s="46">
        <f t="shared" si="5"/>
        <v>1110.9666666666667</v>
      </c>
      <c r="Q347" s="13" t="str">
        <f>IF(OR(Dashboard!$C$4="All Customers",$E347=Dashboard!$C$4),IF($E347="","",$P347+ROW()/10000000),"")</f>
        <v/>
      </c>
    </row>
    <row r="348" spans="1:17" ht="14.25" customHeight="1" x14ac:dyDescent="0.3">
      <c r="A348" s="39" t="str">
        <f>IFERROR("FY"&amp;TEXT(MOD(IF(MONTH(Sheet1!A348)&gt;=4,YEAR(Sheet1!A348),YEAR(Sheet1!A348)-1),100),"00")&amp;"-"&amp;TEXT(MOD(IF(MONTH(Sheet1!A348)&gt;=4,YEAR(Sheet1!A348),YEAR(Sheet1!A348)-1)+1,100),"00"),"")</f>
        <v>FY25-26</v>
      </c>
      <c r="B348" s="40" t="str">
        <f>IFERROR("Q"&amp;IF(MONTH(Sheet1!A348)&gt;=4,IF(MONTH(Sheet1!A348)&lt;=6,1,IF(MONTH(Sheet1!A348)&lt;=9,2,3)),4),"")</f>
        <v>Q4</v>
      </c>
      <c r="C348" s="39" t="str">
        <f>IFERROR(Sheet1!C348,0)</f>
        <v>MEA</v>
      </c>
      <c r="D348" s="39" t="str">
        <f>IFERROR(Sheet1!F348,0)</f>
        <v>DI</v>
      </c>
      <c r="E348" s="39" t="str">
        <f>IFERROR(Sheet1!E348,0)</f>
        <v>ABDUL HADI TRADING CO LLC</v>
      </c>
      <c r="F348" s="39" t="str">
        <f>IFERROR(IF(UPPER(TRIM(Sheet1!J348))="NH","Nhava Sheva",IF(UPPER(TRIM(Sheet1!J348))="ICD","ICD Dhannad",IF(UPPER(TRIM(Sheet1!J348))="TIHI","ICD Tihi",Sheet1!J348))),0)</f>
        <v>Nhava Sheva</v>
      </c>
      <c r="G348" s="39" t="str">
        <f>IFERROR(Sheet1!M348,0)</f>
        <v>Jebel Ali</v>
      </c>
      <c r="H348" s="39" t="str">
        <f>IFERROR(Sheet1!H348,0)</f>
        <v>DP World</v>
      </c>
      <c r="I348" s="39" t="str">
        <f>IFERROR(Sheet1!G348,0)</f>
        <v>CIF</v>
      </c>
      <c r="J348" s="39" t="str">
        <f>IFERROR(Sheet1!K348,0)</f>
        <v>Unifeeder</v>
      </c>
      <c r="K348" s="41">
        <f>IFERROR(Sheet1!A348,0)</f>
        <v>46038</v>
      </c>
      <c r="L348" s="41">
        <f>IFERROR(Sheet1!I348,0)</f>
        <v>46036</v>
      </c>
      <c r="M348" s="47" t="str">
        <f>IFERROR(Sheet1!P348,0)</f>
        <v>NA</v>
      </c>
      <c r="N348" s="42">
        <f>IFERROR(IF(ISNUMBER(Sheet1!N348),Sheet1!N348,0),0)</f>
        <v>225</v>
      </c>
      <c r="O348" s="42">
        <f>IFERROR(IF(TRIM(F348)="Nhava Sheva",SUMPRODUCT((UPPER(TRIM('Origin Costs'!$A$5:$A$44))=UPPER(TRIM(J348)))*'Origin Costs'!$C$5:$C$44),IF(TRIM(F348)="ICD Tihi",SUMPRODUCT((UPPER(TRIM('Origin Costs'!$A$49:$A$88))=UPPER(TRIM(J348)))*'Origin Costs'!$C$49:$C$88),IF(TRIM(F348)="ICD Dhannad",SUMPRODUCT((UPPER(TRIM('Origin Costs'!$A$93:$A$132))=UPPER(TRIM(J348)))*'Origin Costs'!$C$93:$C$132),0))),0)</f>
        <v>0</v>
      </c>
      <c r="P348" s="42">
        <f t="shared" si="5"/>
        <v>225</v>
      </c>
      <c r="Q348" s="13" t="str">
        <f>IF(OR(Dashboard!$C$4="All Customers",$E348=Dashboard!$C$4),IF($E348="","",$P348+ROW()/10000000),"")</f>
        <v/>
      </c>
    </row>
    <row r="349" spans="1:17" ht="14.25" customHeight="1" x14ac:dyDescent="0.3">
      <c r="A349" s="43" t="str">
        <f>IFERROR("FY"&amp;TEXT(MOD(IF(MONTH(Sheet1!A349)&gt;=4,YEAR(Sheet1!A349),YEAR(Sheet1!A349)-1),100),"00")&amp;"-"&amp;TEXT(MOD(IF(MONTH(Sheet1!A349)&gt;=4,YEAR(Sheet1!A349),YEAR(Sheet1!A349)-1)+1,100),"00"),"")</f>
        <v>FY25-26</v>
      </c>
      <c r="B349" s="44" t="str">
        <f>IFERROR("Q"&amp;IF(MONTH(Sheet1!A349)&gt;=4,IF(MONTH(Sheet1!A349)&lt;=6,1,IF(MONTH(Sheet1!A349)&lt;=9,2,3)),4),"")</f>
        <v>Q4</v>
      </c>
      <c r="C349" s="43" t="str">
        <f>IFERROR(Sheet1!C349,0)</f>
        <v>MEA</v>
      </c>
      <c r="D349" s="43" t="str">
        <f>IFERROR(Sheet1!F349,0)</f>
        <v>DI</v>
      </c>
      <c r="E349" s="43" t="str">
        <f>IFERROR(Sheet1!E349,0)</f>
        <v>ABDUL HADI TRADING CO LLC</v>
      </c>
      <c r="F349" s="43" t="str">
        <f>IFERROR(IF(UPPER(TRIM(Sheet1!J349))="NH","Nhava Sheva",IF(UPPER(TRIM(Sheet1!J349))="ICD","ICD Dhannad",IF(UPPER(TRIM(Sheet1!J349))="TIHI","ICD Tihi",Sheet1!J349))),0)</f>
        <v>Nhava Sheva</v>
      </c>
      <c r="G349" s="43" t="str">
        <f>IFERROR(Sheet1!M349,0)</f>
        <v>Jebel Ali</v>
      </c>
      <c r="H349" s="43" t="str">
        <f>IFERROR(Sheet1!H349,0)</f>
        <v>DP World</v>
      </c>
      <c r="I349" s="43" t="str">
        <f>IFERROR(Sheet1!G349,0)</f>
        <v>CIF</v>
      </c>
      <c r="J349" s="43" t="str">
        <f>IFERROR(Sheet1!K349,0)</f>
        <v>Unifeeder</v>
      </c>
      <c r="K349" s="45">
        <f>IFERROR(Sheet1!A349,0)</f>
        <v>46038</v>
      </c>
      <c r="L349" s="45">
        <f>IFERROR(Sheet1!I349,0)</f>
        <v>46036</v>
      </c>
      <c r="M349" s="47" t="str">
        <f>IFERROR(Sheet1!P349,0)</f>
        <v>NA</v>
      </c>
      <c r="N349" s="46">
        <f>IFERROR(IF(ISNUMBER(Sheet1!N349),Sheet1!N349,0),0)</f>
        <v>225</v>
      </c>
      <c r="O349" s="46">
        <f>IFERROR(IF(TRIM(F349)="Nhava Sheva",SUMPRODUCT((UPPER(TRIM('Origin Costs'!$A$5:$A$44))=UPPER(TRIM(J349)))*'Origin Costs'!$C$5:$C$44),IF(TRIM(F349)="ICD Tihi",SUMPRODUCT((UPPER(TRIM('Origin Costs'!$A$49:$A$88))=UPPER(TRIM(J349)))*'Origin Costs'!$C$49:$C$88),IF(TRIM(F349)="ICD Dhannad",SUMPRODUCT((UPPER(TRIM('Origin Costs'!$A$93:$A$132))=UPPER(TRIM(J349)))*'Origin Costs'!$C$93:$C$132),0))),0)</f>
        <v>0</v>
      </c>
      <c r="P349" s="46">
        <f t="shared" si="5"/>
        <v>225</v>
      </c>
      <c r="Q349" s="13" t="str">
        <f>IF(OR(Dashboard!$C$4="All Customers",$E349=Dashboard!$C$4),IF($E349="","",$P349+ROW()/10000000),"")</f>
        <v/>
      </c>
    </row>
    <row r="350" spans="1:17" ht="14.25" customHeight="1" x14ac:dyDescent="0.3">
      <c r="A350" s="39" t="str">
        <f>IFERROR("FY"&amp;TEXT(MOD(IF(MONTH(Sheet1!A350)&gt;=4,YEAR(Sheet1!A350),YEAR(Sheet1!A350)-1),100),"00")&amp;"-"&amp;TEXT(MOD(IF(MONTH(Sheet1!A350)&gt;=4,YEAR(Sheet1!A350),YEAR(Sheet1!A350)-1)+1,100),"00"),"")</f>
        <v>FY25-26</v>
      </c>
      <c r="B350" s="40" t="str">
        <f>IFERROR("Q"&amp;IF(MONTH(Sheet1!A350)&gt;=4,IF(MONTH(Sheet1!A350)&lt;=6,1,IF(MONTH(Sheet1!A350)&lt;=9,2,3)),4),"")</f>
        <v>Q4</v>
      </c>
      <c r="C350" s="39" t="str">
        <f>IFERROR(Sheet1!C350,0)</f>
        <v>Europe</v>
      </c>
      <c r="D350" s="39" t="str">
        <f>IFERROR(Sheet1!F350,0)</f>
        <v>Slovenia</v>
      </c>
      <c r="E350" s="39" t="str">
        <f>IFERROR(Sheet1!E350,0)</f>
        <v>Inter Cars INT d.o.o. Slovenia</v>
      </c>
      <c r="F350" s="39" t="str">
        <f>IFERROR(IF(UPPER(TRIM(Sheet1!J350))="NH","Nhava Sheva",IF(UPPER(TRIM(Sheet1!J350))="ICD","ICD Dhannad",IF(UPPER(TRIM(Sheet1!J350))="TIHI","ICD Tihi",Sheet1!J350))),0)</f>
        <v>Nhava Sheva</v>
      </c>
      <c r="G350" s="39" t="str">
        <f>IFERROR(Sheet1!M350,0)</f>
        <v>Kooper</v>
      </c>
      <c r="H350" s="39" t="str">
        <f>IFERROR(Sheet1!H350,0)</f>
        <v>Vrrddhi Freight</v>
      </c>
      <c r="I350" s="39" t="str">
        <f>IFERROR(Sheet1!G350,0)</f>
        <v>FOB</v>
      </c>
      <c r="J350" s="39" t="str">
        <f>IFERROR(Sheet1!K350,0)</f>
        <v>ONE</v>
      </c>
      <c r="K350" s="41">
        <f>IFERROR(Sheet1!A350,0)</f>
        <v>46038</v>
      </c>
      <c r="L350" s="41">
        <f>IFERROR(Sheet1!I350,0)</f>
        <v>46036</v>
      </c>
      <c r="M350" s="47" t="str">
        <f>IFERROR(Sheet1!P350,0)</f>
        <v>NA</v>
      </c>
      <c r="N350" s="42">
        <f>IFERROR(IF(ISNUMBER(Sheet1!N350),Sheet1!N350,0),0)</f>
        <v>0</v>
      </c>
      <c r="O350" s="42">
        <f>IFERROR(IF(TRIM(F350)="Nhava Sheva",SUMPRODUCT((UPPER(TRIM('Origin Costs'!$A$5:$A$44))=UPPER(TRIM(J350)))*'Origin Costs'!$C$5:$C$44),IF(TRIM(F350)="ICD Tihi",SUMPRODUCT((UPPER(TRIM('Origin Costs'!$A$49:$A$88))=UPPER(TRIM(J350)))*'Origin Costs'!$C$49:$C$88),IF(TRIM(F350)="ICD Dhannad",SUMPRODUCT((UPPER(TRIM('Origin Costs'!$A$93:$A$132))=UPPER(TRIM(J350)))*'Origin Costs'!$C$93:$C$132),0))),0)</f>
        <v>1146.5555555555557</v>
      </c>
      <c r="P350" s="42">
        <f t="shared" si="5"/>
        <v>1146.5555555555557</v>
      </c>
      <c r="Q350" s="13" t="str">
        <f>IF(OR(Dashboard!$C$4="All Customers",$E350=Dashboard!$C$4),IF($E350="","",$P350+ROW()/10000000),"")</f>
        <v/>
      </c>
    </row>
    <row r="351" spans="1:17" ht="14.25" customHeight="1" x14ac:dyDescent="0.3">
      <c r="A351" s="43" t="str">
        <f>IFERROR("FY"&amp;TEXT(MOD(IF(MONTH(Sheet1!A351)&gt;=4,YEAR(Sheet1!A351),YEAR(Sheet1!A351)-1),100),"00")&amp;"-"&amp;TEXT(MOD(IF(MONTH(Sheet1!A351)&gt;=4,YEAR(Sheet1!A351),YEAR(Sheet1!A351)-1)+1,100),"00"),"")</f>
        <v>FY25-26</v>
      </c>
      <c r="B351" s="44" t="str">
        <f>IFERROR("Q"&amp;IF(MONTH(Sheet1!A351)&gt;=4,IF(MONTH(Sheet1!A351)&lt;=6,1,IF(MONTH(Sheet1!A351)&lt;=9,2,3)),4),"")</f>
        <v>Q4</v>
      </c>
      <c r="C351" s="43" t="str">
        <f>IFERROR(Sheet1!C351,0)</f>
        <v>Europe</v>
      </c>
      <c r="D351" s="43" t="str">
        <f>IFERROR(Sheet1!F351,0)</f>
        <v>Slovenia</v>
      </c>
      <c r="E351" s="43" t="str">
        <f>IFERROR(Sheet1!E351,0)</f>
        <v>Inter Cars INT d.o.o. Slovenia</v>
      </c>
      <c r="F351" s="43" t="str">
        <f>IFERROR(IF(UPPER(TRIM(Sheet1!J351))="NH","Nhava Sheva",IF(UPPER(TRIM(Sheet1!J351))="ICD","ICD Dhannad",IF(UPPER(TRIM(Sheet1!J351))="TIHI","ICD Tihi",Sheet1!J351))),0)</f>
        <v>Nhava Sheva</v>
      </c>
      <c r="G351" s="43" t="str">
        <f>IFERROR(Sheet1!M351,0)</f>
        <v>Kooper</v>
      </c>
      <c r="H351" s="43" t="str">
        <f>IFERROR(Sheet1!H351,0)</f>
        <v>Vrrddhi Freight</v>
      </c>
      <c r="I351" s="43" t="str">
        <f>IFERROR(Sheet1!G351,0)</f>
        <v>FOB</v>
      </c>
      <c r="J351" s="43" t="str">
        <f>IFERROR(Sheet1!K351,0)</f>
        <v>ONE</v>
      </c>
      <c r="K351" s="45">
        <f>IFERROR(Sheet1!A351,0)</f>
        <v>46038</v>
      </c>
      <c r="L351" s="45">
        <f>IFERROR(Sheet1!I351,0)</f>
        <v>46036</v>
      </c>
      <c r="M351" s="47" t="str">
        <f>IFERROR(Sheet1!P351,0)</f>
        <v>NA</v>
      </c>
      <c r="N351" s="46">
        <f>IFERROR(IF(ISNUMBER(Sheet1!N351),Sheet1!N351,0),0)</f>
        <v>0</v>
      </c>
      <c r="O351" s="46">
        <f>IFERROR(IF(TRIM(F351)="Nhava Sheva",SUMPRODUCT((UPPER(TRIM('Origin Costs'!$A$5:$A$44))=UPPER(TRIM(J351)))*'Origin Costs'!$C$5:$C$44),IF(TRIM(F351)="ICD Tihi",SUMPRODUCT((UPPER(TRIM('Origin Costs'!$A$49:$A$88))=UPPER(TRIM(J351)))*'Origin Costs'!$C$49:$C$88),IF(TRIM(F351)="ICD Dhannad",SUMPRODUCT((UPPER(TRIM('Origin Costs'!$A$93:$A$132))=UPPER(TRIM(J351)))*'Origin Costs'!$C$93:$C$132),0))),0)</f>
        <v>1146.5555555555557</v>
      </c>
      <c r="P351" s="46">
        <f t="shared" si="5"/>
        <v>1146.5555555555557</v>
      </c>
      <c r="Q351" s="13" t="str">
        <f>IF(OR(Dashboard!$C$4="All Customers",$E351=Dashboard!$C$4),IF($E351="","",$P351+ROW()/10000000),"")</f>
        <v/>
      </c>
    </row>
    <row r="352" spans="1:17" ht="14.25" customHeight="1" x14ac:dyDescent="0.3">
      <c r="A352" s="39" t="str">
        <f>IFERROR("FY"&amp;TEXT(MOD(IF(MONTH(Sheet1!A352)&gt;=4,YEAR(Sheet1!A352),YEAR(Sheet1!A352)-1),100),"00")&amp;"-"&amp;TEXT(MOD(IF(MONTH(Sheet1!A352)&gt;=4,YEAR(Sheet1!A352),YEAR(Sheet1!A352)-1)+1,100),"00"),"")</f>
        <v>FY25-26</v>
      </c>
      <c r="B352" s="40" t="str">
        <f>IFERROR("Q"&amp;IF(MONTH(Sheet1!A352)&gt;=4,IF(MONTH(Sheet1!A352)&lt;=6,1,IF(MONTH(Sheet1!A352)&lt;=9,2,3)),4),"")</f>
        <v>Q4</v>
      </c>
      <c r="C352" s="39" t="str">
        <f>IFERROR(Sheet1!C352,0)</f>
        <v>S.A</v>
      </c>
      <c r="D352" s="39" t="str">
        <f>IFERROR(Sheet1!F352,0)</f>
        <v>Brazil</v>
      </c>
      <c r="E352" s="39" t="str">
        <f>IFERROR(Sheet1!E352,0)</f>
        <v>CPX DISTRIBUIDORA S/A</v>
      </c>
      <c r="F352" s="39" t="str">
        <f>IFERROR(IF(UPPER(TRIM(Sheet1!J352))="NH","Nhava Sheva",IF(UPPER(TRIM(Sheet1!J352))="ICD","ICD Dhannad",IF(UPPER(TRIM(Sheet1!J352))="TIHI","ICD Tihi",Sheet1!J352))),0)</f>
        <v>ICD Tihi</v>
      </c>
      <c r="G352" s="39" t="str">
        <f>IFERROR(Sheet1!M352,0)</f>
        <v>ITAJAI</v>
      </c>
      <c r="H352" s="39" t="str">
        <f>IFERROR(Sheet1!H352,0)</f>
        <v>Asia Shipping</v>
      </c>
      <c r="I352" s="39" t="str">
        <f>IFERROR(Sheet1!G352,0)</f>
        <v>FOB</v>
      </c>
      <c r="J352" s="39" t="str">
        <f>IFERROR(Sheet1!K352,0)</f>
        <v>MSC</v>
      </c>
      <c r="K352" s="41">
        <f>IFERROR(Sheet1!A352,0)</f>
        <v>46039</v>
      </c>
      <c r="L352" s="41">
        <f>IFERROR(Sheet1!I352,0)</f>
        <v>46039</v>
      </c>
      <c r="M352" s="47" t="str">
        <f>IFERROR(Sheet1!P352,0)</f>
        <v>NA</v>
      </c>
      <c r="N352" s="42">
        <f>IFERROR(IF(ISNUMBER(Sheet1!N352),Sheet1!N352,0),0)</f>
        <v>0</v>
      </c>
      <c r="O352" s="42">
        <f>IFERROR(IF(TRIM(F352)="Nhava Sheva",SUMPRODUCT((UPPER(TRIM('Origin Costs'!$A$5:$A$44))=UPPER(TRIM(J352)))*'Origin Costs'!$C$5:$C$44),IF(TRIM(F352)="ICD Tihi",SUMPRODUCT((UPPER(TRIM('Origin Costs'!$A$49:$A$88))=UPPER(TRIM(J352)))*'Origin Costs'!$C$49:$C$88),IF(TRIM(F352)="ICD Dhannad",SUMPRODUCT((UPPER(TRIM('Origin Costs'!$A$93:$A$132))=UPPER(TRIM(J352)))*'Origin Costs'!$C$93:$C$132),0))),0)</f>
        <v>1081.3333333333333</v>
      </c>
      <c r="P352" s="42">
        <f t="shared" si="5"/>
        <v>1081.3333333333333</v>
      </c>
      <c r="Q352" s="13" t="str">
        <f>IF(OR(Dashboard!$C$4="All Customers",$E352=Dashboard!$C$4),IF($E352="","",$P352+ROW()/10000000),"")</f>
        <v/>
      </c>
    </row>
    <row r="353" spans="1:17" ht="14.25" customHeight="1" x14ac:dyDescent="0.3">
      <c r="A353" s="43" t="str">
        <f>IFERROR("FY"&amp;TEXT(MOD(IF(MONTH(Sheet1!A353)&gt;=4,YEAR(Sheet1!A353),YEAR(Sheet1!A353)-1),100),"00")&amp;"-"&amp;TEXT(MOD(IF(MONTH(Sheet1!A353)&gt;=4,YEAR(Sheet1!A353),YEAR(Sheet1!A353)-1)+1,100),"00"),"")</f>
        <v>FY25-26</v>
      </c>
      <c r="B353" s="44" t="str">
        <f>IFERROR("Q"&amp;IF(MONTH(Sheet1!A353)&gt;=4,IF(MONTH(Sheet1!A353)&lt;=6,1,IF(MONTH(Sheet1!A353)&lt;=9,2,3)),4),"")</f>
        <v>Q4</v>
      </c>
      <c r="C353" s="43" t="str">
        <f>IFERROR(Sheet1!C353,0)</f>
        <v>S.A</v>
      </c>
      <c r="D353" s="43" t="str">
        <f>IFERROR(Sheet1!F353,0)</f>
        <v>Brazil</v>
      </c>
      <c r="E353" s="43" t="str">
        <f>IFERROR(Sheet1!E353,0)</f>
        <v>CPX DISTRIBUIDORA S/A</v>
      </c>
      <c r="F353" s="43" t="str">
        <f>IFERROR(IF(UPPER(TRIM(Sheet1!J353))="NH","Nhava Sheva",IF(UPPER(TRIM(Sheet1!J353))="ICD","ICD Dhannad",IF(UPPER(TRIM(Sheet1!J353))="TIHI","ICD Tihi",Sheet1!J353))),0)</f>
        <v>ICD Tihi</v>
      </c>
      <c r="G353" s="43" t="str">
        <f>IFERROR(Sheet1!M353,0)</f>
        <v>ITAJAI</v>
      </c>
      <c r="H353" s="43" t="str">
        <f>IFERROR(Sheet1!H353,0)</f>
        <v>Asia Shipping</v>
      </c>
      <c r="I353" s="43" t="str">
        <f>IFERROR(Sheet1!G353,0)</f>
        <v>FOB</v>
      </c>
      <c r="J353" s="43" t="str">
        <f>IFERROR(Sheet1!K353,0)</f>
        <v>MSC</v>
      </c>
      <c r="K353" s="45">
        <f>IFERROR(Sheet1!A353,0)</f>
        <v>46039</v>
      </c>
      <c r="L353" s="45">
        <f>IFERROR(Sheet1!I353,0)</f>
        <v>46039</v>
      </c>
      <c r="M353" s="47" t="str">
        <f>IFERROR(Sheet1!P353,0)</f>
        <v>NA</v>
      </c>
      <c r="N353" s="46">
        <f>IFERROR(IF(ISNUMBER(Sheet1!N353),Sheet1!N353,0),0)</f>
        <v>0</v>
      </c>
      <c r="O353" s="46">
        <f>IFERROR(IF(TRIM(F353)="Nhava Sheva",SUMPRODUCT((UPPER(TRIM('Origin Costs'!$A$5:$A$44))=UPPER(TRIM(J353)))*'Origin Costs'!$C$5:$C$44),IF(TRIM(F353)="ICD Tihi",SUMPRODUCT((UPPER(TRIM('Origin Costs'!$A$49:$A$88))=UPPER(TRIM(J353)))*'Origin Costs'!$C$49:$C$88),IF(TRIM(F353)="ICD Dhannad",SUMPRODUCT((UPPER(TRIM('Origin Costs'!$A$93:$A$132))=UPPER(TRIM(J353)))*'Origin Costs'!$C$93:$C$132),0))),0)</f>
        <v>1081.3333333333333</v>
      </c>
      <c r="P353" s="46">
        <f t="shared" si="5"/>
        <v>1081.3333333333333</v>
      </c>
      <c r="Q353" s="13" t="str">
        <f>IF(OR(Dashboard!$C$4="All Customers",$E353=Dashboard!$C$4),IF($E353="","",$P353+ROW()/10000000),"")</f>
        <v/>
      </c>
    </row>
    <row r="354" spans="1:17" ht="14.25" customHeight="1" x14ac:dyDescent="0.3">
      <c r="A354" s="39" t="str">
        <f>IFERROR("FY"&amp;TEXT(MOD(IF(MONTH(Sheet1!A354)&gt;=4,YEAR(Sheet1!A354),YEAR(Sheet1!A354)-1),100),"00")&amp;"-"&amp;TEXT(MOD(IF(MONTH(Sheet1!A354)&gt;=4,YEAR(Sheet1!A354),YEAR(Sheet1!A354)-1)+1,100),"00"),"")</f>
        <v>FY25-26</v>
      </c>
      <c r="B354" s="40" t="str">
        <f>IFERROR("Q"&amp;IF(MONTH(Sheet1!A354)&gt;=4,IF(MONTH(Sheet1!A354)&lt;=6,1,IF(MONTH(Sheet1!A354)&lt;=9,2,3)),4),"")</f>
        <v>Q4</v>
      </c>
      <c r="C354" s="39" t="str">
        <f>IFERROR(Sheet1!C354,0)</f>
        <v>S.A</v>
      </c>
      <c r="D354" s="39" t="str">
        <f>IFERROR(Sheet1!F354,0)</f>
        <v>Brazil</v>
      </c>
      <c r="E354" s="39" t="str">
        <f>IFERROR(Sheet1!E354,0)</f>
        <v>CPX DISTRIBUIDORA S/A</v>
      </c>
      <c r="F354" s="39" t="str">
        <f>IFERROR(IF(UPPER(TRIM(Sheet1!J354))="NH","Nhava Sheva",IF(UPPER(TRIM(Sheet1!J354))="ICD","ICD Dhannad",IF(UPPER(TRIM(Sheet1!J354))="TIHI","ICD Tihi",Sheet1!J354))),0)</f>
        <v>ICD Tihi</v>
      </c>
      <c r="G354" s="39" t="str">
        <f>IFERROR(Sheet1!M354,0)</f>
        <v>ITAJAI</v>
      </c>
      <c r="H354" s="39" t="str">
        <f>IFERROR(Sheet1!H354,0)</f>
        <v>Asia Shipping</v>
      </c>
      <c r="I354" s="39" t="str">
        <f>IFERROR(Sheet1!G354,0)</f>
        <v>FOB</v>
      </c>
      <c r="J354" s="39" t="str">
        <f>IFERROR(Sheet1!K354,0)</f>
        <v>MSC</v>
      </c>
      <c r="K354" s="41">
        <f>IFERROR(Sheet1!A354,0)</f>
        <v>46039</v>
      </c>
      <c r="L354" s="41">
        <f>IFERROR(Sheet1!I354,0)</f>
        <v>46039</v>
      </c>
      <c r="M354" s="47" t="str">
        <f>IFERROR(Sheet1!P354,0)</f>
        <v>NA</v>
      </c>
      <c r="N354" s="42">
        <f>IFERROR(IF(ISNUMBER(Sheet1!N354),Sheet1!N354,0),0)</f>
        <v>0</v>
      </c>
      <c r="O354" s="42">
        <f>IFERROR(IF(TRIM(F354)="Nhava Sheva",SUMPRODUCT((UPPER(TRIM('Origin Costs'!$A$5:$A$44))=UPPER(TRIM(J354)))*'Origin Costs'!$C$5:$C$44),IF(TRIM(F354)="ICD Tihi",SUMPRODUCT((UPPER(TRIM('Origin Costs'!$A$49:$A$88))=UPPER(TRIM(J354)))*'Origin Costs'!$C$49:$C$88),IF(TRIM(F354)="ICD Dhannad",SUMPRODUCT((UPPER(TRIM('Origin Costs'!$A$93:$A$132))=UPPER(TRIM(J354)))*'Origin Costs'!$C$93:$C$132),0))),0)</f>
        <v>1081.3333333333333</v>
      </c>
      <c r="P354" s="42">
        <f t="shared" si="5"/>
        <v>1081.3333333333333</v>
      </c>
      <c r="Q354" s="13" t="str">
        <f>IF(OR(Dashboard!$C$4="All Customers",$E354=Dashboard!$C$4),IF($E354="","",$P354+ROW()/10000000),"")</f>
        <v/>
      </c>
    </row>
    <row r="355" spans="1:17" ht="14.25" customHeight="1" x14ac:dyDescent="0.3">
      <c r="A355" s="43" t="str">
        <f>IFERROR("FY"&amp;TEXT(MOD(IF(MONTH(Sheet1!A355)&gt;=4,YEAR(Sheet1!A355),YEAR(Sheet1!A355)-1),100),"00")&amp;"-"&amp;TEXT(MOD(IF(MONTH(Sheet1!A355)&gt;=4,YEAR(Sheet1!A355),YEAR(Sheet1!A355)-1)+1,100),"00"),"")</f>
        <v>FY25-26</v>
      </c>
      <c r="B355" s="44" t="str">
        <f>IFERROR("Q"&amp;IF(MONTH(Sheet1!A355)&gt;=4,IF(MONTH(Sheet1!A355)&lt;=6,1,IF(MONTH(Sheet1!A355)&lt;=9,2,3)),4),"")</f>
        <v>Q4</v>
      </c>
      <c r="C355" s="43" t="str">
        <f>IFERROR(Sheet1!C355,0)</f>
        <v>S.A</v>
      </c>
      <c r="D355" s="43" t="str">
        <f>IFERROR(Sheet1!F355,0)</f>
        <v>Brazil</v>
      </c>
      <c r="E355" s="43" t="str">
        <f>IFERROR(Sheet1!E355,0)</f>
        <v>CPX DISTRIBUIDORA S/A</v>
      </c>
      <c r="F355" s="43" t="str">
        <f>IFERROR(IF(UPPER(TRIM(Sheet1!J355))="NH","Nhava Sheva",IF(UPPER(TRIM(Sheet1!J355))="ICD","ICD Dhannad",IF(UPPER(TRIM(Sheet1!J355))="TIHI","ICD Tihi",Sheet1!J355))),0)</f>
        <v>ICD Tihi</v>
      </c>
      <c r="G355" s="43" t="str">
        <f>IFERROR(Sheet1!M355,0)</f>
        <v>ITAJAI</v>
      </c>
      <c r="H355" s="43" t="str">
        <f>IFERROR(Sheet1!H355,0)</f>
        <v>Asia Shipping</v>
      </c>
      <c r="I355" s="43" t="str">
        <f>IFERROR(Sheet1!G355,0)</f>
        <v>FOB</v>
      </c>
      <c r="J355" s="43" t="str">
        <f>IFERROR(Sheet1!K355,0)</f>
        <v>MSC</v>
      </c>
      <c r="K355" s="45">
        <f>IFERROR(Sheet1!A355,0)</f>
        <v>46039</v>
      </c>
      <c r="L355" s="45">
        <f>IFERROR(Sheet1!I355,0)</f>
        <v>46039</v>
      </c>
      <c r="M355" s="47" t="str">
        <f>IFERROR(Sheet1!P355,0)</f>
        <v>NA</v>
      </c>
      <c r="N355" s="46">
        <f>IFERROR(IF(ISNUMBER(Sheet1!N355),Sheet1!N355,0),0)</f>
        <v>0</v>
      </c>
      <c r="O355" s="46">
        <f>IFERROR(IF(TRIM(F355)="Nhava Sheva",SUMPRODUCT((UPPER(TRIM('Origin Costs'!$A$5:$A$44))=UPPER(TRIM(J355)))*'Origin Costs'!$C$5:$C$44),IF(TRIM(F355)="ICD Tihi",SUMPRODUCT((UPPER(TRIM('Origin Costs'!$A$49:$A$88))=UPPER(TRIM(J355)))*'Origin Costs'!$C$49:$C$88),IF(TRIM(F355)="ICD Dhannad",SUMPRODUCT((UPPER(TRIM('Origin Costs'!$A$93:$A$132))=UPPER(TRIM(J355)))*'Origin Costs'!$C$93:$C$132),0))),0)</f>
        <v>1081.3333333333333</v>
      </c>
      <c r="P355" s="46">
        <f t="shared" si="5"/>
        <v>1081.3333333333333</v>
      </c>
      <c r="Q355" s="13" t="str">
        <f>IF(OR(Dashboard!$C$4="All Customers",$E355=Dashboard!$C$4),IF($E355="","",$P355+ROW()/10000000),"")</f>
        <v/>
      </c>
    </row>
    <row r="356" spans="1:17" ht="14.25" customHeight="1" x14ac:dyDescent="0.3">
      <c r="A356" s="39" t="str">
        <f>IFERROR("FY"&amp;TEXT(MOD(IF(MONTH(Sheet1!A356)&gt;=4,YEAR(Sheet1!A356),YEAR(Sheet1!A356)-1),100),"00")&amp;"-"&amp;TEXT(MOD(IF(MONTH(Sheet1!A356)&gt;=4,YEAR(Sheet1!A356),YEAR(Sheet1!A356)-1)+1,100),"00"),"")</f>
        <v>FY25-26</v>
      </c>
      <c r="B356" s="40" t="str">
        <f>IFERROR("Q"&amp;IF(MONTH(Sheet1!A356)&gt;=4,IF(MONTH(Sheet1!A356)&lt;=6,1,IF(MONTH(Sheet1!A356)&lt;=9,2,3)),4),"")</f>
        <v>Q4</v>
      </c>
      <c r="C356" s="39" t="str">
        <f>IFERROR(Sheet1!C356,0)</f>
        <v>S.A</v>
      </c>
      <c r="D356" s="39" t="str">
        <f>IFERROR(Sheet1!F356,0)</f>
        <v>Brazil</v>
      </c>
      <c r="E356" s="39" t="str">
        <f>IFERROR(Sheet1!E356,0)</f>
        <v>CPX DISTRIBUIDORA S/A</v>
      </c>
      <c r="F356" s="39" t="str">
        <f>IFERROR(IF(UPPER(TRIM(Sheet1!J356))="NH","Nhava Sheva",IF(UPPER(TRIM(Sheet1!J356))="ICD","ICD Dhannad",IF(UPPER(TRIM(Sheet1!J356))="TIHI","ICD Tihi",Sheet1!J356))),0)</f>
        <v>ICD Tihi</v>
      </c>
      <c r="G356" s="39" t="str">
        <f>IFERROR(Sheet1!M356,0)</f>
        <v>ITAJAI</v>
      </c>
      <c r="H356" s="39" t="str">
        <f>IFERROR(Sheet1!H356,0)</f>
        <v>Asia Shipping</v>
      </c>
      <c r="I356" s="39" t="str">
        <f>IFERROR(Sheet1!G356,0)</f>
        <v>FOB</v>
      </c>
      <c r="J356" s="39" t="str">
        <f>IFERROR(Sheet1!K356,0)</f>
        <v>MSC</v>
      </c>
      <c r="K356" s="41">
        <f>IFERROR(Sheet1!A356,0)</f>
        <v>46039</v>
      </c>
      <c r="L356" s="41">
        <f>IFERROR(Sheet1!I356,0)</f>
        <v>46039</v>
      </c>
      <c r="M356" s="47" t="str">
        <f>IFERROR(Sheet1!P356,0)</f>
        <v>NA</v>
      </c>
      <c r="N356" s="42">
        <f>IFERROR(IF(ISNUMBER(Sheet1!N356),Sheet1!N356,0),0)</f>
        <v>0</v>
      </c>
      <c r="O356" s="42">
        <f>IFERROR(IF(TRIM(F356)="Nhava Sheva",SUMPRODUCT((UPPER(TRIM('Origin Costs'!$A$5:$A$44))=UPPER(TRIM(J356)))*'Origin Costs'!$C$5:$C$44),IF(TRIM(F356)="ICD Tihi",SUMPRODUCT((UPPER(TRIM('Origin Costs'!$A$49:$A$88))=UPPER(TRIM(J356)))*'Origin Costs'!$C$49:$C$88),IF(TRIM(F356)="ICD Dhannad",SUMPRODUCT((UPPER(TRIM('Origin Costs'!$A$93:$A$132))=UPPER(TRIM(J356)))*'Origin Costs'!$C$93:$C$132),0))),0)</f>
        <v>1081.3333333333333</v>
      </c>
      <c r="P356" s="42">
        <f t="shared" si="5"/>
        <v>1081.3333333333333</v>
      </c>
      <c r="Q356" s="13" t="str">
        <f>IF(OR(Dashboard!$C$4="All Customers",$E356=Dashboard!$C$4),IF($E356="","",$P356+ROW()/10000000),"")</f>
        <v/>
      </c>
    </row>
    <row r="357" spans="1:17" ht="14.25" customHeight="1" x14ac:dyDescent="0.3">
      <c r="A357" s="43" t="str">
        <f>IFERROR("FY"&amp;TEXT(MOD(IF(MONTH(Sheet1!A357)&gt;=4,YEAR(Sheet1!A357),YEAR(Sheet1!A357)-1),100),"00")&amp;"-"&amp;TEXT(MOD(IF(MONTH(Sheet1!A357)&gt;=4,YEAR(Sheet1!A357),YEAR(Sheet1!A357)-1)+1,100),"00"),"")</f>
        <v>FY25-26</v>
      </c>
      <c r="B357" s="44" t="str">
        <f>IFERROR("Q"&amp;IF(MONTH(Sheet1!A357)&gt;=4,IF(MONTH(Sheet1!A357)&lt;=6,1,IF(MONTH(Sheet1!A357)&lt;=9,2,3)),4),"")</f>
        <v>Q4</v>
      </c>
      <c r="C357" s="43" t="str">
        <f>IFERROR(Sheet1!C357,0)</f>
        <v>S.A</v>
      </c>
      <c r="D357" s="43" t="str">
        <f>IFERROR(Sheet1!F357,0)</f>
        <v>Brazil</v>
      </c>
      <c r="E357" s="43" t="str">
        <f>IFERROR(Sheet1!E357,0)</f>
        <v>CPX DISTRIBUIDORA S/A</v>
      </c>
      <c r="F357" s="43" t="str">
        <f>IFERROR(IF(UPPER(TRIM(Sheet1!J357))="NH","Nhava Sheva",IF(UPPER(TRIM(Sheet1!J357))="ICD","ICD Dhannad",IF(UPPER(TRIM(Sheet1!J357))="TIHI","ICD Tihi",Sheet1!J357))),0)</f>
        <v>ICD Tihi</v>
      </c>
      <c r="G357" s="43" t="str">
        <f>IFERROR(Sheet1!M357,0)</f>
        <v>SUAPE</v>
      </c>
      <c r="H357" s="43" t="str">
        <f>IFERROR(Sheet1!H357,0)</f>
        <v>Asia Shipping</v>
      </c>
      <c r="I357" s="43" t="str">
        <f>IFERROR(Sheet1!G357,0)</f>
        <v>FOB</v>
      </c>
      <c r="J357" s="43" t="str">
        <f>IFERROR(Sheet1!K357,0)</f>
        <v>MSC</v>
      </c>
      <c r="K357" s="45">
        <f>IFERROR(Sheet1!A357,0)</f>
        <v>46039</v>
      </c>
      <c r="L357" s="45">
        <f>IFERROR(Sheet1!I357,0)</f>
        <v>46039</v>
      </c>
      <c r="M357" s="47" t="str">
        <f>IFERROR(Sheet1!P357,0)</f>
        <v>NA</v>
      </c>
      <c r="N357" s="46">
        <f>IFERROR(IF(ISNUMBER(Sheet1!N357),Sheet1!N357,0),0)</f>
        <v>0</v>
      </c>
      <c r="O357" s="46">
        <f>IFERROR(IF(TRIM(F357)="Nhava Sheva",SUMPRODUCT((UPPER(TRIM('Origin Costs'!$A$5:$A$44))=UPPER(TRIM(J357)))*'Origin Costs'!$C$5:$C$44),IF(TRIM(F357)="ICD Tihi",SUMPRODUCT((UPPER(TRIM('Origin Costs'!$A$49:$A$88))=UPPER(TRIM(J357)))*'Origin Costs'!$C$49:$C$88),IF(TRIM(F357)="ICD Dhannad",SUMPRODUCT((UPPER(TRIM('Origin Costs'!$A$93:$A$132))=UPPER(TRIM(J357)))*'Origin Costs'!$C$93:$C$132),0))),0)</f>
        <v>1081.3333333333333</v>
      </c>
      <c r="P357" s="46">
        <f t="shared" si="5"/>
        <v>1081.3333333333333</v>
      </c>
      <c r="Q357" s="13" t="str">
        <f>IF(OR(Dashboard!$C$4="All Customers",$E357=Dashboard!$C$4),IF($E357="","",$P357+ROW()/10000000),"")</f>
        <v/>
      </c>
    </row>
    <row r="358" spans="1:17" ht="14.25" customHeight="1" x14ac:dyDescent="0.3">
      <c r="A358" s="39" t="str">
        <f>IFERROR("FY"&amp;TEXT(MOD(IF(MONTH(Sheet1!A358)&gt;=4,YEAR(Sheet1!A358),YEAR(Sheet1!A358)-1),100),"00")&amp;"-"&amp;TEXT(MOD(IF(MONTH(Sheet1!A358)&gt;=4,YEAR(Sheet1!A358),YEAR(Sheet1!A358)-1)+1,100),"00"),"")</f>
        <v>FY25-26</v>
      </c>
      <c r="B358" s="40" t="str">
        <f>IFERROR("Q"&amp;IF(MONTH(Sheet1!A358)&gt;=4,IF(MONTH(Sheet1!A358)&lt;=6,1,IF(MONTH(Sheet1!A358)&lt;=9,2,3)),4),"")</f>
        <v>Q4</v>
      </c>
      <c r="C358" s="39" t="str">
        <f>IFERROR(Sheet1!C358,0)</f>
        <v>Oceania</v>
      </c>
      <c r="D358" s="39" t="str">
        <f>IFERROR(Sheet1!F358,0)</f>
        <v>Australia</v>
      </c>
      <c r="E358" s="39" t="str">
        <f>IFERROR(Sheet1!E358,0)</f>
        <v>ULTIMATE TYRE SERVICES PTY LTD</v>
      </c>
      <c r="F358" s="39" t="str">
        <f>IFERROR(IF(UPPER(TRIM(Sheet1!J358))="NH","Nhava Sheva",IF(UPPER(TRIM(Sheet1!J358))="ICD","ICD Dhannad",IF(UPPER(TRIM(Sheet1!J358))="TIHI","ICD Tihi",Sheet1!J358))),0)</f>
        <v>Nhava Sheva</v>
      </c>
      <c r="G358" s="39" t="str">
        <f>IFERROR(Sheet1!M358,0)</f>
        <v>BRISBANE</v>
      </c>
      <c r="H358" s="39" t="str">
        <f>IFERROR(Sheet1!H358,0)</f>
        <v>Hellmann</v>
      </c>
      <c r="I358" s="39" t="str">
        <f>IFERROR(Sheet1!G358,0)</f>
        <v>CIF</v>
      </c>
      <c r="J358" s="39" t="str">
        <f>IFERROR(Sheet1!K358,0)</f>
        <v>PIL</v>
      </c>
      <c r="K358" s="41">
        <f>IFERROR(Sheet1!A358,0)</f>
        <v>46039</v>
      </c>
      <c r="L358" s="41">
        <f>IFERROR(Sheet1!I358,0)</f>
        <v>46036</v>
      </c>
      <c r="M358" s="47" t="str">
        <f>IFERROR(Sheet1!P358,0)</f>
        <v>NA</v>
      </c>
      <c r="N358" s="42">
        <f>IFERROR(IF(ISNUMBER(Sheet1!N358),Sheet1!N358,0),0)</f>
        <v>1860</v>
      </c>
      <c r="O358" s="42">
        <f>IFERROR(IF(TRIM(F358)="Nhava Sheva",SUMPRODUCT((UPPER(TRIM('Origin Costs'!$A$5:$A$44))=UPPER(TRIM(J358)))*'Origin Costs'!$C$5:$C$44),IF(TRIM(F358)="ICD Tihi",SUMPRODUCT((UPPER(TRIM('Origin Costs'!$A$49:$A$88))=UPPER(TRIM(J358)))*'Origin Costs'!$C$49:$C$88),IF(TRIM(F358)="ICD Dhannad",SUMPRODUCT((UPPER(TRIM('Origin Costs'!$A$93:$A$132))=UPPER(TRIM(J358)))*'Origin Costs'!$C$93:$C$132),0))),0)</f>
        <v>0</v>
      </c>
      <c r="P358" s="42">
        <f t="shared" si="5"/>
        <v>1860</v>
      </c>
      <c r="Q358" s="13" t="str">
        <f>IF(OR(Dashboard!$C$4="All Customers",$E358=Dashboard!$C$4),IF($E358="","",$P358+ROW()/10000000),"")</f>
        <v/>
      </c>
    </row>
    <row r="359" spans="1:17" ht="14.25" customHeight="1" x14ac:dyDescent="0.3">
      <c r="A359" s="43" t="str">
        <f>IFERROR("FY"&amp;TEXT(MOD(IF(MONTH(Sheet1!A359)&gt;=4,YEAR(Sheet1!A359),YEAR(Sheet1!A359)-1),100),"00")&amp;"-"&amp;TEXT(MOD(IF(MONTH(Sheet1!A359)&gt;=4,YEAR(Sheet1!A359),YEAR(Sheet1!A359)-1)+1,100),"00"),"")</f>
        <v>FY25-26</v>
      </c>
      <c r="B359" s="44" t="str">
        <f>IFERROR("Q"&amp;IF(MONTH(Sheet1!A359)&gt;=4,IF(MONTH(Sheet1!A359)&lt;=6,1,IF(MONTH(Sheet1!A359)&lt;=9,2,3)),4),"")</f>
        <v>Q4</v>
      </c>
      <c r="C359" s="43" t="str">
        <f>IFERROR(Sheet1!C359,0)</f>
        <v>Oceania</v>
      </c>
      <c r="D359" s="43" t="str">
        <f>IFERROR(Sheet1!F359,0)</f>
        <v>Australia</v>
      </c>
      <c r="E359" s="43" t="str">
        <f>IFERROR(Sheet1!E359,0)</f>
        <v>ULTIMATE TYRE SERVICES PTY LTD</v>
      </c>
      <c r="F359" s="43" t="str">
        <f>IFERROR(IF(UPPER(TRIM(Sheet1!J359))="NH","Nhava Sheva",IF(UPPER(TRIM(Sheet1!J359))="ICD","ICD Dhannad",IF(UPPER(TRIM(Sheet1!J359))="TIHI","ICD Tihi",Sheet1!J359))),0)</f>
        <v>Nhava Sheva</v>
      </c>
      <c r="G359" s="43" t="str">
        <f>IFERROR(Sheet1!M359,0)</f>
        <v>MELBOURNE</v>
      </c>
      <c r="H359" s="43" t="str">
        <f>IFERROR(Sheet1!H359,0)</f>
        <v>Hellmann</v>
      </c>
      <c r="I359" s="43" t="str">
        <f>IFERROR(Sheet1!G359,0)</f>
        <v>CIF</v>
      </c>
      <c r="J359" s="43" t="str">
        <f>IFERROR(Sheet1!K359,0)</f>
        <v>PIL</v>
      </c>
      <c r="K359" s="45">
        <f>IFERROR(Sheet1!A359,0)</f>
        <v>46039</v>
      </c>
      <c r="L359" s="45">
        <f>IFERROR(Sheet1!I359,0)</f>
        <v>46036</v>
      </c>
      <c r="M359" s="47" t="str">
        <f>IFERROR(Sheet1!P359,0)</f>
        <v>NA</v>
      </c>
      <c r="N359" s="46">
        <f>IFERROR(IF(ISNUMBER(Sheet1!N359),Sheet1!N359,0),0)</f>
        <v>1860</v>
      </c>
      <c r="O359" s="46">
        <f>IFERROR(IF(TRIM(F359)="Nhava Sheva",SUMPRODUCT((UPPER(TRIM('Origin Costs'!$A$5:$A$44))=UPPER(TRIM(J359)))*'Origin Costs'!$C$5:$C$44),IF(TRIM(F359)="ICD Tihi",SUMPRODUCT((UPPER(TRIM('Origin Costs'!$A$49:$A$88))=UPPER(TRIM(J359)))*'Origin Costs'!$C$49:$C$88),IF(TRIM(F359)="ICD Dhannad",SUMPRODUCT((UPPER(TRIM('Origin Costs'!$A$93:$A$132))=UPPER(TRIM(J359)))*'Origin Costs'!$C$93:$C$132),0))),0)</f>
        <v>0</v>
      </c>
      <c r="P359" s="46">
        <f t="shared" si="5"/>
        <v>1860</v>
      </c>
      <c r="Q359" s="13" t="str">
        <f>IF(OR(Dashboard!$C$4="All Customers",$E359=Dashboard!$C$4),IF($E359="","",$P359+ROW()/10000000),"")</f>
        <v/>
      </c>
    </row>
    <row r="360" spans="1:17" ht="14.25" customHeight="1" x14ac:dyDescent="0.3">
      <c r="A360" s="39" t="str">
        <f>IFERROR("FY"&amp;TEXT(MOD(IF(MONTH(Sheet1!A360)&gt;=4,YEAR(Sheet1!A360),YEAR(Sheet1!A360)-1),100),"00")&amp;"-"&amp;TEXT(MOD(IF(MONTH(Sheet1!A360)&gt;=4,YEAR(Sheet1!A360),YEAR(Sheet1!A360)-1)+1,100),"00"),"")</f>
        <v>FY25-26</v>
      </c>
      <c r="B360" s="40" t="str">
        <f>IFERROR("Q"&amp;IF(MONTH(Sheet1!A360)&gt;=4,IF(MONTH(Sheet1!A360)&lt;=6,1,IF(MONTH(Sheet1!A360)&lt;=9,2,3)),4),"")</f>
        <v>Q4</v>
      </c>
      <c r="C360" s="39" t="str">
        <f>IFERROR(Sheet1!C360,0)</f>
        <v>S.A</v>
      </c>
      <c r="D360" s="39" t="str">
        <f>IFERROR(Sheet1!F360,0)</f>
        <v>Brazil</v>
      </c>
      <c r="E360" s="39" t="str">
        <f>IFERROR(Sheet1!E360,0)</f>
        <v>Unus Holding Ltda., Brazil</v>
      </c>
      <c r="F360" s="39" t="str">
        <f>IFERROR(IF(UPPER(TRIM(Sheet1!J360))="NH","Nhava Sheva",IF(UPPER(TRIM(Sheet1!J360))="ICD","ICD Dhannad",IF(UPPER(TRIM(Sheet1!J360))="TIHI","ICD Tihi",Sheet1!J360))),0)</f>
        <v>Nhava Sheva</v>
      </c>
      <c r="G360" s="39" t="str">
        <f>IFERROR(Sheet1!M360,0)</f>
        <v>Paranagua</v>
      </c>
      <c r="H360" s="39" t="str">
        <f>IFERROR(Sheet1!H360,0)</f>
        <v>Wil Haven</v>
      </c>
      <c r="I360" s="39" t="str">
        <f>IFERROR(Sheet1!G360,0)</f>
        <v>FOB</v>
      </c>
      <c r="J360" s="39" t="str">
        <f>IFERROR(Sheet1!K360,0)</f>
        <v>MSC</v>
      </c>
      <c r="K360" s="41">
        <f>IFERROR(Sheet1!A360,0)</f>
        <v>46045</v>
      </c>
      <c r="L360" s="41">
        <f>IFERROR(Sheet1!I360,0)</f>
        <v>46043</v>
      </c>
      <c r="M360" s="47" t="str">
        <f>IFERROR(Sheet1!P360,0)</f>
        <v>NA</v>
      </c>
      <c r="N360" s="42">
        <f>IFERROR(IF(ISNUMBER(Sheet1!N360),Sheet1!N360,0),0)</f>
        <v>0</v>
      </c>
      <c r="O360" s="42">
        <f>IFERROR(IF(TRIM(F360)="Nhava Sheva",SUMPRODUCT((UPPER(TRIM('Origin Costs'!$A$5:$A$44))=UPPER(TRIM(J360)))*'Origin Costs'!$C$5:$C$44),IF(TRIM(F360)="ICD Tihi",SUMPRODUCT((UPPER(TRIM('Origin Costs'!$A$49:$A$88))=UPPER(TRIM(J360)))*'Origin Costs'!$C$49:$C$88),IF(TRIM(F360)="ICD Dhannad",SUMPRODUCT((UPPER(TRIM('Origin Costs'!$A$93:$A$132))=UPPER(TRIM(J360)))*'Origin Costs'!$C$93:$C$132),0))),0)</f>
        <v>1168.8222222222223</v>
      </c>
      <c r="P360" s="42">
        <f t="shared" si="5"/>
        <v>1168.8222222222223</v>
      </c>
      <c r="Q360" s="13" t="str">
        <f>IF(OR(Dashboard!$C$4="All Customers",$E360=Dashboard!$C$4),IF($E360="","",$P360+ROW()/10000000),"")</f>
        <v/>
      </c>
    </row>
    <row r="361" spans="1:17" ht="14.25" customHeight="1" x14ac:dyDescent="0.3">
      <c r="A361" s="43" t="str">
        <f>IFERROR("FY"&amp;TEXT(MOD(IF(MONTH(Sheet1!A361)&gt;=4,YEAR(Sheet1!A361),YEAR(Sheet1!A361)-1),100),"00")&amp;"-"&amp;TEXT(MOD(IF(MONTH(Sheet1!A361)&gt;=4,YEAR(Sheet1!A361),YEAR(Sheet1!A361)-1)+1,100),"00"),"")</f>
        <v>FY25-26</v>
      </c>
      <c r="B361" s="44" t="str">
        <f>IFERROR("Q"&amp;IF(MONTH(Sheet1!A361)&gt;=4,IF(MONTH(Sheet1!A361)&lt;=6,1,IF(MONTH(Sheet1!A361)&lt;=9,2,3)),4),"")</f>
        <v>Q4</v>
      </c>
      <c r="C361" s="43" t="str">
        <f>IFERROR(Sheet1!C361,0)</f>
        <v>S.A</v>
      </c>
      <c r="D361" s="43" t="str">
        <f>IFERROR(Sheet1!F361,0)</f>
        <v>Brazil</v>
      </c>
      <c r="E361" s="43" t="str">
        <f>IFERROR(Sheet1!E361,0)</f>
        <v>Unus Holding Ltda., Brazil</v>
      </c>
      <c r="F361" s="43" t="str">
        <f>IFERROR(IF(UPPER(TRIM(Sheet1!J361))="NH","Nhava Sheva",IF(UPPER(TRIM(Sheet1!J361))="ICD","ICD Dhannad",IF(UPPER(TRIM(Sheet1!J361))="TIHI","ICD Tihi",Sheet1!J361))),0)</f>
        <v>Nhava Sheva</v>
      </c>
      <c r="G361" s="43" t="str">
        <f>IFERROR(Sheet1!M361,0)</f>
        <v>Paranagua</v>
      </c>
      <c r="H361" s="43" t="str">
        <f>IFERROR(Sheet1!H361,0)</f>
        <v>Wil Haven</v>
      </c>
      <c r="I361" s="43" t="str">
        <f>IFERROR(Sheet1!G361,0)</f>
        <v>FOB</v>
      </c>
      <c r="J361" s="43" t="str">
        <f>IFERROR(Sheet1!K361,0)</f>
        <v>MSC</v>
      </c>
      <c r="K361" s="45">
        <f>IFERROR(Sheet1!A361,0)</f>
        <v>46045</v>
      </c>
      <c r="L361" s="45">
        <f>IFERROR(Sheet1!I361,0)</f>
        <v>46043</v>
      </c>
      <c r="M361" s="47" t="str">
        <f>IFERROR(Sheet1!P361,0)</f>
        <v>NA</v>
      </c>
      <c r="N361" s="46">
        <f>IFERROR(IF(ISNUMBER(Sheet1!N361),Sheet1!N361,0),0)</f>
        <v>0</v>
      </c>
      <c r="O361" s="46">
        <f>IFERROR(IF(TRIM(F361)="Nhava Sheva",SUMPRODUCT((UPPER(TRIM('Origin Costs'!$A$5:$A$44))=UPPER(TRIM(J361)))*'Origin Costs'!$C$5:$C$44),IF(TRIM(F361)="ICD Tihi",SUMPRODUCT((UPPER(TRIM('Origin Costs'!$A$49:$A$88))=UPPER(TRIM(J361)))*'Origin Costs'!$C$49:$C$88),IF(TRIM(F361)="ICD Dhannad",SUMPRODUCT((UPPER(TRIM('Origin Costs'!$A$93:$A$132))=UPPER(TRIM(J361)))*'Origin Costs'!$C$93:$C$132),0))),0)</f>
        <v>1168.8222222222223</v>
      </c>
      <c r="P361" s="46">
        <f t="shared" si="5"/>
        <v>1168.8222222222223</v>
      </c>
      <c r="Q361" s="13" t="str">
        <f>IF(OR(Dashboard!$C$4="All Customers",$E361=Dashboard!$C$4),IF($E361="","",$P361+ROW()/10000000),"")</f>
        <v/>
      </c>
    </row>
    <row r="362" spans="1:17" ht="14.25" customHeight="1" x14ac:dyDescent="0.3">
      <c r="A362" s="39" t="str">
        <f>IFERROR("FY"&amp;TEXT(MOD(IF(MONTH(Sheet1!A362)&gt;=4,YEAR(Sheet1!A362),YEAR(Sheet1!A362)-1),100),"00")&amp;"-"&amp;TEXT(MOD(IF(MONTH(Sheet1!A362)&gt;=4,YEAR(Sheet1!A362),YEAR(Sheet1!A362)-1)+1,100),"00"),"")</f>
        <v>FY25-26</v>
      </c>
      <c r="B362" s="40" t="str">
        <f>IFERROR("Q"&amp;IF(MONTH(Sheet1!A362)&gt;=4,IF(MONTH(Sheet1!A362)&lt;=6,1,IF(MONTH(Sheet1!A362)&lt;=9,2,3)),4),"")</f>
        <v>Q4</v>
      </c>
      <c r="C362" s="39" t="str">
        <f>IFERROR(Sheet1!C362,0)</f>
        <v>S.A</v>
      </c>
      <c r="D362" s="39" t="str">
        <f>IFERROR(Sheet1!F362,0)</f>
        <v>Brazil</v>
      </c>
      <c r="E362" s="39" t="str">
        <f>IFERROR(Sheet1!E362,0)</f>
        <v>Unus Holding Ltda., Brazil</v>
      </c>
      <c r="F362" s="39" t="str">
        <f>IFERROR(IF(UPPER(TRIM(Sheet1!J362))="NH","Nhava Sheva",IF(UPPER(TRIM(Sheet1!J362))="ICD","ICD Dhannad",IF(UPPER(TRIM(Sheet1!J362))="TIHI","ICD Tihi",Sheet1!J362))),0)</f>
        <v>Nhava Sheva</v>
      </c>
      <c r="G362" s="39" t="str">
        <f>IFERROR(Sheet1!M362,0)</f>
        <v>Paranagua</v>
      </c>
      <c r="H362" s="39" t="str">
        <f>IFERROR(Sheet1!H362,0)</f>
        <v>Wil Haven</v>
      </c>
      <c r="I362" s="39" t="str">
        <f>IFERROR(Sheet1!G362,0)</f>
        <v>FOB</v>
      </c>
      <c r="J362" s="39" t="str">
        <f>IFERROR(Sheet1!K362,0)</f>
        <v>MSC</v>
      </c>
      <c r="K362" s="41">
        <f>IFERROR(Sheet1!A362,0)</f>
        <v>46045</v>
      </c>
      <c r="L362" s="41">
        <f>IFERROR(Sheet1!I362,0)</f>
        <v>46043</v>
      </c>
      <c r="M362" s="47" t="str">
        <f>IFERROR(Sheet1!P362,0)</f>
        <v>NA</v>
      </c>
      <c r="N362" s="42">
        <f>IFERROR(IF(ISNUMBER(Sheet1!N362),Sheet1!N362,0),0)</f>
        <v>0</v>
      </c>
      <c r="O362" s="42">
        <f>IFERROR(IF(TRIM(F362)="Nhava Sheva",SUMPRODUCT((UPPER(TRIM('Origin Costs'!$A$5:$A$44))=UPPER(TRIM(J362)))*'Origin Costs'!$C$5:$C$44),IF(TRIM(F362)="ICD Tihi",SUMPRODUCT((UPPER(TRIM('Origin Costs'!$A$49:$A$88))=UPPER(TRIM(J362)))*'Origin Costs'!$C$49:$C$88),IF(TRIM(F362)="ICD Dhannad",SUMPRODUCT((UPPER(TRIM('Origin Costs'!$A$93:$A$132))=UPPER(TRIM(J362)))*'Origin Costs'!$C$93:$C$132),0))),0)</f>
        <v>1168.8222222222223</v>
      </c>
      <c r="P362" s="42">
        <f t="shared" si="5"/>
        <v>1168.8222222222223</v>
      </c>
      <c r="Q362" s="13" t="str">
        <f>IF(OR(Dashboard!$C$4="All Customers",$E362=Dashboard!$C$4),IF($E362="","",$P362+ROW()/10000000),"")</f>
        <v/>
      </c>
    </row>
    <row r="363" spans="1:17" ht="14.25" customHeight="1" x14ac:dyDescent="0.3">
      <c r="A363" s="43" t="str">
        <f>IFERROR("FY"&amp;TEXT(MOD(IF(MONTH(Sheet1!A363)&gt;=4,YEAR(Sheet1!A363),YEAR(Sheet1!A363)-1),100),"00")&amp;"-"&amp;TEXT(MOD(IF(MONTH(Sheet1!A363)&gt;=4,YEAR(Sheet1!A363),YEAR(Sheet1!A363)-1)+1,100),"00"),"")</f>
        <v>FY25-26</v>
      </c>
      <c r="B363" s="44" t="str">
        <f>IFERROR("Q"&amp;IF(MONTH(Sheet1!A363)&gt;=4,IF(MONTH(Sheet1!A363)&lt;=6,1,IF(MONTH(Sheet1!A363)&lt;=9,2,3)),4),"")</f>
        <v>Q4</v>
      </c>
      <c r="C363" s="43" t="str">
        <f>IFERROR(Sheet1!C363,0)</f>
        <v>S.A</v>
      </c>
      <c r="D363" s="43" t="str">
        <f>IFERROR(Sheet1!F363,0)</f>
        <v>Brazil</v>
      </c>
      <c r="E363" s="43" t="str">
        <f>IFERROR(Sheet1!E363,0)</f>
        <v>Unus Holding Ltda., Brazil</v>
      </c>
      <c r="F363" s="43" t="str">
        <f>IFERROR(IF(UPPER(TRIM(Sheet1!J363))="NH","Nhava Sheva",IF(UPPER(TRIM(Sheet1!J363))="ICD","ICD Dhannad",IF(UPPER(TRIM(Sheet1!J363))="TIHI","ICD Tihi",Sheet1!J363))),0)</f>
        <v>Nhava Sheva</v>
      </c>
      <c r="G363" s="43" t="str">
        <f>IFERROR(Sheet1!M363,0)</f>
        <v>Paranagua</v>
      </c>
      <c r="H363" s="43" t="str">
        <f>IFERROR(Sheet1!H363,0)</f>
        <v>Wil Haven</v>
      </c>
      <c r="I363" s="43" t="str">
        <f>IFERROR(Sheet1!G363,0)</f>
        <v>FOB</v>
      </c>
      <c r="J363" s="43" t="str">
        <f>IFERROR(Sheet1!K363,0)</f>
        <v>MSC</v>
      </c>
      <c r="K363" s="45">
        <f>IFERROR(Sheet1!A363,0)</f>
        <v>46045</v>
      </c>
      <c r="L363" s="45">
        <f>IFERROR(Sheet1!I363,0)</f>
        <v>46043</v>
      </c>
      <c r="M363" s="47" t="str">
        <f>IFERROR(Sheet1!P363,0)</f>
        <v>NA</v>
      </c>
      <c r="N363" s="46">
        <f>IFERROR(IF(ISNUMBER(Sheet1!N363),Sheet1!N363,0),0)</f>
        <v>0</v>
      </c>
      <c r="O363" s="46">
        <f>IFERROR(IF(TRIM(F363)="Nhava Sheva",SUMPRODUCT((UPPER(TRIM('Origin Costs'!$A$5:$A$44))=UPPER(TRIM(J363)))*'Origin Costs'!$C$5:$C$44),IF(TRIM(F363)="ICD Tihi",SUMPRODUCT((UPPER(TRIM('Origin Costs'!$A$49:$A$88))=UPPER(TRIM(J363)))*'Origin Costs'!$C$49:$C$88),IF(TRIM(F363)="ICD Dhannad",SUMPRODUCT((UPPER(TRIM('Origin Costs'!$A$93:$A$132))=UPPER(TRIM(J363)))*'Origin Costs'!$C$93:$C$132),0))),0)</f>
        <v>1168.8222222222223</v>
      </c>
      <c r="P363" s="46">
        <f t="shared" si="5"/>
        <v>1168.8222222222223</v>
      </c>
      <c r="Q363" s="13" t="str">
        <f>IF(OR(Dashboard!$C$4="All Customers",$E363=Dashboard!$C$4),IF($E363="","",$P363+ROW()/10000000),"")</f>
        <v/>
      </c>
    </row>
    <row r="364" spans="1:17" ht="14.25" customHeight="1" x14ac:dyDescent="0.3">
      <c r="A364" s="39" t="str">
        <f>IFERROR("FY"&amp;TEXT(MOD(IF(MONTH(Sheet1!A364)&gt;=4,YEAR(Sheet1!A364),YEAR(Sheet1!A364)-1),100),"00")&amp;"-"&amp;TEXT(MOD(IF(MONTH(Sheet1!A364)&gt;=4,YEAR(Sheet1!A364),YEAR(Sheet1!A364)-1)+1,100),"00"),"")</f>
        <v>FY25-26</v>
      </c>
      <c r="B364" s="40" t="str">
        <f>IFERROR("Q"&amp;IF(MONTH(Sheet1!A364)&gt;=4,IF(MONTH(Sheet1!A364)&lt;=6,1,IF(MONTH(Sheet1!A364)&lt;=9,2,3)),4),"")</f>
        <v>Q4</v>
      </c>
      <c r="C364" s="39" t="str">
        <f>IFERROR(Sheet1!C364,0)</f>
        <v>MEA</v>
      </c>
      <c r="D364" s="39" t="str">
        <f>IFERROR(Sheet1!F364,0)</f>
        <v>Kuwait</v>
      </c>
      <c r="E364" s="39" t="str">
        <f>IFERROR(Sheet1!E364,0)</f>
        <v>Sharma International, Kuwait</v>
      </c>
      <c r="F364" s="39" t="str">
        <f>IFERROR(IF(UPPER(TRIM(Sheet1!J364))="NH","Nhava Sheva",IF(UPPER(TRIM(Sheet1!J364))="ICD","ICD Dhannad",IF(UPPER(TRIM(Sheet1!J364))="TIHI","ICD Tihi",Sheet1!J364))),0)</f>
        <v>Nhava Sheva</v>
      </c>
      <c r="G364" s="39" t="str">
        <f>IFERROR(Sheet1!M364,0)</f>
        <v>Shuaiba</v>
      </c>
      <c r="H364" s="39" t="str">
        <f>IFERROR(Sheet1!H364,0)</f>
        <v>Hind Freight</v>
      </c>
      <c r="I364" s="39" t="str">
        <f>IFERROR(Sheet1!G364,0)</f>
        <v>CIF</v>
      </c>
      <c r="J364" s="39" t="str">
        <f>IFERROR(Sheet1!K364,0)</f>
        <v>MSC</v>
      </c>
      <c r="K364" s="41">
        <f>IFERROR(Sheet1!A364,0)</f>
        <v>46046</v>
      </c>
      <c r="L364" s="41">
        <f>IFERROR(Sheet1!I364,0)</f>
        <v>46044</v>
      </c>
      <c r="M364" s="47" t="str">
        <f>IFERROR(Sheet1!P364,0)</f>
        <v>NA</v>
      </c>
      <c r="N364" s="42">
        <f>IFERROR(IF(ISNUMBER(Sheet1!N364),Sheet1!N364,0),0)</f>
        <v>660</v>
      </c>
      <c r="O364" s="42">
        <f>IFERROR(IF(TRIM(F364)="Nhava Sheva",SUMPRODUCT((UPPER(TRIM('Origin Costs'!$A$5:$A$44))=UPPER(TRIM(J364)))*'Origin Costs'!$C$5:$C$44),IF(TRIM(F364)="ICD Tihi",SUMPRODUCT((UPPER(TRIM('Origin Costs'!$A$49:$A$88))=UPPER(TRIM(J364)))*'Origin Costs'!$C$49:$C$88),IF(TRIM(F364)="ICD Dhannad",SUMPRODUCT((UPPER(TRIM('Origin Costs'!$A$93:$A$132))=UPPER(TRIM(J364)))*'Origin Costs'!$C$93:$C$132),0))),0)</f>
        <v>1168.8222222222223</v>
      </c>
      <c r="P364" s="42">
        <f t="shared" si="5"/>
        <v>1828.8222222222223</v>
      </c>
      <c r="Q364" s="13" t="str">
        <f>IF(OR(Dashboard!$C$4="All Customers",$E364=Dashboard!$C$4),IF($E364="","",$P364+ROW()/10000000),"")</f>
        <v/>
      </c>
    </row>
    <row r="365" spans="1:17" ht="14.25" customHeight="1" x14ac:dyDescent="0.3">
      <c r="A365" s="43" t="str">
        <f>IFERROR("FY"&amp;TEXT(MOD(IF(MONTH(Sheet1!A365)&gt;=4,YEAR(Sheet1!A365),YEAR(Sheet1!A365)-1),100),"00")&amp;"-"&amp;TEXT(MOD(IF(MONTH(Sheet1!A365)&gt;=4,YEAR(Sheet1!A365),YEAR(Sheet1!A365)-1)+1,100),"00"),"")</f>
        <v>FY25-26</v>
      </c>
      <c r="B365" s="44" t="str">
        <f>IFERROR("Q"&amp;IF(MONTH(Sheet1!A365)&gt;=4,IF(MONTH(Sheet1!A365)&lt;=6,1,IF(MONTH(Sheet1!A365)&lt;=9,2,3)),4),"")</f>
        <v>Q4</v>
      </c>
      <c r="C365" s="43" t="str">
        <f>IFERROR(Sheet1!C365,0)</f>
        <v>ISC</v>
      </c>
      <c r="D365" s="43" t="str">
        <f>IFERROR(Sheet1!F365,0)</f>
        <v>Srilanka</v>
      </c>
      <c r="E365" s="43" t="str">
        <f>IFERROR(Sheet1!E365,0)</f>
        <v>Supergrip International (Pvt) Ltd</v>
      </c>
      <c r="F365" s="43" t="str">
        <f>IFERROR(IF(UPPER(TRIM(Sheet1!J365))="NH","Nhava Sheva",IF(UPPER(TRIM(Sheet1!J365))="ICD","ICD Dhannad",IF(UPPER(TRIM(Sheet1!J365))="TIHI","ICD Tihi",Sheet1!J365))),0)</f>
        <v>Nhava Sheva</v>
      </c>
      <c r="G365" s="43" t="str">
        <f>IFERROR(Sheet1!M365,0)</f>
        <v>Colombo</v>
      </c>
      <c r="H365" s="43" t="str">
        <f>IFERROR(Sheet1!H365,0)</f>
        <v>Hellmann</v>
      </c>
      <c r="I365" s="43" t="str">
        <f>IFERROR(Sheet1!G365,0)</f>
        <v>FOB</v>
      </c>
      <c r="J365" s="43" t="str">
        <f>IFERROR(Sheet1!K365,0)</f>
        <v>CMA</v>
      </c>
      <c r="K365" s="45">
        <f>IFERROR(Sheet1!A365,0)</f>
        <v>46046</v>
      </c>
      <c r="L365" s="45">
        <f>IFERROR(Sheet1!I365,0)</f>
        <v>46044</v>
      </c>
      <c r="M365" s="47" t="str">
        <f>IFERROR(Sheet1!P365,0)</f>
        <v>NA</v>
      </c>
      <c r="N365" s="46">
        <f>IFERROR(IF(ISNUMBER(Sheet1!N365),Sheet1!N365,0),0)</f>
        <v>475</v>
      </c>
      <c r="O365" s="46">
        <f>IFERROR(IF(TRIM(F365)="Nhava Sheva",SUMPRODUCT((UPPER(TRIM('Origin Costs'!$A$5:$A$44))=UPPER(TRIM(J365)))*'Origin Costs'!$C$5:$C$44),IF(TRIM(F365)="ICD Tihi",SUMPRODUCT((UPPER(TRIM('Origin Costs'!$A$49:$A$88))=UPPER(TRIM(J365)))*'Origin Costs'!$C$49:$C$88),IF(TRIM(F365)="ICD Dhannad",SUMPRODUCT((UPPER(TRIM('Origin Costs'!$A$93:$A$132))=UPPER(TRIM(J365)))*'Origin Costs'!$C$93:$C$132),0))),0)</f>
        <v>0</v>
      </c>
      <c r="P365" s="46">
        <f t="shared" si="5"/>
        <v>475</v>
      </c>
      <c r="Q365" s="13" t="str">
        <f>IF(OR(Dashboard!$C$4="All Customers",$E365=Dashboard!$C$4),IF($E365="","",$P365+ROW()/10000000),"")</f>
        <v/>
      </c>
    </row>
    <row r="366" spans="1:17" ht="14.25" customHeight="1" x14ac:dyDescent="0.3">
      <c r="A366" s="39" t="str">
        <f>IFERROR("FY"&amp;TEXT(MOD(IF(MONTH(Sheet1!A366)&gt;=4,YEAR(Sheet1!A366),YEAR(Sheet1!A366)-1),100),"00")&amp;"-"&amp;TEXT(MOD(IF(MONTH(Sheet1!A366)&gt;=4,YEAR(Sheet1!A366),YEAR(Sheet1!A366)-1)+1,100),"00"),"")</f>
        <v>FY25-26</v>
      </c>
      <c r="B366" s="40" t="str">
        <f>IFERROR("Q"&amp;IF(MONTH(Sheet1!A366)&gt;=4,IF(MONTH(Sheet1!A366)&lt;=6,1,IF(MONTH(Sheet1!A366)&lt;=9,2,3)),4),"")</f>
        <v>Q4</v>
      </c>
      <c r="C366" s="39" t="str">
        <f>IFERROR(Sheet1!C366,0)</f>
        <v>ISC</v>
      </c>
      <c r="D366" s="39" t="str">
        <f>IFERROR(Sheet1!F366,0)</f>
        <v>Mexico</v>
      </c>
      <c r="E366" s="39" t="str">
        <f>IFERROR(Sheet1!E366,0)</f>
        <v>PC Tyres, Mexico</v>
      </c>
      <c r="F366" s="39" t="str">
        <f>IFERROR(IF(UPPER(TRIM(Sheet1!J366))="NH","Nhava Sheva",IF(UPPER(TRIM(Sheet1!J366))="ICD","ICD Dhannad",IF(UPPER(TRIM(Sheet1!J366))="TIHI","ICD Tihi",Sheet1!J366))),0)</f>
        <v>Nhava Sheva</v>
      </c>
      <c r="G366" s="39" t="str">
        <f>IFERROR(Sheet1!M366,0)</f>
        <v>Manzanillo</v>
      </c>
      <c r="H366" s="39" t="str">
        <f>IFERROR(Sheet1!H366,0)</f>
        <v>Liyana Logistics</v>
      </c>
      <c r="I366" s="39" t="str">
        <f>IFERROR(Sheet1!G366,0)</f>
        <v>FOB</v>
      </c>
      <c r="J366" s="39" t="str">
        <f>IFERROR(Sheet1!K366,0)</f>
        <v>ONE</v>
      </c>
      <c r="K366" s="41">
        <f>IFERROR(Sheet1!A366,0)</f>
        <v>46047</v>
      </c>
      <c r="L366" s="41">
        <f>IFERROR(Sheet1!I366,0)</f>
        <v>46045</v>
      </c>
      <c r="M366" s="47" t="str">
        <f>IFERROR(Sheet1!P366,0)</f>
        <v>NA</v>
      </c>
      <c r="N366" s="42">
        <f>IFERROR(IF(ISNUMBER(Sheet1!N366),Sheet1!N366,0),0)</f>
        <v>0</v>
      </c>
      <c r="O366" s="42">
        <f>IFERROR(IF(TRIM(F366)="Nhava Sheva",SUMPRODUCT((UPPER(TRIM('Origin Costs'!$A$5:$A$44))=UPPER(TRIM(J366)))*'Origin Costs'!$C$5:$C$44),IF(TRIM(F366)="ICD Tihi",SUMPRODUCT((UPPER(TRIM('Origin Costs'!$A$49:$A$88))=UPPER(TRIM(J366)))*'Origin Costs'!$C$49:$C$88),IF(TRIM(F366)="ICD Dhannad",SUMPRODUCT((UPPER(TRIM('Origin Costs'!$A$93:$A$132))=UPPER(TRIM(J366)))*'Origin Costs'!$C$93:$C$132),0))),0)</f>
        <v>1146.5555555555557</v>
      </c>
      <c r="P366" s="42">
        <f t="shared" si="5"/>
        <v>1146.5555555555557</v>
      </c>
      <c r="Q366" s="13" t="str">
        <f>IF(OR(Dashboard!$C$4="All Customers",$E366=Dashboard!$C$4),IF($E366="","",$P366+ROW()/10000000),"")</f>
        <v/>
      </c>
    </row>
    <row r="367" spans="1:17" ht="14.25" customHeight="1" x14ac:dyDescent="0.3">
      <c r="A367" s="43" t="str">
        <f>IFERROR("FY"&amp;TEXT(MOD(IF(MONTH(Sheet1!A367)&gt;=4,YEAR(Sheet1!A367),YEAR(Sheet1!A367)-1),100),"00")&amp;"-"&amp;TEXT(MOD(IF(MONTH(Sheet1!A367)&gt;=4,YEAR(Sheet1!A367),YEAR(Sheet1!A367)-1)+1,100),"00"),"")</f>
        <v>FY25-26</v>
      </c>
      <c r="B367" s="44" t="str">
        <f>IFERROR("Q"&amp;IF(MONTH(Sheet1!A367)&gt;=4,IF(MONTH(Sheet1!A367)&lt;=6,1,IF(MONTH(Sheet1!A367)&lt;=9,2,3)),4),"")</f>
        <v>Q4</v>
      </c>
      <c r="C367" s="43" t="str">
        <f>IFERROR(Sheet1!C367,0)</f>
        <v>ISC</v>
      </c>
      <c r="D367" s="43" t="str">
        <f>IFERROR(Sheet1!F367,0)</f>
        <v>Nepal</v>
      </c>
      <c r="E367" s="43" t="str">
        <f>IFERROR(Sheet1!E367,0)</f>
        <v>Sipradi Autoparts Pvt Ltd</v>
      </c>
      <c r="F367" s="43" t="str">
        <f>IFERROR(IF(UPPER(TRIM(Sheet1!J367))="NH","Nhava Sheva",IF(UPPER(TRIM(Sheet1!J367))="ICD","ICD Dhannad",IF(UPPER(TRIM(Sheet1!J367))="TIHI","ICD Tihi",Sheet1!J367))),0)</f>
        <v>Road</v>
      </c>
      <c r="G367" s="43" t="str">
        <f>IFERROR(Sheet1!M367,0)</f>
        <v>Birganj</v>
      </c>
      <c r="H367" s="43" t="str">
        <f>IFERROR(Sheet1!H367,0)</f>
        <v>BLR Logistics</v>
      </c>
      <c r="I367" s="43" t="str">
        <f>IFERROR(Sheet1!G367,0)</f>
        <v>CIF</v>
      </c>
      <c r="J367" s="48">
        <f>IFERROR(Sheet1!K367,0)</f>
        <v>0</v>
      </c>
      <c r="K367" s="45">
        <f>IFERROR(Sheet1!A367,0)</f>
        <v>46047</v>
      </c>
      <c r="L367" s="45">
        <f>IFERROR(Sheet1!I367,0)</f>
        <v>0</v>
      </c>
      <c r="M367" s="47" t="str">
        <f>IFERROR(Sheet1!P367,0)</f>
        <v>NA</v>
      </c>
      <c r="N367" s="46">
        <f>IFERROR(IF(ISNUMBER(Sheet1!N367),Sheet1!N367,0),0)</f>
        <v>120000</v>
      </c>
      <c r="O367" s="46">
        <f>IFERROR(IF(TRIM(F367)="Nhava Sheva",SUMPRODUCT((UPPER(TRIM('Origin Costs'!$A$5:$A$44))=UPPER(TRIM(J367)))*'Origin Costs'!$C$5:$C$44),IF(TRIM(F367)="ICD Tihi",SUMPRODUCT((UPPER(TRIM('Origin Costs'!$A$49:$A$88))=UPPER(TRIM(J367)))*'Origin Costs'!$C$49:$C$88),IF(TRIM(F367)="ICD Dhannad",SUMPRODUCT((UPPER(TRIM('Origin Costs'!$A$93:$A$132))=UPPER(TRIM(J367)))*'Origin Costs'!$C$93:$C$132),0))),0)</f>
        <v>0</v>
      </c>
      <c r="P367" s="46">
        <f t="shared" si="5"/>
        <v>120000</v>
      </c>
      <c r="Q367" s="13" t="str">
        <f>IF(OR(Dashboard!$C$4="All Customers",$E367=Dashboard!$C$4),IF($E367="","",$P367+ROW()/10000000),"")</f>
        <v/>
      </c>
    </row>
    <row r="368" spans="1:17" ht="14.25" customHeight="1" x14ac:dyDescent="0.3">
      <c r="A368" s="39" t="str">
        <f>IFERROR("FY"&amp;TEXT(MOD(IF(MONTH(Sheet1!A368)&gt;=4,YEAR(Sheet1!A368),YEAR(Sheet1!A368)-1),100),"00")&amp;"-"&amp;TEXT(MOD(IF(MONTH(Sheet1!A368)&gt;=4,YEAR(Sheet1!A368),YEAR(Sheet1!A368)-1)+1,100),"00"),"")</f>
        <v>FY25-26</v>
      </c>
      <c r="B368" s="40" t="str">
        <f>IFERROR("Q"&amp;IF(MONTH(Sheet1!A368)&gt;=4,IF(MONTH(Sheet1!A368)&lt;=6,1,IF(MONTH(Sheet1!A368)&lt;=9,2,3)),4),"")</f>
        <v>Q4</v>
      </c>
      <c r="C368" s="39" t="str">
        <f>IFERROR(Sheet1!C368,0)</f>
        <v>ISC</v>
      </c>
      <c r="D368" s="39" t="str">
        <f>IFERROR(Sheet1!F368,0)</f>
        <v>Nepal</v>
      </c>
      <c r="E368" s="39" t="str">
        <f>IFERROR(Sheet1!E368,0)</f>
        <v>Sipradi Autoparts Pvt Ltd</v>
      </c>
      <c r="F368" s="39" t="str">
        <f>IFERROR(IF(UPPER(TRIM(Sheet1!J368))="NH","Nhava Sheva",IF(UPPER(TRIM(Sheet1!J368))="ICD","ICD Dhannad",IF(UPPER(TRIM(Sheet1!J368))="TIHI","ICD Tihi",Sheet1!J368))),0)</f>
        <v>Road</v>
      </c>
      <c r="G368" s="39" t="str">
        <f>IFERROR(Sheet1!M368,0)</f>
        <v>Birganj</v>
      </c>
      <c r="H368" s="39" t="str">
        <f>IFERROR(Sheet1!H368,0)</f>
        <v>BLR Logistics</v>
      </c>
      <c r="I368" s="39" t="str">
        <f>IFERROR(Sheet1!G368,0)</f>
        <v>CIF</v>
      </c>
      <c r="J368" s="49">
        <f>IFERROR(Sheet1!K368,0)</f>
        <v>0</v>
      </c>
      <c r="K368" s="41">
        <f>IFERROR(Sheet1!A368,0)</f>
        <v>46047</v>
      </c>
      <c r="L368" s="41">
        <f>IFERROR(Sheet1!I368,0)</f>
        <v>0</v>
      </c>
      <c r="M368" s="47" t="str">
        <f>IFERROR(Sheet1!P368,0)</f>
        <v>NA</v>
      </c>
      <c r="N368" s="42">
        <f>IFERROR(IF(ISNUMBER(Sheet1!N368),Sheet1!N368,0),0)</f>
        <v>120000</v>
      </c>
      <c r="O368" s="42">
        <f>IFERROR(IF(TRIM(F368)="Nhava Sheva",SUMPRODUCT((UPPER(TRIM('Origin Costs'!$A$5:$A$44))=UPPER(TRIM(J368)))*'Origin Costs'!$C$5:$C$44),IF(TRIM(F368)="ICD Tihi",SUMPRODUCT((UPPER(TRIM('Origin Costs'!$A$49:$A$88))=UPPER(TRIM(J368)))*'Origin Costs'!$C$49:$C$88),IF(TRIM(F368)="ICD Dhannad",SUMPRODUCT((UPPER(TRIM('Origin Costs'!$A$93:$A$132))=UPPER(TRIM(J368)))*'Origin Costs'!$C$93:$C$132),0))),0)</f>
        <v>0</v>
      </c>
      <c r="P368" s="42">
        <f t="shared" si="5"/>
        <v>120000</v>
      </c>
      <c r="Q368" s="13" t="str">
        <f>IF(OR(Dashboard!$C$4="All Customers",$E368=Dashboard!$C$4),IF($E368="","",$P368+ROW()/10000000),"")</f>
        <v/>
      </c>
    </row>
    <row r="369" spans="1:17" ht="14.25" customHeight="1" x14ac:dyDescent="0.3">
      <c r="A369" s="43" t="str">
        <f>IFERROR("FY"&amp;TEXT(MOD(IF(MONTH(Sheet1!A369)&gt;=4,YEAR(Sheet1!A369),YEAR(Sheet1!A369)-1),100),"00")&amp;"-"&amp;TEXT(MOD(IF(MONTH(Sheet1!A369)&gt;=4,YEAR(Sheet1!A369),YEAR(Sheet1!A369)-1)+1,100),"00"),"")</f>
        <v>FY25-26</v>
      </c>
      <c r="B369" s="44" t="str">
        <f>IFERROR("Q"&amp;IF(MONTH(Sheet1!A369)&gt;=4,IF(MONTH(Sheet1!A369)&lt;=6,1,IF(MONTH(Sheet1!A369)&lt;=9,2,3)),4),"")</f>
        <v>Q4</v>
      </c>
      <c r="C369" s="43" t="str">
        <f>IFERROR(Sheet1!C369,0)</f>
        <v>Europe</v>
      </c>
      <c r="D369" s="43" t="str">
        <f>IFERROR(Sheet1!F369,0)</f>
        <v>Croatia</v>
      </c>
      <c r="E369" s="43" t="str">
        <f>IFERROR(Sheet1!E369,0)</f>
        <v>Inter Cars d.o.o., Croatia</v>
      </c>
      <c r="F369" s="43" t="str">
        <f>IFERROR(IF(UPPER(TRIM(Sheet1!J369))="NH","Nhava Sheva",IF(UPPER(TRIM(Sheet1!J369))="ICD","ICD Dhannad",IF(UPPER(TRIM(Sheet1!J369))="TIHI","ICD Tihi",Sheet1!J369))),0)</f>
        <v>ICD Dhannad</v>
      </c>
      <c r="G369" s="43" t="str">
        <f>IFERROR(Sheet1!M369,0)</f>
        <v>Rijeka</v>
      </c>
      <c r="H369" s="43" t="str">
        <f>IFERROR(Sheet1!H369,0)</f>
        <v>DHL Logistics</v>
      </c>
      <c r="I369" s="43" t="str">
        <f>IFERROR(Sheet1!G369,0)</f>
        <v>FOB</v>
      </c>
      <c r="J369" s="43" t="str">
        <f>IFERROR(Sheet1!K369,0)</f>
        <v>MSC</v>
      </c>
      <c r="K369" s="45">
        <f>IFERROR(Sheet1!A369,0)</f>
        <v>46049</v>
      </c>
      <c r="L369" s="45">
        <f>IFERROR(Sheet1!I369,0)</f>
        <v>46047</v>
      </c>
      <c r="M369" s="47" t="str">
        <f>IFERROR(Sheet1!P369,0)</f>
        <v>NA</v>
      </c>
      <c r="N369" s="46">
        <f>IFERROR(IF(ISNUMBER(Sheet1!N369),Sheet1!N369,0),0)</f>
        <v>0</v>
      </c>
      <c r="O369" s="46">
        <f>IFERROR(IF(TRIM(F369)="Nhava Sheva",SUMPRODUCT((UPPER(TRIM('Origin Costs'!$A$5:$A$44))=UPPER(TRIM(J369)))*'Origin Costs'!$C$5:$C$44),IF(TRIM(F369)="ICD Tihi",SUMPRODUCT((UPPER(TRIM('Origin Costs'!$A$49:$A$88))=UPPER(TRIM(J369)))*'Origin Costs'!$C$49:$C$88),IF(TRIM(F369)="ICD Dhannad",SUMPRODUCT((UPPER(TRIM('Origin Costs'!$A$93:$A$132))=UPPER(TRIM(J369)))*'Origin Costs'!$C$93:$C$132),0))),0)</f>
        <v>0</v>
      </c>
      <c r="P369" s="46">
        <f t="shared" si="5"/>
        <v>0</v>
      </c>
      <c r="Q369" s="13" t="str">
        <f>IF(OR(Dashboard!$C$4="All Customers",$E369=Dashboard!$C$4),IF($E369="","",$P369+ROW()/10000000),"")</f>
        <v/>
      </c>
    </row>
    <row r="370" spans="1:17" ht="14.25" customHeight="1" x14ac:dyDescent="0.3">
      <c r="A370" s="39" t="str">
        <f>IFERROR("FY"&amp;TEXT(MOD(IF(MONTH(Sheet1!A370)&gt;=4,YEAR(Sheet1!A370),YEAR(Sheet1!A370)-1),100),"00")&amp;"-"&amp;TEXT(MOD(IF(MONTH(Sheet1!A370)&gt;=4,YEAR(Sheet1!A370),YEAR(Sheet1!A370)-1)+1,100),"00"),"")</f>
        <v>FY25-26</v>
      </c>
      <c r="B370" s="40" t="str">
        <f>IFERROR("Q"&amp;IF(MONTH(Sheet1!A370)&gt;=4,IF(MONTH(Sheet1!A370)&lt;=6,1,IF(MONTH(Sheet1!A370)&lt;=9,2,3)),4),"")</f>
        <v>Q4</v>
      </c>
      <c r="C370" s="39" t="str">
        <f>IFERROR(Sheet1!C370,0)</f>
        <v>S.A</v>
      </c>
      <c r="D370" s="39" t="str">
        <f>IFERROR(Sheet1!F370,0)</f>
        <v>Brazil</v>
      </c>
      <c r="E370" s="39" t="str">
        <f>IFERROR(Sheet1!E370,0)</f>
        <v>CPX DISTRIBUIDORA S/A</v>
      </c>
      <c r="F370" s="39" t="str">
        <f>IFERROR(IF(UPPER(TRIM(Sheet1!J370))="NH","Nhava Sheva",IF(UPPER(TRIM(Sheet1!J370))="ICD","ICD Dhannad",IF(UPPER(TRIM(Sheet1!J370))="TIHI","ICD Tihi",Sheet1!J370))),0)</f>
        <v>ICD Tihi</v>
      </c>
      <c r="G370" s="39" t="str">
        <f>IFERROR(Sheet1!M370,0)</f>
        <v>Itajai</v>
      </c>
      <c r="H370" s="39" t="str">
        <f>IFERROR(Sheet1!H370,0)</f>
        <v>Asia Shipping</v>
      </c>
      <c r="I370" s="39" t="str">
        <f>IFERROR(Sheet1!G370,0)</f>
        <v>FOB</v>
      </c>
      <c r="J370" s="39" t="str">
        <f>IFERROR(Sheet1!K370,0)</f>
        <v>MSC</v>
      </c>
      <c r="K370" s="41">
        <f>IFERROR(Sheet1!A370,0)</f>
        <v>46050</v>
      </c>
      <c r="L370" s="41">
        <f>IFERROR(Sheet1!I370,0)</f>
        <v>46049</v>
      </c>
      <c r="M370" s="47" t="str">
        <f>IFERROR(Sheet1!P370,0)</f>
        <v>NA</v>
      </c>
      <c r="N370" s="42">
        <f>IFERROR(IF(ISNUMBER(Sheet1!N370),Sheet1!N370,0),0)</f>
        <v>0</v>
      </c>
      <c r="O370" s="42">
        <f>IFERROR(IF(TRIM(F370)="Nhava Sheva",SUMPRODUCT((UPPER(TRIM('Origin Costs'!$A$5:$A$44))=UPPER(TRIM(J370)))*'Origin Costs'!$C$5:$C$44),IF(TRIM(F370)="ICD Tihi",SUMPRODUCT((UPPER(TRIM('Origin Costs'!$A$49:$A$88))=UPPER(TRIM(J370)))*'Origin Costs'!$C$49:$C$88),IF(TRIM(F370)="ICD Dhannad",SUMPRODUCT((UPPER(TRIM('Origin Costs'!$A$93:$A$132))=UPPER(TRIM(J370)))*'Origin Costs'!$C$93:$C$132),0))),0)</f>
        <v>1081.3333333333333</v>
      </c>
      <c r="P370" s="42">
        <f t="shared" si="5"/>
        <v>1081.3333333333333</v>
      </c>
      <c r="Q370" s="13" t="str">
        <f>IF(OR(Dashboard!$C$4="All Customers",$E370=Dashboard!$C$4),IF($E370="","",$P370+ROW()/10000000),"")</f>
        <v/>
      </c>
    </row>
    <row r="371" spans="1:17" ht="14.25" customHeight="1" x14ac:dyDescent="0.3">
      <c r="A371" s="43" t="str">
        <f>IFERROR("FY"&amp;TEXT(MOD(IF(MONTH(Sheet1!A371)&gt;=4,YEAR(Sheet1!A371),YEAR(Sheet1!A371)-1),100),"00")&amp;"-"&amp;TEXT(MOD(IF(MONTH(Sheet1!A371)&gt;=4,YEAR(Sheet1!A371),YEAR(Sheet1!A371)-1)+1,100),"00"),"")</f>
        <v>FY25-26</v>
      </c>
      <c r="B371" s="44" t="str">
        <f>IFERROR("Q"&amp;IF(MONTH(Sheet1!A371)&gt;=4,IF(MONTH(Sheet1!A371)&lt;=6,1,IF(MONTH(Sheet1!A371)&lt;=9,2,3)),4),"")</f>
        <v>Q4</v>
      </c>
      <c r="C371" s="43" t="str">
        <f>IFERROR(Sheet1!C371,0)</f>
        <v>S.A</v>
      </c>
      <c r="D371" s="43" t="str">
        <f>IFERROR(Sheet1!F371,0)</f>
        <v>Brazil</v>
      </c>
      <c r="E371" s="43" t="str">
        <f>IFERROR(Sheet1!E371,0)</f>
        <v>CPX DISTRIBUIDORA S/A</v>
      </c>
      <c r="F371" s="43" t="str">
        <f>IFERROR(IF(UPPER(TRIM(Sheet1!J371))="NH","Nhava Sheva",IF(UPPER(TRIM(Sheet1!J371))="ICD","ICD Dhannad",IF(UPPER(TRIM(Sheet1!J371))="TIHI","ICD Tihi",Sheet1!J371))),0)</f>
        <v>ICD Tihi</v>
      </c>
      <c r="G371" s="43" t="str">
        <f>IFERROR(Sheet1!M371,0)</f>
        <v>Itajai</v>
      </c>
      <c r="H371" s="43" t="str">
        <f>IFERROR(Sheet1!H371,0)</f>
        <v>Asia Shipping</v>
      </c>
      <c r="I371" s="43" t="str">
        <f>IFERROR(Sheet1!G371,0)</f>
        <v>FOB</v>
      </c>
      <c r="J371" s="43" t="str">
        <f>IFERROR(Sheet1!K371,0)</f>
        <v>MSC</v>
      </c>
      <c r="K371" s="45">
        <f>IFERROR(Sheet1!A371,0)</f>
        <v>46050</v>
      </c>
      <c r="L371" s="45">
        <f>IFERROR(Sheet1!I371,0)</f>
        <v>46049</v>
      </c>
      <c r="M371" s="47" t="str">
        <f>IFERROR(Sheet1!P371,0)</f>
        <v>NA</v>
      </c>
      <c r="N371" s="46">
        <f>IFERROR(IF(ISNUMBER(Sheet1!N371),Sheet1!N371,0),0)</f>
        <v>0</v>
      </c>
      <c r="O371" s="46">
        <f>IFERROR(IF(TRIM(F371)="Nhava Sheva",SUMPRODUCT((UPPER(TRIM('Origin Costs'!$A$5:$A$44))=UPPER(TRIM(J371)))*'Origin Costs'!$C$5:$C$44),IF(TRIM(F371)="ICD Tihi",SUMPRODUCT((UPPER(TRIM('Origin Costs'!$A$49:$A$88))=UPPER(TRIM(J371)))*'Origin Costs'!$C$49:$C$88),IF(TRIM(F371)="ICD Dhannad",SUMPRODUCT((UPPER(TRIM('Origin Costs'!$A$93:$A$132))=UPPER(TRIM(J371)))*'Origin Costs'!$C$93:$C$132),0))),0)</f>
        <v>1081.3333333333333</v>
      </c>
      <c r="P371" s="46">
        <f t="shared" si="5"/>
        <v>1081.3333333333333</v>
      </c>
      <c r="Q371" s="13" t="str">
        <f>IF(OR(Dashboard!$C$4="All Customers",$E371=Dashboard!$C$4),IF($E371="","",$P371+ROW()/10000000),"")</f>
        <v/>
      </c>
    </row>
    <row r="372" spans="1:17" ht="14.25" customHeight="1" x14ac:dyDescent="0.3">
      <c r="A372" s="39" t="str">
        <f>IFERROR("FY"&amp;TEXT(MOD(IF(MONTH(Sheet1!A372)&gt;=4,YEAR(Sheet1!A372),YEAR(Sheet1!A372)-1),100),"00")&amp;"-"&amp;TEXT(MOD(IF(MONTH(Sheet1!A372)&gt;=4,YEAR(Sheet1!A372),YEAR(Sheet1!A372)-1)+1,100),"00"),"")</f>
        <v>FY25-26</v>
      </c>
      <c r="B372" s="40" t="str">
        <f>IFERROR("Q"&amp;IF(MONTH(Sheet1!A372)&gt;=4,IF(MONTH(Sheet1!A372)&lt;=6,1,IF(MONTH(Sheet1!A372)&lt;=9,2,3)),4),"")</f>
        <v>Q4</v>
      </c>
      <c r="C372" s="39" t="str">
        <f>IFERROR(Sheet1!C372,0)</f>
        <v>S.A</v>
      </c>
      <c r="D372" s="39" t="str">
        <f>IFERROR(Sheet1!F372,0)</f>
        <v>Brazil</v>
      </c>
      <c r="E372" s="39" t="str">
        <f>IFERROR(Sheet1!E372,0)</f>
        <v>CPX DISTRIBUIDORA S/A</v>
      </c>
      <c r="F372" s="39" t="str">
        <f>IFERROR(IF(UPPER(TRIM(Sheet1!J372))="NH","Nhava Sheva",IF(UPPER(TRIM(Sheet1!J372))="ICD","ICD Dhannad",IF(UPPER(TRIM(Sheet1!J372))="TIHI","ICD Tihi",Sheet1!J372))),0)</f>
        <v>ICD Tihi</v>
      </c>
      <c r="G372" s="39" t="str">
        <f>IFERROR(Sheet1!M372,0)</f>
        <v>Itajai</v>
      </c>
      <c r="H372" s="39" t="str">
        <f>IFERROR(Sheet1!H372,0)</f>
        <v>Asia Shipping</v>
      </c>
      <c r="I372" s="39" t="str">
        <f>IFERROR(Sheet1!G372,0)</f>
        <v>FOB</v>
      </c>
      <c r="J372" s="39" t="str">
        <f>IFERROR(Sheet1!K372,0)</f>
        <v>MSC</v>
      </c>
      <c r="K372" s="41">
        <f>IFERROR(Sheet1!A372,0)</f>
        <v>46050</v>
      </c>
      <c r="L372" s="41">
        <f>IFERROR(Sheet1!I372,0)</f>
        <v>46049</v>
      </c>
      <c r="M372" s="47" t="str">
        <f>IFERROR(Sheet1!P372,0)</f>
        <v>NA</v>
      </c>
      <c r="N372" s="42">
        <f>IFERROR(IF(ISNUMBER(Sheet1!N372),Sheet1!N372,0),0)</f>
        <v>0</v>
      </c>
      <c r="O372" s="42">
        <f>IFERROR(IF(TRIM(F372)="Nhava Sheva",SUMPRODUCT((UPPER(TRIM('Origin Costs'!$A$5:$A$44))=UPPER(TRIM(J372)))*'Origin Costs'!$C$5:$C$44),IF(TRIM(F372)="ICD Tihi",SUMPRODUCT((UPPER(TRIM('Origin Costs'!$A$49:$A$88))=UPPER(TRIM(J372)))*'Origin Costs'!$C$49:$C$88),IF(TRIM(F372)="ICD Dhannad",SUMPRODUCT((UPPER(TRIM('Origin Costs'!$A$93:$A$132))=UPPER(TRIM(J372)))*'Origin Costs'!$C$93:$C$132),0))),0)</f>
        <v>1081.3333333333333</v>
      </c>
      <c r="P372" s="42">
        <f t="shared" si="5"/>
        <v>1081.3333333333333</v>
      </c>
      <c r="Q372" s="13" t="str">
        <f>IF(OR(Dashboard!$C$4="All Customers",$E372=Dashboard!$C$4),IF($E372="","",$P372+ROW()/10000000),"")</f>
        <v/>
      </c>
    </row>
    <row r="373" spans="1:17" ht="14.25" customHeight="1" x14ac:dyDescent="0.3">
      <c r="A373" s="43" t="str">
        <f>IFERROR("FY"&amp;TEXT(MOD(IF(MONTH(Sheet1!A373)&gt;=4,YEAR(Sheet1!A373),YEAR(Sheet1!A373)-1),100),"00")&amp;"-"&amp;TEXT(MOD(IF(MONTH(Sheet1!A373)&gt;=4,YEAR(Sheet1!A373),YEAR(Sheet1!A373)-1)+1,100),"00"),"")</f>
        <v>FY25-26</v>
      </c>
      <c r="B373" s="44" t="str">
        <f>IFERROR("Q"&amp;IF(MONTH(Sheet1!A373)&gt;=4,IF(MONTH(Sheet1!A373)&lt;=6,1,IF(MONTH(Sheet1!A373)&lt;=9,2,3)),4),"")</f>
        <v>Q4</v>
      </c>
      <c r="C373" s="43" t="str">
        <f>IFERROR(Sheet1!C373,0)</f>
        <v>S.A</v>
      </c>
      <c r="D373" s="43" t="str">
        <f>IFERROR(Sheet1!F373,0)</f>
        <v>Brazil</v>
      </c>
      <c r="E373" s="43" t="str">
        <f>IFERROR(Sheet1!E373,0)</f>
        <v>CPX DISTRIBUIDORA S/A</v>
      </c>
      <c r="F373" s="43" t="str">
        <f>IFERROR(IF(UPPER(TRIM(Sheet1!J373))="NH","Nhava Sheva",IF(UPPER(TRIM(Sheet1!J373))="ICD","ICD Dhannad",IF(UPPER(TRIM(Sheet1!J373))="TIHI","ICD Tihi",Sheet1!J373))),0)</f>
        <v>ICD Tihi</v>
      </c>
      <c r="G373" s="43" t="str">
        <f>IFERROR(Sheet1!M373,0)</f>
        <v>Itajai</v>
      </c>
      <c r="H373" s="43" t="str">
        <f>IFERROR(Sheet1!H373,0)</f>
        <v>Asia Shipping</v>
      </c>
      <c r="I373" s="43" t="str">
        <f>IFERROR(Sheet1!G373,0)</f>
        <v>FOB</v>
      </c>
      <c r="J373" s="43" t="str">
        <f>IFERROR(Sheet1!K373,0)</f>
        <v>MSC</v>
      </c>
      <c r="K373" s="45">
        <f>IFERROR(Sheet1!A373,0)</f>
        <v>46050</v>
      </c>
      <c r="L373" s="45">
        <f>IFERROR(Sheet1!I373,0)</f>
        <v>46049</v>
      </c>
      <c r="M373" s="47" t="str">
        <f>IFERROR(Sheet1!P373,0)</f>
        <v>NA</v>
      </c>
      <c r="N373" s="46">
        <f>IFERROR(IF(ISNUMBER(Sheet1!N373),Sheet1!N373,0),0)</f>
        <v>0</v>
      </c>
      <c r="O373" s="46">
        <f>IFERROR(IF(TRIM(F373)="Nhava Sheva",SUMPRODUCT((UPPER(TRIM('Origin Costs'!$A$5:$A$44))=UPPER(TRIM(J373)))*'Origin Costs'!$C$5:$C$44),IF(TRIM(F373)="ICD Tihi",SUMPRODUCT((UPPER(TRIM('Origin Costs'!$A$49:$A$88))=UPPER(TRIM(J373)))*'Origin Costs'!$C$49:$C$88),IF(TRIM(F373)="ICD Dhannad",SUMPRODUCT((UPPER(TRIM('Origin Costs'!$A$93:$A$132))=UPPER(TRIM(J373)))*'Origin Costs'!$C$93:$C$132),0))),0)</f>
        <v>1081.3333333333333</v>
      </c>
      <c r="P373" s="46">
        <f t="shared" si="5"/>
        <v>1081.3333333333333</v>
      </c>
      <c r="Q373" s="13" t="str">
        <f>IF(OR(Dashboard!$C$4="All Customers",$E373=Dashboard!$C$4),IF($E373="","",$P373+ROW()/10000000),"")</f>
        <v/>
      </c>
    </row>
    <row r="374" spans="1:17" ht="14.25" customHeight="1" x14ac:dyDescent="0.3">
      <c r="A374" s="39" t="str">
        <f>IFERROR("FY"&amp;TEXT(MOD(IF(MONTH(Sheet1!A374)&gt;=4,YEAR(Sheet1!A374),YEAR(Sheet1!A374)-1),100),"00")&amp;"-"&amp;TEXT(MOD(IF(MONTH(Sheet1!A374)&gt;=4,YEAR(Sheet1!A374),YEAR(Sheet1!A374)-1)+1,100),"00"),"")</f>
        <v>FY25-26</v>
      </c>
      <c r="B374" s="40" t="str">
        <f>IFERROR("Q"&amp;IF(MONTH(Sheet1!A374)&gt;=4,IF(MONTH(Sheet1!A374)&lt;=6,1,IF(MONTH(Sheet1!A374)&lt;=9,2,3)),4),"")</f>
        <v>Q4</v>
      </c>
      <c r="C374" s="39" t="str">
        <f>IFERROR(Sheet1!C374,0)</f>
        <v>S.A</v>
      </c>
      <c r="D374" s="39" t="str">
        <f>IFERROR(Sheet1!F374,0)</f>
        <v>Brazil</v>
      </c>
      <c r="E374" s="39" t="str">
        <f>IFERROR(Sheet1!E374,0)</f>
        <v>CPX DISTRIBUIDORA S/A</v>
      </c>
      <c r="F374" s="39" t="str">
        <f>IFERROR(IF(UPPER(TRIM(Sheet1!J374))="NH","Nhava Sheva",IF(UPPER(TRIM(Sheet1!J374))="ICD","ICD Dhannad",IF(UPPER(TRIM(Sheet1!J374))="TIHI","ICD Tihi",Sheet1!J374))),0)</f>
        <v>ICD Tihi</v>
      </c>
      <c r="G374" s="39" t="str">
        <f>IFERROR(Sheet1!M374,0)</f>
        <v>Itajai</v>
      </c>
      <c r="H374" s="39" t="str">
        <f>IFERROR(Sheet1!H374,0)</f>
        <v>Asia Shipping</v>
      </c>
      <c r="I374" s="39" t="str">
        <f>IFERROR(Sheet1!G374,0)</f>
        <v>FOB</v>
      </c>
      <c r="J374" s="39" t="str">
        <f>IFERROR(Sheet1!K374,0)</f>
        <v>MSC</v>
      </c>
      <c r="K374" s="41">
        <f>IFERROR(Sheet1!A374,0)</f>
        <v>46050</v>
      </c>
      <c r="L374" s="41">
        <f>IFERROR(Sheet1!I374,0)</f>
        <v>46049</v>
      </c>
      <c r="M374" s="47" t="str">
        <f>IFERROR(Sheet1!P374,0)</f>
        <v>NA</v>
      </c>
      <c r="N374" s="42">
        <f>IFERROR(IF(ISNUMBER(Sheet1!N374),Sheet1!N374,0),0)</f>
        <v>0</v>
      </c>
      <c r="O374" s="42">
        <f>IFERROR(IF(TRIM(F374)="Nhava Sheva",SUMPRODUCT((UPPER(TRIM('Origin Costs'!$A$5:$A$44))=UPPER(TRIM(J374)))*'Origin Costs'!$C$5:$C$44),IF(TRIM(F374)="ICD Tihi",SUMPRODUCT((UPPER(TRIM('Origin Costs'!$A$49:$A$88))=UPPER(TRIM(J374)))*'Origin Costs'!$C$49:$C$88),IF(TRIM(F374)="ICD Dhannad",SUMPRODUCT((UPPER(TRIM('Origin Costs'!$A$93:$A$132))=UPPER(TRIM(J374)))*'Origin Costs'!$C$93:$C$132),0))),0)</f>
        <v>1081.3333333333333</v>
      </c>
      <c r="P374" s="42">
        <f t="shared" si="5"/>
        <v>1081.3333333333333</v>
      </c>
      <c r="Q374" s="13" t="str">
        <f>IF(OR(Dashboard!$C$4="All Customers",$E374=Dashboard!$C$4),IF($E374="","",$P374+ROW()/10000000),"")</f>
        <v/>
      </c>
    </row>
    <row r="375" spans="1:17" ht="14.25" customHeight="1" x14ac:dyDescent="0.3">
      <c r="A375" s="43" t="str">
        <f>IFERROR("FY"&amp;TEXT(MOD(IF(MONTH(Sheet1!A375)&gt;=4,YEAR(Sheet1!A375),YEAR(Sheet1!A375)-1),100),"00")&amp;"-"&amp;TEXT(MOD(IF(MONTH(Sheet1!A375)&gt;=4,YEAR(Sheet1!A375),YEAR(Sheet1!A375)-1)+1,100),"00"),"")</f>
        <v>FY25-26</v>
      </c>
      <c r="B375" s="44" t="str">
        <f>IFERROR("Q"&amp;IF(MONTH(Sheet1!A375)&gt;=4,IF(MONTH(Sheet1!A375)&lt;=6,1,IF(MONTH(Sheet1!A375)&lt;=9,2,3)),4),"")</f>
        <v>Q4</v>
      </c>
      <c r="C375" s="43" t="str">
        <f>IFERROR(Sheet1!C375,0)</f>
        <v>S.A</v>
      </c>
      <c r="D375" s="43" t="str">
        <f>IFERROR(Sheet1!F375,0)</f>
        <v>Brazil</v>
      </c>
      <c r="E375" s="43" t="str">
        <f>IFERROR(Sheet1!E375,0)</f>
        <v>CPX DISTRIBUIDORA S/A</v>
      </c>
      <c r="F375" s="43" t="str">
        <f>IFERROR(IF(UPPER(TRIM(Sheet1!J375))="NH","Nhava Sheva",IF(UPPER(TRIM(Sheet1!J375))="ICD","ICD Dhannad",IF(UPPER(TRIM(Sheet1!J375))="TIHI","ICD Tihi",Sheet1!J375))),0)</f>
        <v>ICD Tihi</v>
      </c>
      <c r="G375" s="43" t="str">
        <f>IFERROR(Sheet1!M375,0)</f>
        <v>Itajai</v>
      </c>
      <c r="H375" s="43" t="str">
        <f>IFERROR(Sheet1!H375,0)</f>
        <v>Asia Shipping</v>
      </c>
      <c r="I375" s="43" t="str">
        <f>IFERROR(Sheet1!G375,0)</f>
        <v>FOB</v>
      </c>
      <c r="J375" s="43" t="str">
        <f>IFERROR(Sheet1!K375,0)</f>
        <v>MSC</v>
      </c>
      <c r="K375" s="45">
        <f>IFERROR(Sheet1!A375,0)</f>
        <v>46050</v>
      </c>
      <c r="L375" s="45">
        <f>IFERROR(Sheet1!I375,0)</f>
        <v>46049</v>
      </c>
      <c r="M375" s="47" t="str">
        <f>IFERROR(Sheet1!P375,0)</f>
        <v>NA</v>
      </c>
      <c r="N375" s="46">
        <f>IFERROR(IF(ISNUMBER(Sheet1!N375),Sheet1!N375,0),0)</f>
        <v>0</v>
      </c>
      <c r="O375" s="46">
        <f>IFERROR(IF(TRIM(F375)="Nhava Sheva",SUMPRODUCT((UPPER(TRIM('Origin Costs'!$A$5:$A$44))=UPPER(TRIM(J375)))*'Origin Costs'!$C$5:$C$44),IF(TRIM(F375)="ICD Tihi",SUMPRODUCT((UPPER(TRIM('Origin Costs'!$A$49:$A$88))=UPPER(TRIM(J375)))*'Origin Costs'!$C$49:$C$88),IF(TRIM(F375)="ICD Dhannad",SUMPRODUCT((UPPER(TRIM('Origin Costs'!$A$93:$A$132))=UPPER(TRIM(J375)))*'Origin Costs'!$C$93:$C$132),0))),0)</f>
        <v>1081.3333333333333</v>
      </c>
      <c r="P375" s="46">
        <f t="shared" si="5"/>
        <v>1081.3333333333333</v>
      </c>
      <c r="Q375" s="13" t="str">
        <f>IF(OR(Dashboard!$C$4="All Customers",$E375=Dashboard!$C$4),IF($E375="","",$P375+ROW()/10000000),"")</f>
        <v/>
      </c>
    </row>
    <row r="376" spans="1:17" ht="14.25" customHeight="1" x14ac:dyDescent="0.3">
      <c r="A376" s="39" t="str">
        <f>IFERROR("FY"&amp;TEXT(MOD(IF(MONTH(Sheet1!A376)&gt;=4,YEAR(Sheet1!A376),YEAR(Sheet1!A376)-1),100),"00")&amp;"-"&amp;TEXT(MOD(IF(MONTH(Sheet1!A376)&gt;=4,YEAR(Sheet1!A376),YEAR(Sheet1!A376)-1)+1,100),"00"),"")</f>
        <v>FY25-26</v>
      </c>
      <c r="B376" s="40" t="str">
        <f>IFERROR("Q"&amp;IF(MONTH(Sheet1!A376)&gt;=4,IF(MONTH(Sheet1!A376)&lt;=6,1,IF(MONTH(Sheet1!A376)&lt;=9,2,3)),4),"")</f>
        <v>Q4</v>
      </c>
      <c r="C376" s="39" t="str">
        <f>IFERROR(Sheet1!C376,0)</f>
        <v>S.A</v>
      </c>
      <c r="D376" s="39" t="str">
        <f>IFERROR(Sheet1!F376,0)</f>
        <v>Brazil</v>
      </c>
      <c r="E376" s="39" t="str">
        <f>IFERROR(Sheet1!E376,0)</f>
        <v>CPX DISTRIBUIDORA S/A</v>
      </c>
      <c r="F376" s="39" t="str">
        <f>IFERROR(IF(UPPER(TRIM(Sheet1!J376))="NH","Nhava Sheva",IF(UPPER(TRIM(Sheet1!J376))="ICD","ICD Dhannad",IF(UPPER(TRIM(Sheet1!J376))="TIHI","ICD Tihi",Sheet1!J376))),0)</f>
        <v>ICD Tihi</v>
      </c>
      <c r="G376" s="39" t="str">
        <f>IFERROR(Sheet1!M376,0)</f>
        <v>Itajai</v>
      </c>
      <c r="H376" s="39" t="str">
        <f>IFERROR(Sheet1!H376,0)</f>
        <v>Asia Shipping</v>
      </c>
      <c r="I376" s="39" t="str">
        <f>IFERROR(Sheet1!G376,0)</f>
        <v>FOB</v>
      </c>
      <c r="J376" s="39" t="str">
        <f>IFERROR(Sheet1!K376,0)</f>
        <v>MSC</v>
      </c>
      <c r="K376" s="41">
        <f>IFERROR(Sheet1!A376,0)</f>
        <v>46050</v>
      </c>
      <c r="L376" s="41">
        <f>IFERROR(Sheet1!I376,0)</f>
        <v>46049</v>
      </c>
      <c r="M376" s="47" t="str">
        <f>IFERROR(Sheet1!P376,0)</f>
        <v>NA</v>
      </c>
      <c r="N376" s="42">
        <f>IFERROR(IF(ISNUMBER(Sheet1!N376),Sheet1!N376,0),0)</f>
        <v>0</v>
      </c>
      <c r="O376" s="42">
        <f>IFERROR(IF(TRIM(F376)="Nhava Sheva",SUMPRODUCT((UPPER(TRIM('Origin Costs'!$A$5:$A$44))=UPPER(TRIM(J376)))*'Origin Costs'!$C$5:$C$44),IF(TRIM(F376)="ICD Tihi",SUMPRODUCT((UPPER(TRIM('Origin Costs'!$A$49:$A$88))=UPPER(TRIM(J376)))*'Origin Costs'!$C$49:$C$88),IF(TRIM(F376)="ICD Dhannad",SUMPRODUCT((UPPER(TRIM('Origin Costs'!$A$93:$A$132))=UPPER(TRIM(J376)))*'Origin Costs'!$C$93:$C$132),0))),0)</f>
        <v>1081.3333333333333</v>
      </c>
      <c r="P376" s="42">
        <f t="shared" si="5"/>
        <v>1081.3333333333333</v>
      </c>
      <c r="Q376" s="13" t="str">
        <f>IF(OR(Dashboard!$C$4="All Customers",$E376=Dashboard!$C$4),IF($E376="","",$P376+ROW()/10000000),"")</f>
        <v/>
      </c>
    </row>
    <row r="377" spans="1:17" ht="14.25" customHeight="1" x14ac:dyDescent="0.3">
      <c r="A377" s="43" t="str">
        <f>IFERROR("FY"&amp;TEXT(MOD(IF(MONTH(Sheet1!A377)&gt;=4,YEAR(Sheet1!A377),YEAR(Sheet1!A377)-1),100),"00")&amp;"-"&amp;TEXT(MOD(IF(MONTH(Sheet1!A377)&gt;=4,YEAR(Sheet1!A377),YEAR(Sheet1!A377)-1)+1,100),"00"),"")</f>
        <v>FY25-26</v>
      </c>
      <c r="B377" s="44" t="str">
        <f>IFERROR("Q"&amp;IF(MONTH(Sheet1!A377)&gt;=4,IF(MONTH(Sheet1!A377)&lt;=6,1,IF(MONTH(Sheet1!A377)&lt;=9,2,3)),4),"")</f>
        <v>Q4</v>
      </c>
      <c r="C377" s="43" t="str">
        <f>IFERROR(Sheet1!C377,0)</f>
        <v>MEA</v>
      </c>
      <c r="D377" s="43" t="str">
        <f>IFERROR(Sheet1!F377,0)</f>
        <v>South Africa</v>
      </c>
      <c r="E377" s="43" t="str">
        <f>IFERROR(Sheet1!E377,0)</f>
        <v>Vaal Tyre Centre Holdings (Pty) Ltd-S.A</v>
      </c>
      <c r="F377" s="43" t="str">
        <f>IFERROR(IF(UPPER(TRIM(Sheet1!J377))="NH","Nhava Sheva",IF(UPPER(TRIM(Sheet1!J377))="ICD","ICD Dhannad",IF(UPPER(TRIM(Sheet1!J377))="TIHI","ICD Tihi",Sheet1!J377))),0)</f>
        <v>Nhava Sheva</v>
      </c>
      <c r="G377" s="43" t="str">
        <f>IFERROR(Sheet1!M377,0)</f>
        <v>DURBAN</v>
      </c>
      <c r="H377" s="43" t="str">
        <f>IFERROR(Sheet1!H377,0)</f>
        <v>Sevenseas</v>
      </c>
      <c r="I377" s="43" t="str">
        <f>IFERROR(Sheet1!G377,0)</f>
        <v>CFR</v>
      </c>
      <c r="J377" s="43" t="str">
        <f>IFERROR(Sheet1!K377,0)</f>
        <v>CMA</v>
      </c>
      <c r="K377" s="45">
        <f>IFERROR(Sheet1!A377,0)</f>
        <v>46050</v>
      </c>
      <c r="L377" s="45">
        <f>IFERROR(Sheet1!I377,0)</f>
        <v>46049</v>
      </c>
      <c r="M377" s="47" t="str">
        <f>IFERROR(Sheet1!P377,0)</f>
        <v>NA</v>
      </c>
      <c r="N377" s="46">
        <f>IFERROR(IF(ISNUMBER(Sheet1!N377),Sheet1!N377,0),0)</f>
        <v>1150</v>
      </c>
      <c r="O377" s="46">
        <f>IFERROR(IF(TRIM(F377)="Nhava Sheva",SUMPRODUCT((UPPER(TRIM('Origin Costs'!$A$5:$A$44))=UPPER(TRIM(J377)))*'Origin Costs'!$C$5:$C$44),IF(TRIM(F377)="ICD Tihi",SUMPRODUCT((UPPER(TRIM('Origin Costs'!$A$49:$A$88))=UPPER(TRIM(J377)))*'Origin Costs'!$C$49:$C$88),IF(TRIM(F377)="ICD Dhannad",SUMPRODUCT((UPPER(TRIM('Origin Costs'!$A$93:$A$132))=UPPER(TRIM(J377)))*'Origin Costs'!$C$93:$C$132),0))),0)</f>
        <v>0</v>
      </c>
      <c r="P377" s="46">
        <f t="shared" si="5"/>
        <v>1150</v>
      </c>
      <c r="Q377" s="13" t="str">
        <f>IF(OR(Dashboard!$C$4="All Customers",$E377=Dashboard!$C$4),IF($E377="","",$P377+ROW()/10000000),"")</f>
        <v/>
      </c>
    </row>
    <row r="378" spans="1:17" ht="14.25" customHeight="1" x14ac:dyDescent="0.3">
      <c r="A378" s="39" t="str">
        <f>IFERROR("FY"&amp;TEXT(MOD(IF(MONTH(Sheet1!A378)&gt;=4,YEAR(Sheet1!A378),YEAR(Sheet1!A378)-1),100),"00")&amp;"-"&amp;TEXT(MOD(IF(MONTH(Sheet1!A378)&gt;=4,YEAR(Sheet1!A378),YEAR(Sheet1!A378)-1)+1,100),"00"),"")</f>
        <v>FY25-26</v>
      </c>
      <c r="B378" s="40" t="str">
        <f>IFERROR("Q"&amp;IF(MONTH(Sheet1!A378)&gt;=4,IF(MONTH(Sheet1!A378)&lt;=6,1,IF(MONTH(Sheet1!A378)&lt;=9,2,3)),4),"")</f>
        <v>Q4</v>
      </c>
      <c r="C378" s="39" t="str">
        <f>IFERROR(Sheet1!C378,0)</f>
        <v>MEA</v>
      </c>
      <c r="D378" s="39" t="str">
        <f>IFERROR(Sheet1!F378,0)</f>
        <v>Kuwait</v>
      </c>
      <c r="E378" s="39" t="str">
        <f>IFERROR(Sheet1!E378,0)</f>
        <v>ABDUL HADI TRADING CO LLC</v>
      </c>
      <c r="F378" s="39" t="str">
        <f>IFERROR(IF(UPPER(TRIM(Sheet1!J378))="NH","Nhava Sheva",IF(UPPER(TRIM(Sheet1!J378))="ICD","ICD Dhannad",IF(UPPER(TRIM(Sheet1!J378))="TIHI","ICD Tihi",Sheet1!J378))),0)</f>
        <v>Nhava Sheva</v>
      </c>
      <c r="G378" s="39" t="str">
        <f>IFERROR(Sheet1!M378,0)</f>
        <v>Shuwaikh</v>
      </c>
      <c r="H378" s="39" t="str">
        <f>IFERROR(Sheet1!H378,0)</f>
        <v>Hind Freight</v>
      </c>
      <c r="I378" s="39" t="str">
        <f>IFERROR(Sheet1!G378,0)</f>
        <v>CIF</v>
      </c>
      <c r="J378" s="39" t="str">
        <f>IFERROR(Sheet1!K378,0)</f>
        <v>MSC</v>
      </c>
      <c r="K378" s="41">
        <f>IFERROR(Sheet1!A378,0)</f>
        <v>46051</v>
      </c>
      <c r="L378" s="41">
        <f>IFERROR(Sheet1!I378,0)</f>
        <v>46049</v>
      </c>
      <c r="M378" s="47" t="str">
        <f>IFERROR(Sheet1!P378,0)</f>
        <v>NA</v>
      </c>
      <c r="N378" s="42">
        <f>IFERROR(IF(ISNUMBER(Sheet1!N378),Sheet1!N378,0),0)</f>
        <v>660</v>
      </c>
      <c r="O378" s="42">
        <f>IFERROR(IF(TRIM(F378)="Nhava Sheva",SUMPRODUCT((UPPER(TRIM('Origin Costs'!$A$5:$A$44))=UPPER(TRIM(J378)))*'Origin Costs'!$C$5:$C$44),IF(TRIM(F378)="ICD Tihi",SUMPRODUCT((UPPER(TRIM('Origin Costs'!$A$49:$A$88))=UPPER(TRIM(J378)))*'Origin Costs'!$C$49:$C$88),IF(TRIM(F378)="ICD Dhannad",SUMPRODUCT((UPPER(TRIM('Origin Costs'!$A$93:$A$132))=UPPER(TRIM(J378)))*'Origin Costs'!$C$93:$C$132),0))),0)</f>
        <v>1168.8222222222223</v>
      </c>
      <c r="P378" s="42">
        <f t="shared" si="5"/>
        <v>1828.8222222222223</v>
      </c>
      <c r="Q378" s="13" t="str">
        <f>IF(OR(Dashboard!$C$4="All Customers",$E378=Dashboard!$C$4),IF($E378="","",$P378+ROW()/10000000),"")</f>
        <v/>
      </c>
    </row>
    <row r="379" spans="1:17" ht="14.25" customHeight="1" x14ac:dyDescent="0.3">
      <c r="A379" s="43" t="str">
        <f>IFERROR("FY"&amp;TEXT(MOD(IF(MONTH(Sheet1!A379)&gt;=4,YEAR(Sheet1!A379),YEAR(Sheet1!A379)-1),100),"00")&amp;"-"&amp;TEXT(MOD(IF(MONTH(Sheet1!A379)&gt;=4,YEAR(Sheet1!A379),YEAR(Sheet1!A379)-1)+1,100),"00"),"")</f>
        <v>FY25-26</v>
      </c>
      <c r="B379" s="44" t="str">
        <f>IFERROR("Q"&amp;IF(MONTH(Sheet1!A379)&gt;=4,IF(MONTH(Sheet1!A379)&lt;=6,1,IF(MONTH(Sheet1!A379)&lt;=9,2,3)),4),"")</f>
        <v>Q4</v>
      </c>
      <c r="C379" s="43" t="str">
        <f>IFERROR(Sheet1!C379,0)</f>
        <v>MEA</v>
      </c>
      <c r="D379" s="43" t="str">
        <f>IFERROR(Sheet1!F379,0)</f>
        <v>Kuwait</v>
      </c>
      <c r="E379" s="43" t="str">
        <f>IFERROR(Sheet1!E379,0)</f>
        <v>ABDUL HADI TRADING CO LLC</v>
      </c>
      <c r="F379" s="43" t="str">
        <f>IFERROR(IF(UPPER(TRIM(Sheet1!J379))="NH","Nhava Sheva",IF(UPPER(TRIM(Sheet1!J379))="ICD","ICD Dhannad",IF(UPPER(TRIM(Sheet1!J379))="TIHI","ICD Tihi",Sheet1!J379))),0)</f>
        <v>Nhava Sheva</v>
      </c>
      <c r="G379" s="43" t="str">
        <f>IFERROR(Sheet1!M379,0)</f>
        <v>Shuwaikh</v>
      </c>
      <c r="H379" s="43" t="str">
        <f>IFERROR(Sheet1!H379,0)</f>
        <v>Hind Freight</v>
      </c>
      <c r="I379" s="43" t="str">
        <f>IFERROR(Sheet1!G379,0)</f>
        <v>CIF</v>
      </c>
      <c r="J379" s="43" t="str">
        <f>IFERROR(Sheet1!K379,0)</f>
        <v>MSC</v>
      </c>
      <c r="K379" s="45">
        <f>IFERROR(Sheet1!A379,0)</f>
        <v>46051</v>
      </c>
      <c r="L379" s="45">
        <f>IFERROR(Sheet1!I379,0)</f>
        <v>46049</v>
      </c>
      <c r="M379" s="47" t="str">
        <f>IFERROR(Sheet1!P379,0)</f>
        <v>NA</v>
      </c>
      <c r="N379" s="46">
        <f>IFERROR(IF(ISNUMBER(Sheet1!N379),Sheet1!N379,0),0)</f>
        <v>660</v>
      </c>
      <c r="O379" s="46">
        <f>IFERROR(IF(TRIM(F379)="Nhava Sheva",SUMPRODUCT((UPPER(TRIM('Origin Costs'!$A$5:$A$44))=UPPER(TRIM(J379)))*'Origin Costs'!$C$5:$C$44),IF(TRIM(F379)="ICD Tihi",SUMPRODUCT((UPPER(TRIM('Origin Costs'!$A$49:$A$88))=UPPER(TRIM(J379)))*'Origin Costs'!$C$49:$C$88),IF(TRIM(F379)="ICD Dhannad",SUMPRODUCT((UPPER(TRIM('Origin Costs'!$A$93:$A$132))=UPPER(TRIM(J379)))*'Origin Costs'!$C$93:$C$132),0))),0)</f>
        <v>1168.8222222222223</v>
      </c>
      <c r="P379" s="46">
        <f t="shared" si="5"/>
        <v>1828.8222222222223</v>
      </c>
      <c r="Q379" s="13" t="str">
        <f>IF(OR(Dashboard!$C$4="All Customers",$E379=Dashboard!$C$4),IF($E379="","",$P379+ROW()/10000000),"")</f>
        <v/>
      </c>
    </row>
    <row r="380" spans="1:17" ht="14.25" customHeight="1" x14ac:dyDescent="0.3">
      <c r="A380" s="39" t="str">
        <f>IFERROR("FY"&amp;TEXT(MOD(IF(MONTH(Sheet1!A380)&gt;=4,YEAR(Sheet1!A380),YEAR(Sheet1!A380)-1),100),"00")&amp;"-"&amp;TEXT(MOD(IF(MONTH(Sheet1!A380)&gt;=4,YEAR(Sheet1!A380),YEAR(Sheet1!A380)-1)+1,100),"00"),"")</f>
        <v>FY25-26</v>
      </c>
      <c r="B380" s="40" t="str">
        <f>IFERROR("Q"&amp;IF(MONTH(Sheet1!A380)&gt;=4,IF(MONTH(Sheet1!A380)&lt;=6,1,IF(MONTH(Sheet1!A380)&lt;=9,2,3)),4),"")</f>
        <v>Q4</v>
      </c>
      <c r="C380" s="39" t="str">
        <f>IFERROR(Sheet1!C380,0)</f>
        <v>MEA</v>
      </c>
      <c r="D380" s="39" t="str">
        <f>IFERROR(Sheet1!F380,0)</f>
        <v>Kuwait</v>
      </c>
      <c r="E380" s="39" t="str">
        <f>IFERROR(Sheet1!E380,0)</f>
        <v>ABDUL HADI TRADING CO LLC</v>
      </c>
      <c r="F380" s="39" t="str">
        <f>IFERROR(IF(UPPER(TRIM(Sheet1!J380))="NH","Nhava Sheva",IF(UPPER(TRIM(Sheet1!J380))="ICD","ICD Dhannad",IF(UPPER(TRIM(Sheet1!J380))="TIHI","ICD Tihi",Sheet1!J380))),0)</f>
        <v>Nhava Sheva</v>
      </c>
      <c r="G380" s="39" t="str">
        <f>IFERROR(Sheet1!M380,0)</f>
        <v>Shuwaikh</v>
      </c>
      <c r="H380" s="39" t="str">
        <f>IFERROR(Sheet1!H380,0)</f>
        <v>Hind Freight</v>
      </c>
      <c r="I380" s="39" t="str">
        <f>IFERROR(Sheet1!G380,0)</f>
        <v>CIF</v>
      </c>
      <c r="J380" s="39" t="str">
        <f>IFERROR(Sheet1!K380,0)</f>
        <v>MSC</v>
      </c>
      <c r="K380" s="41">
        <f>IFERROR(Sheet1!A380,0)</f>
        <v>46051</v>
      </c>
      <c r="L380" s="41">
        <f>IFERROR(Sheet1!I380,0)</f>
        <v>46049</v>
      </c>
      <c r="M380" s="47" t="str">
        <f>IFERROR(Sheet1!P380,0)</f>
        <v>NA</v>
      </c>
      <c r="N380" s="42">
        <f>IFERROR(IF(ISNUMBER(Sheet1!N380),Sheet1!N380,0),0)</f>
        <v>660</v>
      </c>
      <c r="O380" s="42">
        <f>IFERROR(IF(TRIM(F380)="Nhava Sheva",SUMPRODUCT((UPPER(TRIM('Origin Costs'!$A$5:$A$44))=UPPER(TRIM(J380)))*'Origin Costs'!$C$5:$C$44),IF(TRIM(F380)="ICD Tihi",SUMPRODUCT((UPPER(TRIM('Origin Costs'!$A$49:$A$88))=UPPER(TRIM(J380)))*'Origin Costs'!$C$49:$C$88),IF(TRIM(F380)="ICD Dhannad",SUMPRODUCT((UPPER(TRIM('Origin Costs'!$A$93:$A$132))=UPPER(TRIM(J380)))*'Origin Costs'!$C$93:$C$132),0))),0)</f>
        <v>1168.8222222222223</v>
      </c>
      <c r="P380" s="42">
        <f t="shared" si="5"/>
        <v>1828.8222222222223</v>
      </c>
      <c r="Q380" s="13" t="str">
        <f>IF(OR(Dashboard!$C$4="All Customers",$E380=Dashboard!$C$4),IF($E380="","",$P380+ROW()/10000000),"")</f>
        <v/>
      </c>
    </row>
    <row r="381" spans="1:17" ht="14.25" customHeight="1" x14ac:dyDescent="0.3">
      <c r="A381" s="43" t="str">
        <f>IFERROR("FY"&amp;TEXT(MOD(IF(MONTH(Sheet1!A381)&gt;=4,YEAR(Sheet1!A381),YEAR(Sheet1!A381)-1),100),"00")&amp;"-"&amp;TEXT(MOD(IF(MONTH(Sheet1!A381)&gt;=4,YEAR(Sheet1!A381),YEAR(Sheet1!A381)-1)+1,100),"00"),"")</f>
        <v>FY25-26</v>
      </c>
      <c r="B381" s="44" t="str">
        <f>IFERROR("Q"&amp;IF(MONTH(Sheet1!A381)&gt;=4,IF(MONTH(Sheet1!A381)&lt;=6,1,IF(MONTH(Sheet1!A381)&lt;=9,2,3)),4),"")</f>
        <v>Q4</v>
      </c>
      <c r="C381" s="43" t="str">
        <f>IFERROR(Sheet1!C381,0)</f>
        <v>S.A</v>
      </c>
      <c r="D381" s="43" t="str">
        <f>IFERROR(Sheet1!F381,0)</f>
        <v>Brazil</v>
      </c>
      <c r="E381" s="43" t="str">
        <f>IFERROR(Sheet1!E381,0)</f>
        <v>CPX DISTRIBUIDORA S/A</v>
      </c>
      <c r="F381" s="43" t="str">
        <f>IFERROR(IF(UPPER(TRIM(Sheet1!J381))="NH","Nhava Sheva",IF(UPPER(TRIM(Sheet1!J381))="ICD","ICD Dhannad",IF(UPPER(TRIM(Sheet1!J381))="TIHI","ICD Tihi",Sheet1!J381))),0)</f>
        <v>ICD Tihi</v>
      </c>
      <c r="G381" s="43" t="str">
        <f>IFERROR(Sheet1!M381,0)</f>
        <v>SUAPE</v>
      </c>
      <c r="H381" s="43" t="str">
        <f>IFERROR(Sheet1!H381,0)</f>
        <v>Asia Shipping</v>
      </c>
      <c r="I381" s="43" t="str">
        <f>IFERROR(Sheet1!G381,0)</f>
        <v>FOB</v>
      </c>
      <c r="J381" s="43" t="str">
        <f>IFERROR(Sheet1!K381,0)</f>
        <v>MSC</v>
      </c>
      <c r="K381" s="45">
        <f>IFERROR(Sheet1!A381,0)</f>
        <v>46051</v>
      </c>
      <c r="L381" s="45">
        <f>IFERROR(Sheet1!I381,0)</f>
        <v>46050</v>
      </c>
      <c r="M381" s="47" t="str">
        <f>IFERROR(Sheet1!P381,0)</f>
        <v>NA</v>
      </c>
      <c r="N381" s="46">
        <f>IFERROR(IF(ISNUMBER(Sheet1!N381),Sheet1!N381,0),0)</f>
        <v>0</v>
      </c>
      <c r="O381" s="46">
        <f>IFERROR(IF(TRIM(F381)="Nhava Sheva",SUMPRODUCT((UPPER(TRIM('Origin Costs'!$A$5:$A$44))=UPPER(TRIM(J381)))*'Origin Costs'!$C$5:$C$44),IF(TRIM(F381)="ICD Tihi",SUMPRODUCT((UPPER(TRIM('Origin Costs'!$A$49:$A$88))=UPPER(TRIM(J381)))*'Origin Costs'!$C$49:$C$88),IF(TRIM(F381)="ICD Dhannad",SUMPRODUCT((UPPER(TRIM('Origin Costs'!$A$93:$A$132))=UPPER(TRIM(J381)))*'Origin Costs'!$C$93:$C$132),0))),0)</f>
        <v>1081.3333333333333</v>
      </c>
      <c r="P381" s="46">
        <f t="shared" si="5"/>
        <v>1081.3333333333333</v>
      </c>
      <c r="Q381" s="13" t="str">
        <f>IF(OR(Dashboard!$C$4="All Customers",$E381=Dashboard!$C$4),IF($E381="","",$P381+ROW()/10000000),"")</f>
        <v/>
      </c>
    </row>
    <row r="382" spans="1:17" ht="14.25" customHeight="1" x14ac:dyDescent="0.3">
      <c r="A382" s="39" t="str">
        <f>IFERROR("FY"&amp;TEXT(MOD(IF(MONTH(Sheet1!A382)&gt;=4,YEAR(Sheet1!A382),YEAR(Sheet1!A382)-1),100),"00")&amp;"-"&amp;TEXT(MOD(IF(MONTH(Sheet1!A382)&gt;=4,YEAR(Sheet1!A382),YEAR(Sheet1!A382)-1)+1,100),"00"),"")</f>
        <v>FY25-26</v>
      </c>
      <c r="B382" s="40" t="str">
        <f>IFERROR("Q"&amp;IF(MONTH(Sheet1!A382)&gt;=4,IF(MONTH(Sheet1!A382)&lt;=6,1,IF(MONTH(Sheet1!A382)&lt;=9,2,3)),4),"")</f>
        <v>Q4</v>
      </c>
      <c r="C382" s="39" t="str">
        <f>IFERROR(Sheet1!C382,0)</f>
        <v>S.A</v>
      </c>
      <c r="D382" s="39" t="str">
        <f>IFERROR(Sheet1!F382,0)</f>
        <v>Brazil</v>
      </c>
      <c r="E382" s="39" t="str">
        <f>IFERROR(Sheet1!E382,0)</f>
        <v>CPX DISTRIBUIDORA S/A</v>
      </c>
      <c r="F382" s="39" t="str">
        <f>IFERROR(IF(UPPER(TRIM(Sheet1!J382))="NH","Nhava Sheva",IF(UPPER(TRIM(Sheet1!J382))="ICD","ICD Dhannad",IF(UPPER(TRIM(Sheet1!J382))="TIHI","ICD Tihi",Sheet1!J382))),0)</f>
        <v>ICD Tihi</v>
      </c>
      <c r="G382" s="39" t="str">
        <f>IFERROR(Sheet1!M382,0)</f>
        <v>SUAPE</v>
      </c>
      <c r="H382" s="39" t="str">
        <f>IFERROR(Sheet1!H382,0)</f>
        <v>Asia Shipping</v>
      </c>
      <c r="I382" s="39" t="str">
        <f>IFERROR(Sheet1!G382,0)</f>
        <v>FOB</v>
      </c>
      <c r="J382" s="39" t="str">
        <f>IFERROR(Sheet1!K382,0)</f>
        <v>MSC</v>
      </c>
      <c r="K382" s="41">
        <f>IFERROR(Sheet1!A382,0)</f>
        <v>46051</v>
      </c>
      <c r="L382" s="41">
        <f>IFERROR(Sheet1!I382,0)</f>
        <v>46050</v>
      </c>
      <c r="M382" s="47" t="str">
        <f>IFERROR(Sheet1!P382,0)</f>
        <v>NA</v>
      </c>
      <c r="N382" s="42">
        <f>IFERROR(IF(ISNUMBER(Sheet1!N382),Sheet1!N382,0),0)</f>
        <v>0</v>
      </c>
      <c r="O382" s="42">
        <f>IFERROR(IF(TRIM(F382)="Nhava Sheva",SUMPRODUCT((UPPER(TRIM('Origin Costs'!$A$5:$A$44))=UPPER(TRIM(J382)))*'Origin Costs'!$C$5:$C$44),IF(TRIM(F382)="ICD Tihi",SUMPRODUCT((UPPER(TRIM('Origin Costs'!$A$49:$A$88))=UPPER(TRIM(J382)))*'Origin Costs'!$C$49:$C$88),IF(TRIM(F382)="ICD Dhannad",SUMPRODUCT((UPPER(TRIM('Origin Costs'!$A$93:$A$132))=UPPER(TRIM(J382)))*'Origin Costs'!$C$93:$C$132),0))),0)</f>
        <v>1081.3333333333333</v>
      </c>
      <c r="P382" s="42">
        <f t="shared" si="5"/>
        <v>1081.3333333333333</v>
      </c>
      <c r="Q382" s="13" t="str">
        <f>IF(OR(Dashboard!$C$4="All Customers",$E382=Dashboard!$C$4),IF($E382="","",$P382+ROW()/10000000),"")</f>
        <v/>
      </c>
    </row>
    <row r="383" spans="1:17" ht="14.25" customHeight="1" x14ac:dyDescent="0.3">
      <c r="A383" s="43" t="str">
        <f>IFERROR("FY"&amp;TEXT(MOD(IF(MONTH(Sheet1!A383)&gt;=4,YEAR(Sheet1!A383),YEAR(Sheet1!A383)-1),100),"00")&amp;"-"&amp;TEXT(MOD(IF(MONTH(Sheet1!A383)&gt;=4,YEAR(Sheet1!A383),YEAR(Sheet1!A383)-1)+1,100),"00"),"")</f>
        <v>FY25-26</v>
      </c>
      <c r="B383" s="44" t="str">
        <f>IFERROR("Q"&amp;IF(MONTH(Sheet1!A383)&gt;=4,IF(MONTH(Sheet1!A383)&lt;=6,1,IF(MONTH(Sheet1!A383)&lt;=9,2,3)),4),"")</f>
        <v>Q4</v>
      </c>
      <c r="C383" s="43" t="str">
        <f>IFERROR(Sheet1!C383,0)</f>
        <v>Europe</v>
      </c>
      <c r="D383" s="43" t="str">
        <f>IFERROR(Sheet1!F383,0)</f>
        <v>Spain</v>
      </c>
      <c r="E383" s="43" t="str">
        <f>IFERROR(Sheet1!E383,0)</f>
        <v>TRADELUC FZE LLC, Spain</v>
      </c>
      <c r="F383" s="43" t="str">
        <f>IFERROR(IF(UPPER(TRIM(Sheet1!J383))="NH","Nhava Sheva",IF(UPPER(TRIM(Sheet1!J383))="ICD","ICD Dhannad",IF(UPPER(TRIM(Sheet1!J383))="TIHI","ICD Tihi",Sheet1!J383))),0)</f>
        <v>Nhava Sheva</v>
      </c>
      <c r="G383" s="43" t="str">
        <f>IFERROR(Sheet1!M383,0)</f>
        <v>ALGECIRAS</v>
      </c>
      <c r="H383" s="43" t="str">
        <f>IFERROR(Sheet1!H383,0)</f>
        <v>Active Shipping</v>
      </c>
      <c r="I383" s="43" t="str">
        <f>IFERROR(Sheet1!G383,0)</f>
        <v>FOB</v>
      </c>
      <c r="J383" s="43" t="str">
        <f>IFERROR(Sheet1!K383,0)</f>
        <v>HMM</v>
      </c>
      <c r="K383" s="45">
        <f>IFERROR(Sheet1!A383,0)</f>
        <v>46052</v>
      </c>
      <c r="L383" s="45">
        <f>IFERROR(Sheet1!I383,0)</f>
        <v>46050</v>
      </c>
      <c r="M383" s="47" t="str">
        <f>IFERROR(Sheet1!P383,0)</f>
        <v>NA</v>
      </c>
      <c r="N383" s="46">
        <f>IFERROR(IF(ISNUMBER(Sheet1!N383),Sheet1!N383,0),0)</f>
        <v>0</v>
      </c>
      <c r="O383" s="46">
        <f>IFERROR(IF(TRIM(F383)="Nhava Sheva",SUMPRODUCT((UPPER(TRIM('Origin Costs'!$A$5:$A$44))=UPPER(TRIM(J383)))*'Origin Costs'!$C$5:$C$44),IF(TRIM(F383)="ICD Tihi",SUMPRODUCT((UPPER(TRIM('Origin Costs'!$A$49:$A$88))=UPPER(TRIM(J383)))*'Origin Costs'!$C$49:$C$88),IF(TRIM(F383)="ICD Dhannad",SUMPRODUCT((UPPER(TRIM('Origin Costs'!$A$93:$A$132))=UPPER(TRIM(J383)))*'Origin Costs'!$C$93:$C$132),0))),0)</f>
        <v>0</v>
      </c>
      <c r="P383" s="46">
        <f t="shared" si="5"/>
        <v>0</v>
      </c>
      <c r="Q383" s="13" t="str">
        <f>IF(OR(Dashboard!$C$4="All Customers",$E383=Dashboard!$C$4),IF($E383="","",$P383+ROW()/10000000),"")</f>
        <v/>
      </c>
    </row>
    <row r="384" spans="1:17" ht="14.25" customHeight="1" x14ac:dyDescent="0.3">
      <c r="A384" s="39" t="str">
        <f>IFERROR("FY"&amp;TEXT(MOD(IF(MONTH(Sheet1!A384)&gt;=4,YEAR(Sheet1!A384),YEAR(Sheet1!A384)-1),100),"00")&amp;"-"&amp;TEXT(MOD(IF(MONTH(Sheet1!A384)&gt;=4,YEAR(Sheet1!A384),YEAR(Sheet1!A384)-1)+1,100),"00"),"")</f>
        <v>FY25-26</v>
      </c>
      <c r="B384" s="40" t="str">
        <f>IFERROR("Q"&amp;IF(MONTH(Sheet1!A384)&gt;=4,IF(MONTH(Sheet1!A384)&lt;=6,1,IF(MONTH(Sheet1!A384)&lt;=9,2,3)),4),"")</f>
        <v>Q4</v>
      </c>
      <c r="C384" s="39" t="str">
        <f>IFERROR(Sheet1!C384,0)</f>
        <v>S.A</v>
      </c>
      <c r="D384" s="39" t="str">
        <f>IFERROR(Sheet1!F384,0)</f>
        <v>Mexico</v>
      </c>
      <c r="E384" s="39" t="str">
        <f>IFERROR(Sheet1!E384,0)</f>
        <v>PC Tyres, Mexico</v>
      </c>
      <c r="F384" s="39" t="str">
        <f>IFERROR(IF(UPPER(TRIM(Sheet1!J384))="NH","Nhava Sheva",IF(UPPER(TRIM(Sheet1!J384))="ICD","ICD Dhannad",IF(UPPER(TRIM(Sheet1!J384))="TIHI","ICD Tihi",Sheet1!J384))),0)</f>
        <v>Nhava Sheva</v>
      </c>
      <c r="G384" s="39" t="str">
        <f>IFERROR(Sheet1!M384,0)</f>
        <v>Manzanillo</v>
      </c>
      <c r="H384" s="39" t="str">
        <f>IFERROR(Sheet1!H384,0)</f>
        <v>Liyana Logistics</v>
      </c>
      <c r="I384" s="39" t="str">
        <f>IFERROR(Sheet1!G384,0)</f>
        <v>FOB</v>
      </c>
      <c r="J384" s="39" t="str">
        <f>IFERROR(Sheet1!K384,0)</f>
        <v>Evergreen</v>
      </c>
      <c r="K384" s="41">
        <f>IFERROR(Sheet1!A384,0)</f>
        <v>46053</v>
      </c>
      <c r="L384" s="41">
        <f>IFERROR(Sheet1!I384,0)</f>
        <v>46051</v>
      </c>
      <c r="M384" s="47" t="str">
        <f>IFERROR(Sheet1!P384,0)</f>
        <v>NA</v>
      </c>
      <c r="N384" s="42">
        <f>IFERROR(IF(ISNUMBER(Sheet1!N384),Sheet1!N384,0),0)</f>
        <v>0</v>
      </c>
      <c r="O384" s="42">
        <f>IFERROR(IF(TRIM(F384)="Nhava Sheva",SUMPRODUCT((UPPER(TRIM('Origin Costs'!$A$5:$A$44))=UPPER(TRIM(J384)))*'Origin Costs'!$C$5:$C$44),IF(TRIM(F384)="ICD Tihi",SUMPRODUCT((UPPER(TRIM('Origin Costs'!$A$49:$A$88))=UPPER(TRIM(J384)))*'Origin Costs'!$C$49:$C$88),IF(TRIM(F384)="ICD Dhannad",SUMPRODUCT((UPPER(TRIM('Origin Costs'!$A$93:$A$132))=UPPER(TRIM(J384)))*'Origin Costs'!$C$93:$C$132),0))),0)</f>
        <v>0</v>
      </c>
      <c r="P384" s="42">
        <f t="shared" si="5"/>
        <v>0</v>
      </c>
      <c r="Q384" s="13" t="str">
        <f>IF(OR(Dashboard!$C$4="All Customers",$E384=Dashboard!$C$4),IF($E384="","",$P384+ROW()/10000000),"")</f>
        <v/>
      </c>
    </row>
    <row r="385" spans="1:17" ht="14.25" customHeight="1" x14ac:dyDescent="0.3">
      <c r="A385" s="43" t="str">
        <f>IFERROR("FY"&amp;TEXT(MOD(IF(MONTH(Sheet1!A385)&gt;=4,YEAR(Sheet1!A385),YEAR(Sheet1!A385)-1),100),"00")&amp;"-"&amp;TEXT(MOD(IF(MONTH(Sheet1!A385)&gt;=4,YEAR(Sheet1!A385),YEAR(Sheet1!A385)-1)+1,100),"00"),"")</f>
        <v>FY25-26</v>
      </c>
      <c r="B385" s="44" t="str">
        <f>IFERROR("Q"&amp;IF(MONTH(Sheet1!A385)&gt;=4,IF(MONTH(Sheet1!A385)&lt;=6,1,IF(MONTH(Sheet1!A385)&lt;=9,2,3)),4),"")</f>
        <v>Q4</v>
      </c>
      <c r="C385" s="43" t="str">
        <f>IFERROR(Sheet1!C385,0)</f>
        <v>MEA</v>
      </c>
      <c r="D385" s="43" t="str">
        <f>IFERROR(Sheet1!F385,0)</f>
        <v>Kuwait</v>
      </c>
      <c r="E385" s="43" t="str">
        <f>IFERROR(Sheet1!E385,0)</f>
        <v>Sharma International, Kuwait</v>
      </c>
      <c r="F385" s="43" t="str">
        <f>IFERROR(IF(UPPER(TRIM(Sheet1!J385))="NH","Nhava Sheva",IF(UPPER(TRIM(Sheet1!J385))="ICD","ICD Dhannad",IF(UPPER(TRIM(Sheet1!J385))="TIHI","ICD Tihi",Sheet1!J385))),0)</f>
        <v>Nhava Sheva</v>
      </c>
      <c r="G385" s="43" t="str">
        <f>IFERROR(Sheet1!M385,0)</f>
        <v>Shuaiba</v>
      </c>
      <c r="H385" s="43" t="str">
        <f>IFERROR(Sheet1!H385,0)</f>
        <v>Hind Freight</v>
      </c>
      <c r="I385" s="43" t="str">
        <f>IFERROR(Sheet1!G385,0)</f>
        <v>CIF</v>
      </c>
      <c r="J385" s="43" t="str">
        <f>IFERROR(Sheet1!K385,0)</f>
        <v>MSC</v>
      </c>
      <c r="K385" s="45">
        <f>IFERROR(Sheet1!A385,0)</f>
        <v>46052</v>
      </c>
      <c r="L385" s="45">
        <f>IFERROR(Sheet1!I385,0)</f>
        <v>46044</v>
      </c>
      <c r="M385" s="47" t="str">
        <f>IFERROR(Sheet1!P385,0)</f>
        <v>NA</v>
      </c>
      <c r="N385" s="46">
        <f>IFERROR(IF(ISNUMBER(Sheet1!N385),Sheet1!N385,0),0)</f>
        <v>660</v>
      </c>
      <c r="O385" s="46">
        <f>IFERROR(IF(TRIM(F385)="Nhava Sheva",SUMPRODUCT((UPPER(TRIM('Origin Costs'!$A$5:$A$44))=UPPER(TRIM(J385)))*'Origin Costs'!$C$5:$C$44),IF(TRIM(F385)="ICD Tihi",SUMPRODUCT((UPPER(TRIM('Origin Costs'!$A$49:$A$88))=UPPER(TRIM(J385)))*'Origin Costs'!$C$49:$C$88),IF(TRIM(F385)="ICD Dhannad",SUMPRODUCT((UPPER(TRIM('Origin Costs'!$A$93:$A$132))=UPPER(TRIM(J385)))*'Origin Costs'!$C$93:$C$132),0))),0)</f>
        <v>1168.8222222222223</v>
      </c>
      <c r="P385" s="46">
        <f t="shared" si="5"/>
        <v>1828.8222222222223</v>
      </c>
      <c r="Q385" s="13" t="str">
        <f>IF(OR(Dashboard!$C$4="All Customers",$E385=Dashboard!$C$4),IF($E385="","",$P385+ROW()/10000000),"")</f>
        <v/>
      </c>
    </row>
    <row r="386" spans="1:17" ht="14.25" customHeight="1" x14ac:dyDescent="0.3">
      <c r="A386" s="39" t="str">
        <f>IFERROR("FY"&amp;TEXT(MOD(IF(MONTH(Sheet1!A386)&gt;=4,YEAR(Sheet1!A386),YEAR(Sheet1!A386)-1),100),"00")&amp;"-"&amp;TEXT(MOD(IF(MONTH(Sheet1!A386)&gt;=4,YEAR(Sheet1!A386),YEAR(Sheet1!A386)-1)+1,100),"00"),"")</f>
        <v>FY25-26</v>
      </c>
      <c r="B386" s="40" t="str">
        <f>IFERROR("Q"&amp;IF(MONTH(Sheet1!A386)&gt;=4,IF(MONTH(Sheet1!A386)&lt;=6,1,IF(MONTH(Sheet1!A386)&lt;=9,2,3)),4),"")</f>
        <v>Q4</v>
      </c>
      <c r="C386" s="39" t="str">
        <f>IFERROR(Sheet1!C386,0)</f>
        <v>Europe</v>
      </c>
      <c r="D386" s="39" t="str">
        <f>IFERROR(Sheet1!F386,0)</f>
        <v>Bulgaria</v>
      </c>
      <c r="E386" s="39" t="str">
        <f>IFERROR(Sheet1!E386,0)</f>
        <v>Transcar Vladi EOOD</v>
      </c>
      <c r="F386" s="39" t="str">
        <f>IFERROR(IF(UPPER(TRIM(Sheet1!J386))="NH","Nhava Sheva",IF(UPPER(TRIM(Sheet1!J386))="ICD","ICD Dhannad",IF(UPPER(TRIM(Sheet1!J386))="TIHI","ICD Tihi",Sheet1!J386))),0)</f>
        <v>ICD Tihi</v>
      </c>
      <c r="G386" s="39" t="str">
        <f>IFERROR(Sheet1!M386,0)</f>
        <v>THESSALONIKI</v>
      </c>
      <c r="H386" s="39" t="str">
        <f>IFERROR(Sheet1!H386,0)</f>
        <v>Clearship</v>
      </c>
      <c r="I386" s="39" t="str">
        <f>IFERROR(Sheet1!G386,0)</f>
        <v>CIF</v>
      </c>
      <c r="J386" s="39" t="str">
        <f>IFERROR(Sheet1!K386,0)</f>
        <v>ONE</v>
      </c>
      <c r="K386" s="41">
        <f>IFERROR(Sheet1!A386,0)</f>
        <v>46053</v>
      </c>
      <c r="L386" s="41">
        <f>IFERROR(Sheet1!I386,0)</f>
        <v>46053</v>
      </c>
      <c r="M386" s="47" t="str">
        <f>IFERROR(Sheet1!P386,0)</f>
        <v>NA</v>
      </c>
      <c r="N386" s="42">
        <f>IFERROR(IF(ISNUMBER(Sheet1!N386),Sheet1!N386,0),0)</f>
        <v>1450</v>
      </c>
      <c r="O386" s="42">
        <f>IFERROR(IF(TRIM(F386)="Nhava Sheva",SUMPRODUCT((UPPER(TRIM('Origin Costs'!$A$5:$A$44))=UPPER(TRIM(J386)))*'Origin Costs'!$C$5:$C$44),IF(TRIM(F386)="ICD Tihi",SUMPRODUCT((UPPER(TRIM('Origin Costs'!$A$49:$A$88))=UPPER(TRIM(J386)))*'Origin Costs'!$C$49:$C$88),IF(TRIM(F386)="ICD Dhannad",SUMPRODUCT((UPPER(TRIM('Origin Costs'!$A$93:$A$132))=UPPER(TRIM(J386)))*'Origin Costs'!$C$93:$C$132),0))),0)</f>
        <v>964.44444444444446</v>
      </c>
      <c r="P386" s="42">
        <f t="shared" ref="P386:P449" si="6">N386+O386</f>
        <v>2414.4444444444443</v>
      </c>
      <c r="Q386" s="13" t="str">
        <f>IF(OR(Dashboard!$C$4="All Customers",$E386=Dashboard!$C$4),IF($E386="","",$P386+ROW()/10000000),"")</f>
        <v/>
      </c>
    </row>
    <row r="387" spans="1:17" ht="14.25" customHeight="1" x14ac:dyDescent="0.3">
      <c r="A387" s="43" t="str">
        <f>IFERROR("FY"&amp;TEXT(MOD(IF(MONTH(Sheet1!A387)&gt;=4,YEAR(Sheet1!A387),YEAR(Sheet1!A387)-1),100),"00")&amp;"-"&amp;TEXT(MOD(IF(MONTH(Sheet1!A387)&gt;=4,YEAR(Sheet1!A387),YEAR(Sheet1!A387)-1)+1,100),"00"),"")</f>
        <v>FY25-26</v>
      </c>
      <c r="B387" s="44" t="str">
        <f>IFERROR("Q"&amp;IF(MONTH(Sheet1!A387)&gt;=4,IF(MONTH(Sheet1!A387)&lt;=6,1,IF(MONTH(Sheet1!A387)&lt;=9,2,3)),4),"")</f>
        <v>Q4</v>
      </c>
      <c r="C387" s="43" t="str">
        <f>IFERROR(Sheet1!C387,0)</f>
        <v>Europe</v>
      </c>
      <c r="D387" s="43" t="str">
        <f>IFERROR(Sheet1!F387,0)</f>
        <v>Bulgaria</v>
      </c>
      <c r="E387" s="43" t="str">
        <f>IFERROR(Sheet1!E387,0)</f>
        <v>Transcar Vladi EOOD</v>
      </c>
      <c r="F387" s="43" t="str">
        <f>IFERROR(IF(UPPER(TRIM(Sheet1!J387))="NH","Nhava Sheva",IF(UPPER(TRIM(Sheet1!J387))="ICD","ICD Dhannad",IF(UPPER(TRIM(Sheet1!J387))="TIHI","ICD Tihi",Sheet1!J387))),0)</f>
        <v>ICD Tihi</v>
      </c>
      <c r="G387" s="43" t="str">
        <f>IFERROR(Sheet1!M387,0)</f>
        <v>THESSALONIKI</v>
      </c>
      <c r="H387" s="43" t="str">
        <f>IFERROR(Sheet1!H387,0)</f>
        <v>Clearship</v>
      </c>
      <c r="I387" s="43" t="str">
        <f>IFERROR(Sheet1!G387,0)</f>
        <v>CIF</v>
      </c>
      <c r="J387" s="43" t="str">
        <f>IFERROR(Sheet1!K387,0)</f>
        <v>ONE</v>
      </c>
      <c r="K387" s="45">
        <f>IFERROR(Sheet1!A387,0)</f>
        <v>46053</v>
      </c>
      <c r="L387" s="45">
        <f>IFERROR(Sheet1!I387,0)</f>
        <v>46053</v>
      </c>
      <c r="M387" s="47" t="str">
        <f>IFERROR(Sheet1!P387,0)</f>
        <v>NA</v>
      </c>
      <c r="N387" s="46">
        <f>IFERROR(IF(ISNUMBER(Sheet1!N387),Sheet1!N387,0),0)</f>
        <v>1450</v>
      </c>
      <c r="O387" s="46">
        <f>IFERROR(IF(TRIM(F387)="Nhava Sheva",SUMPRODUCT((UPPER(TRIM('Origin Costs'!$A$5:$A$44))=UPPER(TRIM(J387)))*'Origin Costs'!$C$5:$C$44),IF(TRIM(F387)="ICD Tihi",SUMPRODUCT((UPPER(TRIM('Origin Costs'!$A$49:$A$88))=UPPER(TRIM(J387)))*'Origin Costs'!$C$49:$C$88),IF(TRIM(F387)="ICD Dhannad",SUMPRODUCT((UPPER(TRIM('Origin Costs'!$A$93:$A$132))=UPPER(TRIM(J387)))*'Origin Costs'!$C$93:$C$132),0))),0)</f>
        <v>964.44444444444446</v>
      </c>
      <c r="P387" s="46">
        <f t="shared" si="6"/>
        <v>2414.4444444444443</v>
      </c>
      <c r="Q387" s="13" t="str">
        <f>IF(OR(Dashboard!$C$4="All Customers",$E387=Dashboard!$C$4),IF($E387="","",$P387+ROW()/10000000),"")</f>
        <v/>
      </c>
    </row>
    <row r="388" spans="1:17" ht="14.25" customHeight="1" x14ac:dyDescent="0.3">
      <c r="A388" s="39" t="str">
        <f>IFERROR("FY"&amp;TEXT(MOD(IF(MONTH(Sheet1!A388)&gt;=4,YEAR(Sheet1!A388),YEAR(Sheet1!A388)-1),100),"00")&amp;"-"&amp;TEXT(MOD(IF(MONTH(Sheet1!A388)&gt;=4,YEAR(Sheet1!A388),YEAR(Sheet1!A388)-1)+1,100),"00"),"")</f>
        <v>FY25-26</v>
      </c>
      <c r="B388" s="40" t="str">
        <f>IFERROR("Q"&amp;IF(MONTH(Sheet1!A388)&gt;=4,IF(MONTH(Sheet1!A388)&lt;=6,1,IF(MONTH(Sheet1!A388)&lt;=9,2,3)),4),"")</f>
        <v>Q4</v>
      </c>
      <c r="C388" s="39" t="str">
        <f>IFERROR(Sheet1!C388,0)</f>
        <v>Europe</v>
      </c>
      <c r="D388" s="39" t="str">
        <f>IFERROR(Sheet1!F388,0)</f>
        <v>Bulgaria</v>
      </c>
      <c r="E388" s="39" t="str">
        <f>IFERROR(Sheet1!E388,0)</f>
        <v>Copadex, France</v>
      </c>
      <c r="F388" s="39" t="str">
        <f>IFERROR(IF(UPPER(TRIM(Sheet1!J388))="NH","Nhava Sheva",IF(UPPER(TRIM(Sheet1!J388))="ICD","ICD Dhannad",IF(UPPER(TRIM(Sheet1!J388))="TIHI","ICD Tihi",Sheet1!J388))),0)</f>
        <v>Nhava Sheva</v>
      </c>
      <c r="G388" s="39" t="str">
        <f>IFERROR(Sheet1!M388,0)</f>
        <v>THESSALONIKI</v>
      </c>
      <c r="H388" s="39" t="str">
        <f>IFERROR(Sheet1!H388,0)</f>
        <v>Jeena &amp; Co</v>
      </c>
      <c r="I388" s="39" t="str">
        <f>IFERROR(Sheet1!G388,0)</f>
        <v>FOB</v>
      </c>
      <c r="J388" s="39" t="str">
        <f>IFERROR(Sheet1!K388,0)</f>
        <v>MSC</v>
      </c>
      <c r="K388" s="41">
        <f>IFERROR(Sheet1!A388,0)</f>
        <v>46056</v>
      </c>
      <c r="L388" s="41">
        <f>IFERROR(Sheet1!I388,0)</f>
        <v>46053</v>
      </c>
      <c r="M388" s="47" t="str">
        <f>IFERROR(Sheet1!P388,0)</f>
        <v>NA</v>
      </c>
      <c r="N388" s="42">
        <f>IFERROR(IF(ISNUMBER(Sheet1!N388),Sheet1!N388,0),0)</f>
        <v>0</v>
      </c>
      <c r="O388" s="42">
        <f>IFERROR(IF(TRIM(F388)="Nhava Sheva",SUMPRODUCT((UPPER(TRIM('Origin Costs'!$A$5:$A$44))=UPPER(TRIM(J388)))*'Origin Costs'!$C$5:$C$44),IF(TRIM(F388)="ICD Tihi",SUMPRODUCT((UPPER(TRIM('Origin Costs'!$A$49:$A$88))=UPPER(TRIM(J388)))*'Origin Costs'!$C$49:$C$88),IF(TRIM(F388)="ICD Dhannad",SUMPRODUCT((UPPER(TRIM('Origin Costs'!$A$93:$A$132))=UPPER(TRIM(J388)))*'Origin Costs'!$C$93:$C$132),0))),0)</f>
        <v>1168.8222222222223</v>
      </c>
      <c r="P388" s="42">
        <f t="shared" si="6"/>
        <v>1168.8222222222223</v>
      </c>
      <c r="Q388" s="13" t="str">
        <f>IF(OR(Dashboard!$C$4="All Customers",$E388=Dashboard!$C$4),IF($E388="","",$P388+ROW()/10000000),"")</f>
        <v/>
      </c>
    </row>
    <row r="389" spans="1:17" ht="14.25" customHeight="1" x14ac:dyDescent="0.3">
      <c r="A389" s="43" t="str">
        <f>IFERROR("FY"&amp;TEXT(MOD(IF(MONTH(Sheet1!A389)&gt;=4,YEAR(Sheet1!A389),YEAR(Sheet1!A389)-1),100),"00")&amp;"-"&amp;TEXT(MOD(IF(MONTH(Sheet1!A389)&gt;=4,YEAR(Sheet1!A389),YEAR(Sheet1!A389)-1)+1,100),"00"),"")</f>
        <v>FY25-26</v>
      </c>
      <c r="B389" s="44" t="str">
        <f>IFERROR("Q"&amp;IF(MONTH(Sheet1!A389)&gt;=4,IF(MONTH(Sheet1!A389)&lt;=6,1,IF(MONTH(Sheet1!A389)&lt;=9,2,3)),4),"")</f>
        <v>Q4</v>
      </c>
      <c r="C389" s="43" t="str">
        <f>IFERROR(Sheet1!C389,0)</f>
        <v>CIS</v>
      </c>
      <c r="D389" s="43" t="str">
        <f>IFERROR(Sheet1!F389,0)</f>
        <v>Russia</v>
      </c>
      <c r="E389" s="43" t="str">
        <f>IFERROR(Sheet1!E389,0)</f>
        <v>STALKER LTD, Russia</v>
      </c>
      <c r="F389" s="43" t="str">
        <f>IFERROR(IF(UPPER(TRIM(Sheet1!J389))="NH","Nhava Sheva",IF(UPPER(TRIM(Sheet1!J389))="ICD","ICD Dhannad",IF(UPPER(TRIM(Sheet1!J389))="TIHI","ICD Tihi",Sheet1!J389))),0)</f>
        <v>Nhava Sheva</v>
      </c>
      <c r="G389" s="43" t="str">
        <f>IFERROR(Sheet1!M389,0)</f>
        <v>NOVOROSSIYSK</v>
      </c>
      <c r="H389" s="43" t="str">
        <f>IFERROR(Sheet1!H389,0)</f>
        <v>Prologis Freight</v>
      </c>
      <c r="I389" s="43" t="str">
        <f>IFERROR(Sheet1!G389,0)</f>
        <v>CFR</v>
      </c>
      <c r="J389" s="43" t="str">
        <f>IFERROR(Sheet1!K389,0)</f>
        <v>Akkon</v>
      </c>
      <c r="K389" s="45">
        <f>IFERROR(Sheet1!A389,0)</f>
        <v>46059</v>
      </c>
      <c r="L389" s="45">
        <f>IFERROR(Sheet1!I389,0)</f>
        <v>46058</v>
      </c>
      <c r="M389" s="47" t="str">
        <f>IFERROR(Sheet1!P389,0)</f>
        <v>NA</v>
      </c>
      <c r="N389" s="46">
        <f>IFERROR(IF(ISNUMBER(Sheet1!N389),Sheet1!N389,0),0)</f>
        <v>2790</v>
      </c>
      <c r="O389" s="46">
        <f>IFERROR(IF(TRIM(F389)="Nhava Sheva",SUMPRODUCT((UPPER(TRIM('Origin Costs'!$A$5:$A$44))=UPPER(TRIM(J389)))*'Origin Costs'!$C$5:$C$44),IF(TRIM(F389)="ICD Tihi",SUMPRODUCT((UPPER(TRIM('Origin Costs'!$A$49:$A$88))=UPPER(TRIM(J389)))*'Origin Costs'!$C$49:$C$88),IF(TRIM(F389)="ICD Dhannad",SUMPRODUCT((UPPER(TRIM('Origin Costs'!$A$93:$A$132))=UPPER(TRIM(J389)))*'Origin Costs'!$C$93:$C$132),0))),0)</f>
        <v>0</v>
      </c>
      <c r="P389" s="46">
        <f t="shared" si="6"/>
        <v>2790</v>
      </c>
      <c r="Q389" s="13" t="str">
        <f>IF(OR(Dashboard!$C$4="All Customers",$E389=Dashboard!$C$4),IF($E389="","",$P389+ROW()/10000000),"")</f>
        <v/>
      </c>
    </row>
    <row r="390" spans="1:17" ht="14.25" customHeight="1" x14ac:dyDescent="0.3">
      <c r="A390" s="39" t="str">
        <f>IFERROR("FY"&amp;TEXT(MOD(IF(MONTH(Sheet1!A390)&gt;=4,YEAR(Sheet1!A390),YEAR(Sheet1!A390)-1),100),"00")&amp;"-"&amp;TEXT(MOD(IF(MONTH(Sheet1!A390)&gt;=4,YEAR(Sheet1!A390),YEAR(Sheet1!A390)-1)+1,100),"00"),"")</f>
        <v>FY25-26</v>
      </c>
      <c r="B390" s="40" t="str">
        <f>IFERROR("Q"&amp;IF(MONTH(Sheet1!A390)&gt;=4,IF(MONTH(Sheet1!A390)&lt;=6,1,IF(MONTH(Sheet1!A390)&lt;=9,2,3)),4),"")</f>
        <v>Q4</v>
      </c>
      <c r="C390" s="39" t="str">
        <f>IFERROR(Sheet1!C390,0)</f>
        <v>S.A</v>
      </c>
      <c r="D390" s="39" t="str">
        <f>IFERROR(Sheet1!F390,0)</f>
        <v>Columbia</v>
      </c>
      <c r="E390" s="39" t="str">
        <f>IFERROR(Sheet1!E390,0)</f>
        <v>REDLLANTAS S.A</v>
      </c>
      <c r="F390" s="39" t="str">
        <f>IFERROR(IF(UPPER(TRIM(Sheet1!J390))="NH","Nhava Sheva",IF(UPPER(TRIM(Sheet1!J390))="ICD","ICD Dhannad",IF(UPPER(TRIM(Sheet1!J390))="TIHI","ICD Tihi",Sheet1!J390))),0)</f>
        <v>Nhava Sheva</v>
      </c>
      <c r="G390" s="39" t="str">
        <f>IFERROR(Sheet1!M390,0)</f>
        <v>Buenaventura</v>
      </c>
      <c r="H390" s="39" t="str">
        <f>IFERROR(Sheet1!H390,0)</f>
        <v>Mentor Freight</v>
      </c>
      <c r="I390" s="39" t="str">
        <f>IFERROR(Sheet1!G390,0)</f>
        <v>FOB</v>
      </c>
      <c r="J390" s="39" t="str">
        <f>IFERROR(Sheet1!K390,0)</f>
        <v>MSC</v>
      </c>
      <c r="K390" s="41">
        <f>IFERROR(Sheet1!A390,0)</f>
        <v>46060</v>
      </c>
      <c r="L390" s="41">
        <f>IFERROR(Sheet1!I390,0)</f>
        <v>46058</v>
      </c>
      <c r="M390" s="47" t="str">
        <f>IFERROR(Sheet1!P390,0)</f>
        <v>NA</v>
      </c>
      <c r="N390" s="42">
        <f>IFERROR(IF(ISNUMBER(Sheet1!N390),Sheet1!N390,0),0)</f>
        <v>0</v>
      </c>
      <c r="O390" s="42">
        <f>IFERROR(IF(TRIM(F390)="Nhava Sheva",SUMPRODUCT((UPPER(TRIM('Origin Costs'!$A$5:$A$44))=UPPER(TRIM(J390)))*'Origin Costs'!$C$5:$C$44),IF(TRIM(F390)="ICD Tihi",SUMPRODUCT((UPPER(TRIM('Origin Costs'!$A$49:$A$88))=UPPER(TRIM(J390)))*'Origin Costs'!$C$49:$C$88),IF(TRIM(F390)="ICD Dhannad",SUMPRODUCT((UPPER(TRIM('Origin Costs'!$A$93:$A$132))=UPPER(TRIM(J390)))*'Origin Costs'!$C$93:$C$132),0))),0)</f>
        <v>1168.8222222222223</v>
      </c>
      <c r="P390" s="42">
        <f t="shared" si="6"/>
        <v>1168.8222222222223</v>
      </c>
      <c r="Q390" s="13" t="str">
        <f>IF(OR(Dashboard!$C$4="All Customers",$E390=Dashboard!$C$4),IF($E390="","",$P390+ROW()/10000000),"")</f>
        <v/>
      </c>
    </row>
    <row r="391" spans="1:17" ht="14.25" customHeight="1" x14ac:dyDescent="0.3">
      <c r="A391" s="43" t="str">
        <f>IFERROR("FY"&amp;TEXT(MOD(IF(MONTH(Sheet1!A391)&gt;=4,YEAR(Sheet1!A391),YEAR(Sheet1!A391)-1),100),"00")&amp;"-"&amp;TEXT(MOD(IF(MONTH(Sheet1!A391)&gt;=4,YEAR(Sheet1!A391),YEAR(Sheet1!A391)-1)+1,100),"00"),"")</f>
        <v>FY25-26</v>
      </c>
      <c r="B391" s="44" t="str">
        <f>IFERROR("Q"&amp;IF(MONTH(Sheet1!A391)&gt;=4,IF(MONTH(Sheet1!A391)&lt;=6,1,IF(MONTH(Sheet1!A391)&lt;=9,2,3)),4),"")</f>
        <v>Q4</v>
      </c>
      <c r="C391" s="43" t="str">
        <f>IFERROR(Sheet1!C391,0)</f>
        <v>S.A</v>
      </c>
      <c r="D391" s="43" t="str">
        <f>IFERROR(Sheet1!F391,0)</f>
        <v>Columbia</v>
      </c>
      <c r="E391" s="43" t="str">
        <f>IFERROR(Sheet1!E391,0)</f>
        <v>REDLLANTAS S.A</v>
      </c>
      <c r="F391" s="43" t="str">
        <f>IFERROR(IF(UPPER(TRIM(Sheet1!J391))="NH","Nhava Sheva",IF(UPPER(TRIM(Sheet1!J391))="ICD","ICD Dhannad",IF(UPPER(TRIM(Sheet1!J391))="TIHI","ICD Tihi",Sheet1!J391))),0)</f>
        <v>Nhava Sheva</v>
      </c>
      <c r="G391" s="43" t="str">
        <f>IFERROR(Sheet1!M391,0)</f>
        <v>Buenaventura</v>
      </c>
      <c r="H391" s="43" t="str">
        <f>IFERROR(Sheet1!H391,0)</f>
        <v>Mentor Freight</v>
      </c>
      <c r="I391" s="43" t="str">
        <f>IFERROR(Sheet1!G391,0)</f>
        <v>FOB</v>
      </c>
      <c r="J391" s="43" t="str">
        <f>IFERROR(Sheet1!K391,0)</f>
        <v>MSC</v>
      </c>
      <c r="K391" s="45">
        <f>IFERROR(Sheet1!A391,0)</f>
        <v>46060</v>
      </c>
      <c r="L391" s="45">
        <f>IFERROR(Sheet1!I391,0)</f>
        <v>46058</v>
      </c>
      <c r="M391" s="47" t="str">
        <f>IFERROR(Sheet1!P391,0)</f>
        <v>NA</v>
      </c>
      <c r="N391" s="46">
        <f>IFERROR(IF(ISNUMBER(Sheet1!N391),Sheet1!N391,0),0)</f>
        <v>0</v>
      </c>
      <c r="O391" s="46">
        <f>IFERROR(IF(TRIM(F391)="Nhava Sheva",SUMPRODUCT((UPPER(TRIM('Origin Costs'!$A$5:$A$44))=UPPER(TRIM(J391)))*'Origin Costs'!$C$5:$C$44),IF(TRIM(F391)="ICD Tihi",SUMPRODUCT((UPPER(TRIM('Origin Costs'!$A$49:$A$88))=UPPER(TRIM(J391)))*'Origin Costs'!$C$49:$C$88),IF(TRIM(F391)="ICD Dhannad",SUMPRODUCT((UPPER(TRIM('Origin Costs'!$A$93:$A$132))=UPPER(TRIM(J391)))*'Origin Costs'!$C$93:$C$132),0))),0)</f>
        <v>1168.8222222222223</v>
      </c>
      <c r="P391" s="46">
        <f t="shared" si="6"/>
        <v>1168.8222222222223</v>
      </c>
      <c r="Q391" s="13" t="str">
        <f>IF(OR(Dashboard!$C$4="All Customers",$E391=Dashboard!$C$4),IF($E391="","",$P391+ROW()/10000000),"")</f>
        <v/>
      </c>
    </row>
    <row r="392" spans="1:17" ht="14.25" customHeight="1" x14ac:dyDescent="0.3">
      <c r="A392" s="39" t="str">
        <f>IFERROR("FY"&amp;TEXT(MOD(IF(MONTH(Sheet1!A392)&gt;=4,YEAR(Sheet1!A392),YEAR(Sheet1!A392)-1),100),"00")&amp;"-"&amp;TEXT(MOD(IF(MONTH(Sheet1!A392)&gt;=4,YEAR(Sheet1!A392),YEAR(Sheet1!A392)-1)+1,100),"00"),"")</f>
        <v>FY25-26</v>
      </c>
      <c r="B392" s="40" t="str">
        <f>IFERROR("Q"&amp;IF(MONTH(Sheet1!A392)&gt;=4,IF(MONTH(Sheet1!A392)&lt;=6,1,IF(MONTH(Sheet1!A392)&lt;=9,2,3)),4),"")</f>
        <v>Q4</v>
      </c>
      <c r="C392" s="39" t="str">
        <f>IFERROR(Sheet1!C392,0)</f>
        <v>MEA</v>
      </c>
      <c r="D392" s="39" t="str">
        <f>IFERROR(Sheet1!F392,0)</f>
        <v>UAE</v>
      </c>
      <c r="E392" s="39" t="str">
        <f>IFERROR(Sheet1!E392,0)</f>
        <v>ABDUL ZAHIR BASHIR Automotive Trading</v>
      </c>
      <c r="F392" s="39" t="str">
        <f>IFERROR(IF(UPPER(TRIM(Sheet1!J392))="NH","Nhava Sheva",IF(UPPER(TRIM(Sheet1!J392))="ICD","ICD Dhannad",IF(UPPER(TRIM(Sheet1!J392))="TIHI","ICD Tihi",Sheet1!J392))),0)</f>
        <v>Nhava Sheva</v>
      </c>
      <c r="G392" s="39" t="str">
        <f>IFERROR(Sheet1!M392,0)</f>
        <v>Jebel Ali</v>
      </c>
      <c r="H392" s="39" t="str">
        <f>IFERROR(Sheet1!H392,0)</f>
        <v>DP World</v>
      </c>
      <c r="I392" s="39" t="str">
        <f>IFERROR(Sheet1!G392,0)</f>
        <v>CIF</v>
      </c>
      <c r="J392" s="39" t="str">
        <f>IFERROR(Sheet1!K392,0)</f>
        <v>Unifeeder</v>
      </c>
      <c r="K392" s="41">
        <f>IFERROR(Sheet1!A392,0)</f>
        <v>46064</v>
      </c>
      <c r="L392" s="41">
        <f>IFERROR(Sheet1!I392,0)</f>
        <v>46062</v>
      </c>
      <c r="M392" s="47" t="str">
        <f>IFERROR(Sheet1!P392,0)</f>
        <v>NA</v>
      </c>
      <c r="N392" s="42">
        <f>IFERROR(IF(ISNUMBER(Sheet1!N392),Sheet1!N392,0),0)</f>
        <v>247</v>
      </c>
      <c r="O392" s="42">
        <f>IFERROR(IF(TRIM(F392)="Nhava Sheva",SUMPRODUCT((UPPER(TRIM('Origin Costs'!$A$5:$A$44))=UPPER(TRIM(J392)))*'Origin Costs'!$C$5:$C$44),IF(TRIM(F392)="ICD Tihi",SUMPRODUCT((UPPER(TRIM('Origin Costs'!$A$49:$A$88))=UPPER(TRIM(J392)))*'Origin Costs'!$C$49:$C$88),IF(TRIM(F392)="ICD Dhannad",SUMPRODUCT((UPPER(TRIM('Origin Costs'!$A$93:$A$132))=UPPER(TRIM(J392)))*'Origin Costs'!$C$93:$C$132),0))),0)</f>
        <v>0</v>
      </c>
      <c r="P392" s="42">
        <f t="shared" si="6"/>
        <v>247</v>
      </c>
      <c r="Q392" s="13" t="str">
        <f>IF(OR(Dashboard!$C$4="All Customers",$E392=Dashboard!$C$4),IF($E392="","",$P392+ROW()/10000000),"")</f>
        <v/>
      </c>
    </row>
    <row r="393" spans="1:17" ht="14.25" customHeight="1" x14ac:dyDescent="0.3">
      <c r="A393" s="43" t="str">
        <f>IFERROR("FY"&amp;TEXT(MOD(IF(MONTH(Sheet1!A393)&gt;=4,YEAR(Sheet1!A393),YEAR(Sheet1!A393)-1),100),"00")&amp;"-"&amp;TEXT(MOD(IF(MONTH(Sheet1!A393)&gt;=4,YEAR(Sheet1!A393),YEAR(Sheet1!A393)-1)+1,100),"00"),"")</f>
        <v>FY25-26</v>
      </c>
      <c r="B393" s="44" t="str">
        <f>IFERROR("Q"&amp;IF(MONTH(Sheet1!A393)&gt;=4,IF(MONTH(Sheet1!A393)&lt;=6,1,IF(MONTH(Sheet1!A393)&lt;=9,2,3)),4),"")</f>
        <v>Q4</v>
      </c>
      <c r="C393" s="43" t="str">
        <f>IFERROR(Sheet1!C393,0)</f>
        <v>S.A</v>
      </c>
      <c r="D393" s="43" t="str">
        <f>IFERROR(Sheet1!F393,0)</f>
        <v>Mexico</v>
      </c>
      <c r="E393" s="43" t="str">
        <f>IFERROR(Sheet1!E393,0)</f>
        <v>PC Tyres, Mexico</v>
      </c>
      <c r="F393" s="43" t="str">
        <f>IFERROR(IF(UPPER(TRIM(Sheet1!J393))="NH","Nhava Sheva",IF(UPPER(TRIM(Sheet1!J393))="ICD","ICD Dhannad",IF(UPPER(TRIM(Sheet1!J393))="TIHI","ICD Tihi",Sheet1!J393))),0)</f>
        <v>Nhava Sheva</v>
      </c>
      <c r="G393" s="43" t="str">
        <f>IFERROR(Sheet1!M393,0)</f>
        <v>Manzanillo</v>
      </c>
      <c r="H393" s="43" t="str">
        <f>IFERROR(Sheet1!H393,0)</f>
        <v>Liyana Logistics</v>
      </c>
      <c r="I393" s="43" t="str">
        <f>IFERROR(Sheet1!G393,0)</f>
        <v>FOB</v>
      </c>
      <c r="J393" s="43" t="str">
        <f>IFERROR(Sheet1!K393,0)</f>
        <v>Evergreen</v>
      </c>
      <c r="K393" s="45">
        <f>IFERROR(Sheet1!A393,0)</f>
        <v>46065</v>
      </c>
      <c r="L393" s="45">
        <f>IFERROR(Sheet1!I393,0)</f>
        <v>46063</v>
      </c>
      <c r="M393" s="47" t="str">
        <f>IFERROR(Sheet1!P393,0)</f>
        <v>NA</v>
      </c>
      <c r="N393" s="46">
        <f>IFERROR(IF(ISNUMBER(Sheet1!N393),Sheet1!N393,0),0)</f>
        <v>0</v>
      </c>
      <c r="O393" s="46">
        <f>IFERROR(IF(TRIM(F393)="Nhava Sheva",SUMPRODUCT((UPPER(TRIM('Origin Costs'!$A$5:$A$44))=UPPER(TRIM(J393)))*'Origin Costs'!$C$5:$C$44),IF(TRIM(F393)="ICD Tihi",SUMPRODUCT((UPPER(TRIM('Origin Costs'!$A$49:$A$88))=UPPER(TRIM(J393)))*'Origin Costs'!$C$49:$C$88),IF(TRIM(F393)="ICD Dhannad",SUMPRODUCT((UPPER(TRIM('Origin Costs'!$A$93:$A$132))=UPPER(TRIM(J393)))*'Origin Costs'!$C$93:$C$132),0))),0)</f>
        <v>0</v>
      </c>
      <c r="P393" s="46">
        <f t="shared" si="6"/>
        <v>0</v>
      </c>
      <c r="Q393" s="13" t="str">
        <f>IF(OR(Dashboard!$C$4="All Customers",$E393=Dashboard!$C$4),IF($E393="","",$P393+ROW()/10000000),"")</f>
        <v/>
      </c>
    </row>
    <row r="394" spans="1:17" ht="14.25" customHeight="1" x14ac:dyDescent="0.3">
      <c r="A394" s="39" t="str">
        <f>IFERROR("FY"&amp;TEXT(MOD(IF(MONTH(Sheet1!A394)&gt;=4,YEAR(Sheet1!A394),YEAR(Sheet1!A394)-1),100),"00")&amp;"-"&amp;TEXT(MOD(IF(MONTH(Sheet1!A394)&gt;=4,YEAR(Sheet1!A394),YEAR(Sheet1!A394)-1)+1,100),"00"),"")</f>
        <v>FY25-26</v>
      </c>
      <c r="B394" s="40" t="str">
        <f>IFERROR("Q"&amp;IF(MONTH(Sheet1!A394)&gt;=4,IF(MONTH(Sheet1!A394)&lt;=6,1,IF(MONTH(Sheet1!A394)&lt;=9,2,3)),4),"")</f>
        <v>Q4</v>
      </c>
      <c r="C394" s="39" t="str">
        <f>IFERROR(Sheet1!C394,0)</f>
        <v>CIS</v>
      </c>
      <c r="D394" s="39" t="str">
        <f>IFERROR(Sheet1!F394,0)</f>
        <v>Russia</v>
      </c>
      <c r="E394" s="39" t="str">
        <f>IFERROR(Sheet1!E394,0)</f>
        <v>STALKER LTD, Russia</v>
      </c>
      <c r="F394" s="39" t="str">
        <f>IFERROR(IF(UPPER(TRIM(Sheet1!J394))="NH","Nhava Sheva",IF(UPPER(TRIM(Sheet1!J394))="ICD","ICD Dhannad",IF(UPPER(TRIM(Sheet1!J394))="TIHI","ICD Tihi",Sheet1!J394))),0)</f>
        <v>Nhava Sheva</v>
      </c>
      <c r="G394" s="39" t="str">
        <f>IFERROR(Sheet1!M394,0)</f>
        <v>NOVOROSSIYSK</v>
      </c>
      <c r="H394" s="39" t="str">
        <f>IFERROR(Sheet1!H394,0)</f>
        <v>Vaaridhi</v>
      </c>
      <c r="I394" s="39" t="str">
        <f>IFERROR(Sheet1!G394,0)</f>
        <v>CFR</v>
      </c>
      <c r="J394" s="39" t="str">
        <f>IFERROR(Sheet1!K394,0)</f>
        <v>SJ line</v>
      </c>
      <c r="K394" s="41">
        <f>IFERROR(Sheet1!A394,0)</f>
        <v>46065</v>
      </c>
      <c r="L394" s="41">
        <f>IFERROR(Sheet1!I394,0)</f>
        <v>46066</v>
      </c>
      <c r="M394" s="47" t="str">
        <f>IFERROR(Sheet1!P394,0)</f>
        <v>NA</v>
      </c>
      <c r="N394" s="42">
        <f>IFERROR(IF(ISNUMBER(Sheet1!N394),Sheet1!N394,0),0)</f>
        <v>3100</v>
      </c>
      <c r="O394" s="42">
        <f>IFERROR(IF(TRIM(F394)="Nhava Sheva",SUMPRODUCT((UPPER(TRIM('Origin Costs'!$A$5:$A$44))=UPPER(TRIM(J394)))*'Origin Costs'!$C$5:$C$44),IF(TRIM(F394)="ICD Tihi",SUMPRODUCT((UPPER(TRIM('Origin Costs'!$A$49:$A$88))=UPPER(TRIM(J394)))*'Origin Costs'!$C$49:$C$88),IF(TRIM(F394)="ICD Dhannad",SUMPRODUCT((UPPER(TRIM('Origin Costs'!$A$93:$A$132))=UPPER(TRIM(J394)))*'Origin Costs'!$C$93:$C$132),0))),0)</f>
        <v>0</v>
      </c>
      <c r="P394" s="42">
        <f t="shared" si="6"/>
        <v>3100</v>
      </c>
      <c r="Q394" s="13" t="str">
        <f>IF(OR(Dashboard!$C$4="All Customers",$E394=Dashboard!$C$4),IF($E394="","",$P394+ROW()/10000000),"")</f>
        <v/>
      </c>
    </row>
    <row r="395" spans="1:17" ht="14.25" customHeight="1" x14ac:dyDescent="0.3">
      <c r="A395" s="43" t="str">
        <f>IFERROR("FY"&amp;TEXT(MOD(IF(MONTH(Sheet1!A395)&gt;=4,YEAR(Sheet1!A395),YEAR(Sheet1!A395)-1),100),"00")&amp;"-"&amp;TEXT(MOD(IF(MONTH(Sheet1!A395)&gt;=4,YEAR(Sheet1!A395),YEAR(Sheet1!A395)-1)+1,100),"00"),"")</f>
        <v>FY25-26</v>
      </c>
      <c r="B395" s="44" t="str">
        <f>IFERROR("Q"&amp;IF(MONTH(Sheet1!A395)&gt;=4,IF(MONTH(Sheet1!A395)&lt;=6,1,IF(MONTH(Sheet1!A395)&lt;=9,2,3)),4),"")</f>
        <v>Q4</v>
      </c>
      <c r="C395" s="43" t="str">
        <f>IFERROR(Sheet1!C395,0)</f>
        <v>Europe</v>
      </c>
      <c r="D395" s="43" t="str">
        <f>IFERROR(Sheet1!F395,0)</f>
        <v>Poland</v>
      </c>
      <c r="E395" s="43" t="str">
        <f>IFERROR(Sheet1!E395,0)</f>
        <v>Inter Cars S.A., Poland</v>
      </c>
      <c r="F395" s="43" t="str">
        <f>IFERROR(IF(UPPER(TRIM(Sheet1!J395))="NH","Nhava Sheva",IF(UPPER(TRIM(Sheet1!J395))="ICD","ICD Dhannad",IF(UPPER(TRIM(Sheet1!J395))="TIHI","ICD Tihi",Sheet1!J395))),0)</f>
        <v>Nhava Sheva</v>
      </c>
      <c r="G395" s="43" t="str">
        <f>IFERROR(Sheet1!M395,0)</f>
        <v>Gdansk</v>
      </c>
      <c r="H395" s="43" t="str">
        <f>IFERROR(Sheet1!H395,0)</f>
        <v>Ligentia Global</v>
      </c>
      <c r="I395" s="43" t="str">
        <f>IFERROR(Sheet1!G395,0)</f>
        <v>FOB</v>
      </c>
      <c r="J395" s="43" t="str">
        <f>IFERROR(Sheet1!K395,0)</f>
        <v>MSC</v>
      </c>
      <c r="K395" s="45">
        <f>IFERROR(Sheet1!A395,0)</f>
        <v>46067</v>
      </c>
      <c r="L395" s="45">
        <f>IFERROR(Sheet1!I395,0)</f>
        <v>46065</v>
      </c>
      <c r="M395" s="47" t="str">
        <f>IFERROR(Sheet1!P395,0)</f>
        <v>NA</v>
      </c>
      <c r="N395" s="46">
        <f>IFERROR(IF(ISNUMBER(Sheet1!N395),Sheet1!N395,0),0)</f>
        <v>0</v>
      </c>
      <c r="O395" s="46">
        <f>IFERROR(IF(TRIM(F395)="Nhava Sheva",SUMPRODUCT((UPPER(TRIM('Origin Costs'!$A$5:$A$44))=UPPER(TRIM(J395)))*'Origin Costs'!$C$5:$C$44),IF(TRIM(F395)="ICD Tihi",SUMPRODUCT((UPPER(TRIM('Origin Costs'!$A$49:$A$88))=UPPER(TRIM(J395)))*'Origin Costs'!$C$49:$C$88),IF(TRIM(F395)="ICD Dhannad",SUMPRODUCT((UPPER(TRIM('Origin Costs'!$A$93:$A$132))=UPPER(TRIM(J395)))*'Origin Costs'!$C$93:$C$132),0))),0)</f>
        <v>1168.8222222222223</v>
      </c>
      <c r="P395" s="46">
        <f t="shared" si="6"/>
        <v>1168.8222222222223</v>
      </c>
      <c r="Q395" s="13" t="str">
        <f>IF(OR(Dashboard!$C$4="All Customers",$E395=Dashboard!$C$4),IF($E395="","",$P395+ROW()/10000000),"")</f>
        <v/>
      </c>
    </row>
    <row r="396" spans="1:17" ht="14.25" customHeight="1" x14ac:dyDescent="0.3">
      <c r="A396" s="39" t="str">
        <f>IFERROR("FY"&amp;TEXT(MOD(IF(MONTH(Sheet1!A396)&gt;=4,YEAR(Sheet1!A396),YEAR(Sheet1!A396)-1),100),"00")&amp;"-"&amp;TEXT(MOD(IF(MONTH(Sheet1!A396)&gt;=4,YEAR(Sheet1!A396),YEAR(Sheet1!A396)-1)+1,100),"00"),"")</f>
        <v>FY25-26</v>
      </c>
      <c r="B396" s="40" t="str">
        <f>IFERROR("Q"&amp;IF(MONTH(Sheet1!A396)&gt;=4,IF(MONTH(Sheet1!A396)&lt;=6,1,IF(MONTH(Sheet1!A396)&lt;=9,2,3)),4),"")</f>
        <v>Q4</v>
      </c>
      <c r="C396" s="39" t="str">
        <f>IFERROR(Sheet1!C396,0)</f>
        <v>Europe</v>
      </c>
      <c r="D396" s="39" t="str">
        <f>IFERROR(Sheet1!F396,0)</f>
        <v>Poland</v>
      </c>
      <c r="E396" s="39" t="str">
        <f>IFERROR(Sheet1!E396,0)</f>
        <v>Inter Cars S.A., Poland</v>
      </c>
      <c r="F396" s="39" t="str">
        <f>IFERROR(IF(UPPER(TRIM(Sheet1!J396))="NH","Nhava Sheva",IF(UPPER(TRIM(Sheet1!J396))="ICD","ICD Dhannad",IF(UPPER(TRIM(Sheet1!J396))="TIHI","ICD Tihi",Sheet1!J396))),0)</f>
        <v>Nhava Sheva</v>
      </c>
      <c r="G396" s="39" t="str">
        <f>IFERROR(Sheet1!M396,0)</f>
        <v>Gdansk</v>
      </c>
      <c r="H396" s="39" t="str">
        <f>IFERROR(Sheet1!H396,0)</f>
        <v>Ligentia Global</v>
      </c>
      <c r="I396" s="39" t="str">
        <f>IFERROR(Sheet1!G396,0)</f>
        <v>FOB</v>
      </c>
      <c r="J396" s="39" t="str">
        <f>IFERROR(Sheet1!K396,0)</f>
        <v>MSC</v>
      </c>
      <c r="K396" s="41">
        <f>IFERROR(Sheet1!A396,0)</f>
        <v>46067</v>
      </c>
      <c r="L396" s="41">
        <f>IFERROR(Sheet1!I396,0)</f>
        <v>46065</v>
      </c>
      <c r="M396" s="47" t="str">
        <f>IFERROR(Sheet1!P396,0)</f>
        <v>NA</v>
      </c>
      <c r="N396" s="42">
        <f>IFERROR(IF(ISNUMBER(Sheet1!N396),Sheet1!N396,0),0)</f>
        <v>0</v>
      </c>
      <c r="O396" s="42">
        <f>IFERROR(IF(TRIM(F396)="Nhava Sheva",SUMPRODUCT((UPPER(TRIM('Origin Costs'!$A$5:$A$44))=UPPER(TRIM(J396)))*'Origin Costs'!$C$5:$C$44),IF(TRIM(F396)="ICD Tihi",SUMPRODUCT((UPPER(TRIM('Origin Costs'!$A$49:$A$88))=UPPER(TRIM(J396)))*'Origin Costs'!$C$49:$C$88),IF(TRIM(F396)="ICD Dhannad",SUMPRODUCT((UPPER(TRIM('Origin Costs'!$A$93:$A$132))=UPPER(TRIM(J396)))*'Origin Costs'!$C$93:$C$132),0))),0)</f>
        <v>1168.8222222222223</v>
      </c>
      <c r="P396" s="42">
        <f t="shared" si="6"/>
        <v>1168.8222222222223</v>
      </c>
      <c r="Q396" s="13" t="str">
        <f>IF(OR(Dashboard!$C$4="All Customers",$E396=Dashboard!$C$4),IF($E396="","",$P396+ROW()/10000000),"")</f>
        <v/>
      </c>
    </row>
    <row r="397" spans="1:17" ht="14.25" customHeight="1" x14ac:dyDescent="0.3">
      <c r="A397" s="43" t="str">
        <f>IFERROR("FY"&amp;TEXT(MOD(IF(MONTH(Sheet1!A397)&gt;=4,YEAR(Sheet1!A397),YEAR(Sheet1!A397)-1),100),"00")&amp;"-"&amp;TEXT(MOD(IF(MONTH(Sheet1!A397)&gt;=4,YEAR(Sheet1!A397),YEAR(Sheet1!A397)-1)+1,100),"00"),"")</f>
        <v>FY25-26</v>
      </c>
      <c r="B397" s="44" t="str">
        <f>IFERROR("Q"&amp;IF(MONTH(Sheet1!A397)&gt;=4,IF(MONTH(Sheet1!A397)&lt;=6,1,IF(MONTH(Sheet1!A397)&lt;=9,2,3)),4),"")</f>
        <v>Q4</v>
      </c>
      <c r="C397" s="43" t="str">
        <f>IFERROR(Sheet1!C397,0)</f>
        <v>Europe</v>
      </c>
      <c r="D397" s="43" t="str">
        <f>IFERROR(Sheet1!F397,0)</f>
        <v>Poland</v>
      </c>
      <c r="E397" s="43" t="str">
        <f>IFERROR(Sheet1!E397,0)</f>
        <v>Inter Cars S.A., Poland</v>
      </c>
      <c r="F397" s="43" t="str">
        <f>IFERROR(IF(UPPER(TRIM(Sheet1!J397))="NH","Nhava Sheva",IF(UPPER(TRIM(Sheet1!J397))="ICD","ICD Dhannad",IF(UPPER(TRIM(Sheet1!J397))="TIHI","ICD Tihi",Sheet1!J397))),0)</f>
        <v>Nhava Sheva</v>
      </c>
      <c r="G397" s="43" t="str">
        <f>IFERROR(Sheet1!M397,0)</f>
        <v>Gdansk</v>
      </c>
      <c r="H397" s="43" t="str">
        <f>IFERROR(Sheet1!H397,0)</f>
        <v>Ligentia Global</v>
      </c>
      <c r="I397" s="43" t="str">
        <f>IFERROR(Sheet1!G397,0)</f>
        <v>FOB</v>
      </c>
      <c r="J397" s="43" t="str">
        <f>IFERROR(Sheet1!K397,0)</f>
        <v>MSC</v>
      </c>
      <c r="K397" s="45">
        <f>IFERROR(Sheet1!A397,0)</f>
        <v>46067</v>
      </c>
      <c r="L397" s="45">
        <f>IFERROR(Sheet1!I397,0)</f>
        <v>46065</v>
      </c>
      <c r="M397" s="47" t="str">
        <f>IFERROR(Sheet1!P397,0)</f>
        <v>NA</v>
      </c>
      <c r="N397" s="46">
        <f>IFERROR(IF(ISNUMBER(Sheet1!N397),Sheet1!N397,0),0)</f>
        <v>0</v>
      </c>
      <c r="O397" s="46">
        <f>IFERROR(IF(TRIM(F397)="Nhava Sheva",SUMPRODUCT((UPPER(TRIM('Origin Costs'!$A$5:$A$44))=UPPER(TRIM(J397)))*'Origin Costs'!$C$5:$C$44),IF(TRIM(F397)="ICD Tihi",SUMPRODUCT((UPPER(TRIM('Origin Costs'!$A$49:$A$88))=UPPER(TRIM(J397)))*'Origin Costs'!$C$49:$C$88),IF(TRIM(F397)="ICD Dhannad",SUMPRODUCT((UPPER(TRIM('Origin Costs'!$A$93:$A$132))=UPPER(TRIM(J397)))*'Origin Costs'!$C$93:$C$132),0))),0)</f>
        <v>1168.8222222222223</v>
      </c>
      <c r="P397" s="46">
        <f t="shared" si="6"/>
        <v>1168.8222222222223</v>
      </c>
      <c r="Q397" s="13" t="str">
        <f>IF(OR(Dashboard!$C$4="All Customers",$E397=Dashboard!$C$4),IF($E397="","",$P397+ROW()/10000000),"")</f>
        <v/>
      </c>
    </row>
    <row r="398" spans="1:17" ht="14.25" customHeight="1" x14ac:dyDescent="0.3">
      <c r="A398" s="39" t="str">
        <f>IFERROR("FY"&amp;TEXT(MOD(IF(MONTH(Sheet1!A398)&gt;=4,YEAR(Sheet1!A398),YEAR(Sheet1!A398)-1),100),"00")&amp;"-"&amp;TEXT(MOD(IF(MONTH(Sheet1!A398)&gt;=4,YEAR(Sheet1!A398),YEAR(Sheet1!A398)-1)+1,100),"00"),"")</f>
        <v>FY25-26</v>
      </c>
      <c r="B398" s="40" t="str">
        <f>IFERROR("Q"&amp;IF(MONTH(Sheet1!A398)&gt;=4,IF(MONTH(Sheet1!A398)&lt;=6,1,IF(MONTH(Sheet1!A398)&lt;=9,2,3)),4),"")</f>
        <v>Q4</v>
      </c>
      <c r="C398" s="39" t="str">
        <f>IFERROR(Sheet1!C398,0)</f>
        <v>S.A</v>
      </c>
      <c r="D398" s="39" t="str">
        <f>IFERROR(Sheet1!F398,0)</f>
        <v>Columbia</v>
      </c>
      <c r="E398" s="39" t="str">
        <f>IFERROR(Sheet1!E398,0)</f>
        <v>Acostallantas S.A, Colombia</v>
      </c>
      <c r="F398" s="39" t="str">
        <f>IFERROR(IF(UPPER(TRIM(Sheet1!J398))="NH","Nhava Sheva",IF(UPPER(TRIM(Sheet1!J398))="ICD","ICD Dhannad",IF(UPPER(TRIM(Sheet1!J398))="TIHI","ICD Tihi",Sheet1!J398))),0)</f>
        <v>Nhava Sheva</v>
      </c>
      <c r="G398" s="39" t="str">
        <f>IFERROR(Sheet1!M398,0)</f>
        <v>Buenaventura</v>
      </c>
      <c r="H398" s="39" t="str">
        <f>IFERROR(Sheet1!H398,0)</f>
        <v>Clearship</v>
      </c>
      <c r="I398" s="39" t="str">
        <f>IFERROR(Sheet1!G398,0)</f>
        <v>CIF</v>
      </c>
      <c r="J398" s="39" t="str">
        <f>IFERROR(Sheet1!K398,0)</f>
        <v>Maersk</v>
      </c>
      <c r="K398" s="41">
        <f>IFERROR(Sheet1!A398,0)</f>
        <v>46068</v>
      </c>
      <c r="L398" s="41">
        <f>IFERROR(Sheet1!I398,0)</f>
        <v>46066</v>
      </c>
      <c r="M398" s="47" t="str">
        <f>IFERROR(Sheet1!P398,0)</f>
        <v>NA</v>
      </c>
      <c r="N398" s="42">
        <f>IFERROR(IF(ISNUMBER(Sheet1!N398),Sheet1!N398,0),0)</f>
        <v>1550</v>
      </c>
      <c r="O398" s="42">
        <f>IFERROR(IF(TRIM(F398)="Nhava Sheva",SUMPRODUCT((UPPER(TRIM('Origin Costs'!$A$5:$A$44))=UPPER(TRIM(J398)))*'Origin Costs'!$C$5:$C$44),IF(TRIM(F398)="ICD Tihi",SUMPRODUCT((UPPER(TRIM('Origin Costs'!$A$49:$A$88))=UPPER(TRIM(J398)))*'Origin Costs'!$C$49:$C$88),IF(TRIM(F398)="ICD Dhannad",SUMPRODUCT((UPPER(TRIM('Origin Costs'!$A$93:$A$132))=UPPER(TRIM(J398)))*'Origin Costs'!$C$93:$C$132),0))),0)</f>
        <v>1148.588888888889</v>
      </c>
      <c r="P398" s="42">
        <f t="shared" si="6"/>
        <v>2698.588888888889</v>
      </c>
      <c r="Q398" s="13">
        <f>IF(OR(Dashboard!$C$4="All Customers",$E398=Dashboard!$C$4),IF($E398="","",$P398+ROW()/10000000),"")</f>
        <v>2698.5889286888892</v>
      </c>
    </row>
    <row r="399" spans="1:17" ht="14.25" customHeight="1" x14ac:dyDescent="0.3">
      <c r="A399" s="43" t="str">
        <f>IFERROR("FY"&amp;TEXT(MOD(IF(MONTH(Sheet1!A399)&gt;=4,YEAR(Sheet1!A399),YEAR(Sheet1!A399)-1),100),"00")&amp;"-"&amp;TEXT(MOD(IF(MONTH(Sheet1!A399)&gt;=4,YEAR(Sheet1!A399),YEAR(Sheet1!A399)-1)+1,100),"00"),"")</f>
        <v>FY25-26</v>
      </c>
      <c r="B399" s="44" t="str">
        <f>IFERROR("Q"&amp;IF(MONTH(Sheet1!A399)&gt;=4,IF(MONTH(Sheet1!A399)&lt;=6,1,IF(MONTH(Sheet1!A399)&lt;=9,2,3)),4),"")</f>
        <v>Q4</v>
      </c>
      <c r="C399" s="43" t="str">
        <f>IFERROR(Sheet1!C399,0)</f>
        <v>S.A</v>
      </c>
      <c r="D399" s="43" t="str">
        <f>IFERROR(Sheet1!F399,0)</f>
        <v>Columbia</v>
      </c>
      <c r="E399" s="43" t="str">
        <f>IFERROR(Sheet1!E399,0)</f>
        <v>Acostallantas S.A, Colombia</v>
      </c>
      <c r="F399" s="43" t="str">
        <f>IFERROR(IF(UPPER(TRIM(Sheet1!J399))="NH","Nhava Sheva",IF(UPPER(TRIM(Sheet1!J399))="ICD","ICD Dhannad",IF(UPPER(TRIM(Sheet1!J399))="TIHI","ICD Tihi",Sheet1!J399))),0)</f>
        <v>Nhava Sheva</v>
      </c>
      <c r="G399" s="43" t="str">
        <f>IFERROR(Sheet1!M399,0)</f>
        <v>Buenaventura</v>
      </c>
      <c r="H399" s="43" t="str">
        <f>IFERROR(Sheet1!H399,0)</f>
        <v>Clearship</v>
      </c>
      <c r="I399" s="43" t="str">
        <f>IFERROR(Sheet1!G399,0)</f>
        <v>CIF</v>
      </c>
      <c r="J399" s="43" t="str">
        <f>IFERROR(Sheet1!K399,0)</f>
        <v>Maersk</v>
      </c>
      <c r="K399" s="45">
        <f>IFERROR(Sheet1!A399,0)</f>
        <v>46068</v>
      </c>
      <c r="L399" s="45">
        <f>IFERROR(Sheet1!I399,0)</f>
        <v>46066</v>
      </c>
      <c r="M399" s="47" t="str">
        <f>IFERROR(Sheet1!P399,0)</f>
        <v>NA</v>
      </c>
      <c r="N399" s="46">
        <f>IFERROR(IF(ISNUMBER(Sheet1!N399),Sheet1!N399,0),0)</f>
        <v>1550</v>
      </c>
      <c r="O399" s="46">
        <f>IFERROR(IF(TRIM(F399)="Nhava Sheva",SUMPRODUCT((UPPER(TRIM('Origin Costs'!$A$5:$A$44))=UPPER(TRIM(J399)))*'Origin Costs'!$C$5:$C$44),IF(TRIM(F399)="ICD Tihi",SUMPRODUCT((UPPER(TRIM('Origin Costs'!$A$49:$A$88))=UPPER(TRIM(J399)))*'Origin Costs'!$C$49:$C$88),IF(TRIM(F399)="ICD Dhannad",SUMPRODUCT((UPPER(TRIM('Origin Costs'!$A$93:$A$132))=UPPER(TRIM(J399)))*'Origin Costs'!$C$93:$C$132),0))),0)</f>
        <v>1148.588888888889</v>
      </c>
      <c r="P399" s="46">
        <f t="shared" si="6"/>
        <v>2698.588888888889</v>
      </c>
      <c r="Q399" s="13">
        <f>IF(OR(Dashboard!$C$4="All Customers",$E399=Dashboard!$C$4),IF($E399="","",$P399+ROW()/10000000),"")</f>
        <v>2698.588928788889</v>
      </c>
    </row>
    <row r="400" spans="1:17" ht="14.25" customHeight="1" x14ac:dyDescent="0.3">
      <c r="A400" s="39" t="str">
        <f>IFERROR("FY"&amp;TEXT(MOD(IF(MONTH(Sheet1!A400)&gt;=4,YEAR(Sheet1!A400),YEAR(Sheet1!A400)-1),100),"00")&amp;"-"&amp;TEXT(MOD(IF(MONTH(Sheet1!A400)&gt;=4,YEAR(Sheet1!A400),YEAR(Sheet1!A400)-1)+1,100),"00"),"")</f>
        <v>FY25-26</v>
      </c>
      <c r="B400" s="40" t="str">
        <f>IFERROR("Q"&amp;IF(MONTH(Sheet1!A400)&gt;=4,IF(MONTH(Sheet1!A400)&lt;=6,1,IF(MONTH(Sheet1!A400)&lt;=9,2,3)),4),"")</f>
        <v>Q4</v>
      </c>
      <c r="C400" s="39" t="str">
        <f>IFERROR(Sheet1!C400,0)</f>
        <v>Europe</v>
      </c>
      <c r="D400" s="39" t="str">
        <f>IFERROR(Sheet1!F400,0)</f>
        <v>Hungary</v>
      </c>
      <c r="E400" s="39" t="str">
        <f>IFERROR(Sheet1!E400,0)</f>
        <v>INTER CARS HUNGARIA KFT</v>
      </c>
      <c r="F400" s="39" t="str">
        <f>IFERROR(IF(UPPER(TRIM(Sheet1!J400))="NH","Nhava Sheva",IF(UPPER(TRIM(Sheet1!J400))="ICD","ICD Dhannad",IF(UPPER(TRIM(Sheet1!J400))="TIHI","ICD Tihi",Sheet1!J400))),0)</f>
        <v>Nhava Sheva</v>
      </c>
      <c r="G400" s="39" t="str">
        <f>IFERROR(Sheet1!M400,0)</f>
        <v>Budapest</v>
      </c>
      <c r="H400" s="39" t="str">
        <f>IFERROR(Sheet1!H400,0)</f>
        <v>Affreighter Logistics</v>
      </c>
      <c r="I400" s="39" t="str">
        <f>IFERROR(Sheet1!G400,0)</f>
        <v>FOB</v>
      </c>
      <c r="J400" s="39" t="str">
        <f>IFERROR(Sheet1!K400,0)</f>
        <v>Maersk</v>
      </c>
      <c r="K400" s="41">
        <f>IFERROR(Sheet1!A400,0)</f>
        <v>46068</v>
      </c>
      <c r="L400" s="41">
        <f>IFERROR(Sheet1!I400,0)</f>
        <v>46066</v>
      </c>
      <c r="M400" s="47" t="str">
        <f>IFERROR(Sheet1!P400,0)</f>
        <v>NA</v>
      </c>
      <c r="N400" s="42">
        <f>IFERROR(IF(ISNUMBER(Sheet1!N400),Sheet1!N400,0),0)</f>
        <v>0</v>
      </c>
      <c r="O400" s="42">
        <f>IFERROR(IF(TRIM(F400)="Nhava Sheva",SUMPRODUCT((UPPER(TRIM('Origin Costs'!$A$5:$A$44))=UPPER(TRIM(J400)))*'Origin Costs'!$C$5:$C$44),IF(TRIM(F400)="ICD Tihi",SUMPRODUCT((UPPER(TRIM('Origin Costs'!$A$49:$A$88))=UPPER(TRIM(J400)))*'Origin Costs'!$C$49:$C$88),IF(TRIM(F400)="ICD Dhannad",SUMPRODUCT((UPPER(TRIM('Origin Costs'!$A$93:$A$132))=UPPER(TRIM(J400)))*'Origin Costs'!$C$93:$C$132),0))),0)</f>
        <v>1148.588888888889</v>
      </c>
      <c r="P400" s="42">
        <f t="shared" si="6"/>
        <v>1148.588888888889</v>
      </c>
      <c r="Q400" s="13" t="str">
        <f>IF(OR(Dashboard!$C$4="All Customers",$E400=Dashboard!$C$4),IF($E400="","",$P400+ROW()/10000000),"")</f>
        <v/>
      </c>
    </row>
    <row r="401" spans="1:17" ht="14.25" customHeight="1" x14ac:dyDescent="0.3">
      <c r="A401" s="43" t="str">
        <f>IFERROR("FY"&amp;TEXT(MOD(IF(MONTH(Sheet1!A401)&gt;=4,YEAR(Sheet1!A401),YEAR(Sheet1!A401)-1),100),"00")&amp;"-"&amp;TEXT(MOD(IF(MONTH(Sheet1!A401)&gt;=4,YEAR(Sheet1!A401),YEAR(Sheet1!A401)-1)+1,100),"00"),"")</f>
        <v>FY25-26</v>
      </c>
      <c r="B401" s="44" t="str">
        <f>IFERROR("Q"&amp;IF(MONTH(Sheet1!A401)&gt;=4,IF(MONTH(Sheet1!A401)&lt;=6,1,IF(MONTH(Sheet1!A401)&lt;=9,2,3)),4),"")</f>
        <v>Q4</v>
      </c>
      <c r="C401" s="43" t="str">
        <f>IFERROR(Sheet1!C401,0)</f>
        <v>S.A</v>
      </c>
      <c r="D401" s="43" t="str">
        <f>IFERROR(Sheet1!F401,0)</f>
        <v>Peru</v>
      </c>
      <c r="E401" s="43" t="str">
        <f>IFERROR(Sheet1!E401,0)</f>
        <v>INVERSIONES Y SERVICIOS BRIFABRI E.</v>
      </c>
      <c r="F401" s="43" t="str">
        <f>IFERROR(IF(UPPER(TRIM(Sheet1!J401))="NH","Nhava Sheva",IF(UPPER(TRIM(Sheet1!J401))="ICD","ICD Dhannad",IF(UPPER(TRIM(Sheet1!J401))="TIHI","ICD Tihi",Sheet1!J401))),0)</f>
        <v>Nhava Sheva</v>
      </c>
      <c r="G401" s="43" t="str">
        <f>IFERROR(Sheet1!M401,0)</f>
        <v>Callao</v>
      </c>
      <c r="H401" s="43" t="str">
        <f>IFERROR(Sheet1!H401,0)</f>
        <v>Clearship</v>
      </c>
      <c r="I401" s="43" t="str">
        <f>IFERROR(Sheet1!G401,0)</f>
        <v>CIF</v>
      </c>
      <c r="J401" s="43" t="str">
        <f>IFERROR(Sheet1!K401,0)</f>
        <v>Maersk</v>
      </c>
      <c r="K401" s="45">
        <f>IFERROR(Sheet1!A401,0)</f>
        <v>46068</v>
      </c>
      <c r="L401" s="45">
        <f>IFERROR(Sheet1!I401,0)</f>
        <v>46066</v>
      </c>
      <c r="M401" s="47" t="str">
        <f>IFERROR(Sheet1!P401,0)</f>
        <v>NA</v>
      </c>
      <c r="N401" s="46">
        <f>IFERROR(IF(ISNUMBER(Sheet1!N401),Sheet1!N401,0),0)</f>
        <v>1525</v>
      </c>
      <c r="O401" s="46">
        <f>IFERROR(IF(TRIM(F401)="Nhava Sheva",SUMPRODUCT((UPPER(TRIM('Origin Costs'!$A$5:$A$44))=UPPER(TRIM(J401)))*'Origin Costs'!$C$5:$C$44),IF(TRIM(F401)="ICD Tihi",SUMPRODUCT((UPPER(TRIM('Origin Costs'!$A$49:$A$88))=UPPER(TRIM(J401)))*'Origin Costs'!$C$49:$C$88),IF(TRIM(F401)="ICD Dhannad",SUMPRODUCT((UPPER(TRIM('Origin Costs'!$A$93:$A$132))=UPPER(TRIM(J401)))*'Origin Costs'!$C$93:$C$132),0))),0)</f>
        <v>1148.588888888889</v>
      </c>
      <c r="P401" s="46">
        <f t="shared" si="6"/>
        <v>2673.588888888889</v>
      </c>
      <c r="Q401" s="13" t="str">
        <f>IF(OR(Dashboard!$C$4="All Customers",$E401=Dashboard!$C$4),IF($E401="","",$P401+ROW()/10000000),"")</f>
        <v/>
      </c>
    </row>
    <row r="402" spans="1:17" ht="14.25" customHeight="1" x14ac:dyDescent="0.3">
      <c r="A402" s="39" t="str">
        <f>IFERROR("FY"&amp;TEXT(MOD(IF(MONTH(Sheet1!A402)&gt;=4,YEAR(Sheet1!A402),YEAR(Sheet1!A402)-1),100),"00")&amp;"-"&amp;TEXT(MOD(IF(MONTH(Sheet1!A402)&gt;=4,YEAR(Sheet1!A402),YEAR(Sheet1!A402)-1)+1,100),"00"),"")</f>
        <v>FY25-26</v>
      </c>
      <c r="B402" s="40" t="str">
        <f>IFERROR("Q"&amp;IF(MONTH(Sheet1!A402)&gt;=4,IF(MONTH(Sheet1!A402)&lt;=6,1,IF(MONTH(Sheet1!A402)&lt;=9,2,3)),4),"")</f>
        <v>Q4</v>
      </c>
      <c r="C402" s="39" t="str">
        <f>IFERROR(Sheet1!C402,0)</f>
        <v>S.A</v>
      </c>
      <c r="D402" s="39" t="str">
        <f>IFERROR(Sheet1!F402,0)</f>
        <v>Peru</v>
      </c>
      <c r="E402" s="39" t="str">
        <f>IFERROR(Sheet1!E402,0)</f>
        <v>INVERSIONES Y SERVICIOS BRIFABRI E.</v>
      </c>
      <c r="F402" s="39" t="str">
        <f>IFERROR(IF(UPPER(TRIM(Sheet1!J402))="NH","Nhava Sheva",IF(UPPER(TRIM(Sheet1!J402))="ICD","ICD Dhannad",IF(UPPER(TRIM(Sheet1!J402))="TIHI","ICD Tihi",Sheet1!J402))),0)</f>
        <v>Nhava Sheva</v>
      </c>
      <c r="G402" s="39" t="str">
        <f>IFERROR(Sheet1!M402,0)</f>
        <v>Callao</v>
      </c>
      <c r="H402" s="39" t="str">
        <f>IFERROR(Sheet1!H402,0)</f>
        <v>Clearship</v>
      </c>
      <c r="I402" s="39" t="str">
        <f>IFERROR(Sheet1!G402,0)</f>
        <v>CIF</v>
      </c>
      <c r="J402" s="39" t="str">
        <f>IFERROR(Sheet1!K402,0)</f>
        <v>Maersk</v>
      </c>
      <c r="K402" s="41">
        <f>IFERROR(Sheet1!A402,0)</f>
        <v>46068</v>
      </c>
      <c r="L402" s="41">
        <f>IFERROR(Sheet1!I402,0)</f>
        <v>46066</v>
      </c>
      <c r="M402" s="47" t="str">
        <f>IFERROR(Sheet1!P402,0)</f>
        <v>NA</v>
      </c>
      <c r="N402" s="42">
        <f>IFERROR(IF(ISNUMBER(Sheet1!N402),Sheet1!N402,0),0)</f>
        <v>1525</v>
      </c>
      <c r="O402" s="42">
        <f>IFERROR(IF(TRIM(F402)="Nhava Sheva",SUMPRODUCT((UPPER(TRIM('Origin Costs'!$A$5:$A$44))=UPPER(TRIM(J402)))*'Origin Costs'!$C$5:$C$44),IF(TRIM(F402)="ICD Tihi",SUMPRODUCT((UPPER(TRIM('Origin Costs'!$A$49:$A$88))=UPPER(TRIM(J402)))*'Origin Costs'!$C$49:$C$88),IF(TRIM(F402)="ICD Dhannad",SUMPRODUCT((UPPER(TRIM('Origin Costs'!$A$93:$A$132))=UPPER(TRIM(J402)))*'Origin Costs'!$C$93:$C$132),0))),0)</f>
        <v>1148.588888888889</v>
      </c>
      <c r="P402" s="42">
        <f t="shared" si="6"/>
        <v>2673.588888888889</v>
      </c>
      <c r="Q402" s="13" t="str">
        <f>IF(OR(Dashboard!$C$4="All Customers",$E402=Dashboard!$C$4),IF($E402="","",$P402+ROW()/10000000),"")</f>
        <v/>
      </c>
    </row>
    <row r="403" spans="1:17" ht="14.25" customHeight="1" x14ac:dyDescent="0.3">
      <c r="A403" s="43" t="str">
        <f>IFERROR("FY"&amp;TEXT(MOD(IF(MONTH(Sheet1!A403)&gt;=4,YEAR(Sheet1!A403),YEAR(Sheet1!A403)-1),100),"00")&amp;"-"&amp;TEXT(MOD(IF(MONTH(Sheet1!A403)&gt;=4,YEAR(Sheet1!A403),YEAR(Sheet1!A403)-1)+1,100),"00"),"")</f>
        <v>FY25-26</v>
      </c>
      <c r="B403" s="44" t="str">
        <f>IFERROR("Q"&amp;IF(MONTH(Sheet1!A403)&gt;=4,IF(MONTH(Sheet1!A403)&lt;=6,1,IF(MONTH(Sheet1!A403)&lt;=9,2,3)),4),"")</f>
        <v>Q4</v>
      </c>
      <c r="C403" s="43" t="str">
        <f>IFERROR(Sheet1!C403,0)</f>
        <v>MEA</v>
      </c>
      <c r="D403" s="43" t="str">
        <f>IFERROR(Sheet1!F403,0)</f>
        <v>DI</v>
      </c>
      <c r="E403" s="43" t="str">
        <f>IFERROR(Sheet1!E403,0)</f>
        <v>Nahar Al Ajnas Auto Spre Prts Tradi, Dubai (In)</v>
      </c>
      <c r="F403" s="43" t="str">
        <f>IFERROR(IF(UPPER(TRIM(Sheet1!J403))="NH","Nhava Sheva",IF(UPPER(TRIM(Sheet1!J403))="ICD","ICD Dhannad",IF(UPPER(TRIM(Sheet1!J403))="TIHI","ICD Tihi",Sheet1!J403))),0)</f>
        <v>Nhava Sheva</v>
      </c>
      <c r="G403" s="43" t="str">
        <f>IFERROR(Sheet1!M403,0)</f>
        <v>Jebel Ali</v>
      </c>
      <c r="H403" s="43" t="str">
        <f>IFERROR(Sheet1!H403,0)</f>
        <v>Islanders containers</v>
      </c>
      <c r="I403" s="43" t="str">
        <f>IFERROR(Sheet1!G403,0)</f>
        <v>FOB</v>
      </c>
      <c r="J403" s="43" t="str">
        <f>IFERROR(Sheet1!K403,0)</f>
        <v>Ageon</v>
      </c>
      <c r="K403" s="45">
        <f>IFERROR(Sheet1!A403,0)</f>
        <v>46069</v>
      </c>
      <c r="L403" s="45">
        <f>IFERROR(Sheet1!I403,0)</f>
        <v>46067</v>
      </c>
      <c r="M403" s="47" t="str">
        <f>IFERROR(Sheet1!P403,0)</f>
        <v>NA</v>
      </c>
      <c r="N403" s="46">
        <f>IFERROR(IF(ISNUMBER(Sheet1!N403),Sheet1!N403,0),0)</f>
        <v>0</v>
      </c>
      <c r="O403" s="46">
        <f>IFERROR(IF(TRIM(F403)="Nhava Sheva",SUMPRODUCT((UPPER(TRIM('Origin Costs'!$A$5:$A$44))=UPPER(TRIM(J403)))*'Origin Costs'!$C$5:$C$44),IF(TRIM(F403)="ICD Tihi",SUMPRODUCT((UPPER(TRIM('Origin Costs'!$A$49:$A$88))=UPPER(TRIM(J403)))*'Origin Costs'!$C$49:$C$88),IF(TRIM(F403)="ICD Dhannad",SUMPRODUCT((UPPER(TRIM('Origin Costs'!$A$93:$A$132))=UPPER(TRIM(J403)))*'Origin Costs'!$C$93:$C$132),0))),0)</f>
        <v>0</v>
      </c>
      <c r="P403" s="46">
        <f t="shared" si="6"/>
        <v>0</v>
      </c>
      <c r="Q403" s="13" t="str">
        <f>IF(OR(Dashboard!$C$4="All Customers",$E403=Dashboard!$C$4),IF($E403="","",$P403+ROW()/10000000),"")</f>
        <v/>
      </c>
    </row>
    <row r="404" spans="1:17" ht="14.25" customHeight="1" x14ac:dyDescent="0.3">
      <c r="A404" s="39" t="str">
        <f>IFERROR("FY"&amp;TEXT(MOD(IF(MONTH(Sheet1!A404)&gt;=4,YEAR(Sheet1!A404),YEAR(Sheet1!A404)-1),100),"00")&amp;"-"&amp;TEXT(MOD(IF(MONTH(Sheet1!A404)&gt;=4,YEAR(Sheet1!A404),YEAR(Sheet1!A404)-1)+1,100),"00"),"")</f>
        <v>FY25-26</v>
      </c>
      <c r="B404" s="40" t="str">
        <f>IFERROR("Q"&amp;IF(MONTH(Sheet1!A404)&gt;=4,IF(MONTH(Sheet1!A404)&lt;=6,1,IF(MONTH(Sheet1!A404)&lt;=9,2,3)),4),"")</f>
        <v>Q4</v>
      </c>
      <c r="C404" s="39" t="str">
        <f>IFERROR(Sheet1!C404,0)</f>
        <v>MEA</v>
      </c>
      <c r="D404" s="39" t="str">
        <f>IFERROR(Sheet1!F404,0)</f>
        <v>DI</v>
      </c>
      <c r="E404" s="39" t="str">
        <f>IFERROR(Sheet1!E404,0)</f>
        <v>Nahar Al Ajnas Auto Spre Prts Tradi, Dubai (In)</v>
      </c>
      <c r="F404" s="39" t="str">
        <f>IFERROR(IF(UPPER(TRIM(Sheet1!J404))="NH","Nhava Sheva",IF(UPPER(TRIM(Sheet1!J404))="ICD","ICD Dhannad",IF(UPPER(TRIM(Sheet1!J404))="TIHI","ICD Tihi",Sheet1!J404))),0)</f>
        <v>Nhava Sheva</v>
      </c>
      <c r="G404" s="39" t="str">
        <f>IFERROR(Sheet1!M404,0)</f>
        <v>Jebel Ali</v>
      </c>
      <c r="H404" s="39" t="str">
        <f>IFERROR(Sheet1!H404,0)</f>
        <v>Islanders containers</v>
      </c>
      <c r="I404" s="39" t="str">
        <f>IFERROR(Sheet1!G404,0)</f>
        <v>FOB</v>
      </c>
      <c r="J404" s="39" t="str">
        <f>IFERROR(Sheet1!K404,0)</f>
        <v>Ageon</v>
      </c>
      <c r="K404" s="41">
        <f>IFERROR(Sheet1!A404,0)</f>
        <v>46069</v>
      </c>
      <c r="L404" s="41">
        <f>IFERROR(Sheet1!I404,0)</f>
        <v>46067</v>
      </c>
      <c r="M404" s="47" t="str">
        <f>IFERROR(Sheet1!P404,0)</f>
        <v>NA</v>
      </c>
      <c r="N404" s="42">
        <f>IFERROR(IF(ISNUMBER(Sheet1!N404),Sheet1!N404,0),0)</f>
        <v>0</v>
      </c>
      <c r="O404" s="42">
        <f>IFERROR(IF(TRIM(F404)="Nhava Sheva",SUMPRODUCT((UPPER(TRIM('Origin Costs'!$A$5:$A$44))=UPPER(TRIM(J404)))*'Origin Costs'!$C$5:$C$44),IF(TRIM(F404)="ICD Tihi",SUMPRODUCT((UPPER(TRIM('Origin Costs'!$A$49:$A$88))=UPPER(TRIM(J404)))*'Origin Costs'!$C$49:$C$88),IF(TRIM(F404)="ICD Dhannad",SUMPRODUCT((UPPER(TRIM('Origin Costs'!$A$93:$A$132))=UPPER(TRIM(J404)))*'Origin Costs'!$C$93:$C$132),0))),0)</f>
        <v>0</v>
      </c>
      <c r="P404" s="42">
        <f t="shared" si="6"/>
        <v>0</v>
      </c>
      <c r="Q404" s="13" t="str">
        <f>IF(OR(Dashboard!$C$4="All Customers",$E404=Dashboard!$C$4),IF($E404="","",$P404+ROW()/10000000),"")</f>
        <v/>
      </c>
    </row>
    <row r="405" spans="1:17" ht="14.25" customHeight="1" x14ac:dyDescent="0.3">
      <c r="A405" s="43" t="str">
        <f>IFERROR("FY"&amp;TEXT(MOD(IF(MONTH(Sheet1!A405)&gt;=4,YEAR(Sheet1!A405),YEAR(Sheet1!A405)-1),100),"00")&amp;"-"&amp;TEXT(MOD(IF(MONTH(Sheet1!A405)&gt;=4,YEAR(Sheet1!A405),YEAR(Sheet1!A405)-1)+1,100),"00"),"")</f>
        <v>FY25-26</v>
      </c>
      <c r="B405" s="44" t="str">
        <f>IFERROR("Q"&amp;IF(MONTH(Sheet1!A405)&gt;=4,IF(MONTH(Sheet1!A405)&lt;=6,1,IF(MONTH(Sheet1!A405)&lt;=9,2,3)),4),"")</f>
        <v>Q4</v>
      </c>
      <c r="C405" s="43" t="str">
        <f>IFERROR(Sheet1!C405,0)</f>
        <v>MEA</v>
      </c>
      <c r="D405" s="43" t="str">
        <f>IFERROR(Sheet1!F405,0)</f>
        <v>DI</v>
      </c>
      <c r="E405" s="43" t="str">
        <f>IFERROR(Sheet1!E405,0)</f>
        <v>Nahar Al Ajnas Auto Spre Prts Tradi, Dubai (In)</v>
      </c>
      <c r="F405" s="43" t="str">
        <f>IFERROR(IF(UPPER(TRIM(Sheet1!J405))="NH","Nhava Sheva",IF(UPPER(TRIM(Sheet1!J405))="ICD","ICD Dhannad",IF(UPPER(TRIM(Sheet1!J405))="TIHI","ICD Tihi",Sheet1!J405))),0)</f>
        <v>Nhava Sheva</v>
      </c>
      <c r="G405" s="43" t="str">
        <f>IFERROR(Sheet1!M405,0)</f>
        <v>Jebel Ali</v>
      </c>
      <c r="H405" s="43" t="str">
        <f>IFERROR(Sheet1!H405,0)</f>
        <v>Islanders containers</v>
      </c>
      <c r="I405" s="43" t="str">
        <f>IFERROR(Sheet1!G405,0)</f>
        <v>FOB</v>
      </c>
      <c r="J405" s="43" t="str">
        <f>IFERROR(Sheet1!K405,0)</f>
        <v>Ageon</v>
      </c>
      <c r="K405" s="45">
        <f>IFERROR(Sheet1!A405,0)</f>
        <v>46069</v>
      </c>
      <c r="L405" s="45">
        <f>IFERROR(Sheet1!I405,0)</f>
        <v>46067</v>
      </c>
      <c r="M405" s="47" t="str">
        <f>IFERROR(Sheet1!P405,0)</f>
        <v>NA</v>
      </c>
      <c r="N405" s="46">
        <f>IFERROR(IF(ISNUMBER(Sheet1!N405),Sheet1!N405,0),0)</f>
        <v>0</v>
      </c>
      <c r="O405" s="46">
        <f>IFERROR(IF(TRIM(F405)="Nhava Sheva",SUMPRODUCT((UPPER(TRIM('Origin Costs'!$A$5:$A$44))=UPPER(TRIM(J405)))*'Origin Costs'!$C$5:$C$44),IF(TRIM(F405)="ICD Tihi",SUMPRODUCT((UPPER(TRIM('Origin Costs'!$A$49:$A$88))=UPPER(TRIM(J405)))*'Origin Costs'!$C$49:$C$88),IF(TRIM(F405)="ICD Dhannad",SUMPRODUCT((UPPER(TRIM('Origin Costs'!$A$93:$A$132))=UPPER(TRIM(J405)))*'Origin Costs'!$C$93:$C$132),0))),0)</f>
        <v>0</v>
      </c>
      <c r="P405" s="46">
        <f t="shared" si="6"/>
        <v>0</v>
      </c>
      <c r="Q405" s="13" t="str">
        <f>IF(OR(Dashboard!$C$4="All Customers",$E405=Dashboard!$C$4),IF($E405="","",$P405+ROW()/10000000),"")</f>
        <v/>
      </c>
    </row>
    <row r="406" spans="1:17" ht="14.25" customHeight="1" x14ac:dyDescent="0.3">
      <c r="A406" s="39" t="str">
        <f>IFERROR("FY"&amp;TEXT(MOD(IF(MONTH(Sheet1!A406)&gt;=4,YEAR(Sheet1!A406),YEAR(Sheet1!A406)-1),100),"00")&amp;"-"&amp;TEXT(MOD(IF(MONTH(Sheet1!A406)&gt;=4,YEAR(Sheet1!A406),YEAR(Sheet1!A406)-1)+1,100),"00"),"")</f>
        <v>FY25-26</v>
      </c>
      <c r="B406" s="40" t="str">
        <f>IFERROR("Q"&amp;IF(MONTH(Sheet1!A406)&gt;=4,IF(MONTH(Sheet1!A406)&lt;=6,1,IF(MONTH(Sheet1!A406)&lt;=9,2,3)),4),"")</f>
        <v>Q4</v>
      </c>
      <c r="C406" s="39" t="str">
        <f>IFERROR(Sheet1!C406,0)</f>
        <v>MEA</v>
      </c>
      <c r="D406" s="39" t="str">
        <f>IFERROR(Sheet1!F406,0)</f>
        <v>DI</v>
      </c>
      <c r="E406" s="39" t="str">
        <f>IFERROR(Sheet1!E406,0)</f>
        <v>Nahar Al Ajnas Auto Spre Prts Tradi, Dubai (In)</v>
      </c>
      <c r="F406" s="39" t="str">
        <f>IFERROR(IF(UPPER(TRIM(Sheet1!J406))="NH","Nhava Sheva",IF(UPPER(TRIM(Sheet1!J406))="ICD","ICD Dhannad",IF(UPPER(TRIM(Sheet1!J406))="TIHI","ICD Tihi",Sheet1!J406))),0)</f>
        <v>Nhava Sheva</v>
      </c>
      <c r="G406" s="39" t="str">
        <f>IFERROR(Sheet1!M406,0)</f>
        <v>Jebel Ali</v>
      </c>
      <c r="H406" s="39" t="str">
        <f>IFERROR(Sheet1!H406,0)</f>
        <v>Islanders containers</v>
      </c>
      <c r="I406" s="39" t="str">
        <f>IFERROR(Sheet1!G406,0)</f>
        <v>FOB</v>
      </c>
      <c r="J406" s="39" t="str">
        <f>IFERROR(Sheet1!K406,0)</f>
        <v>Ageon</v>
      </c>
      <c r="K406" s="41">
        <f>IFERROR(Sheet1!A406,0)</f>
        <v>46069</v>
      </c>
      <c r="L406" s="41">
        <f>IFERROR(Sheet1!I406,0)</f>
        <v>46067</v>
      </c>
      <c r="M406" s="47" t="str">
        <f>IFERROR(Sheet1!P406,0)</f>
        <v>NA</v>
      </c>
      <c r="N406" s="42">
        <f>IFERROR(IF(ISNUMBER(Sheet1!N406),Sheet1!N406,0),0)</f>
        <v>0</v>
      </c>
      <c r="O406" s="42">
        <f>IFERROR(IF(TRIM(F406)="Nhava Sheva",SUMPRODUCT((UPPER(TRIM('Origin Costs'!$A$5:$A$44))=UPPER(TRIM(J406)))*'Origin Costs'!$C$5:$C$44),IF(TRIM(F406)="ICD Tihi",SUMPRODUCT((UPPER(TRIM('Origin Costs'!$A$49:$A$88))=UPPER(TRIM(J406)))*'Origin Costs'!$C$49:$C$88),IF(TRIM(F406)="ICD Dhannad",SUMPRODUCT((UPPER(TRIM('Origin Costs'!$A$93:$A$132))=UPPER(TRIM(J406)))*'Origin Costs'!$C$93:$C$132),0))),0)</f>
        <v>0</v>
      </c>
      <c r="P406" s="42">
        <f t="shared" si="6"/>
        <v>0</v>
      </c>
      <c r="Q406" s="13" t="str">
        <f>IF(OR(Dashboard!$C$4="All Customers",$E406=Dashboard!$C$4),IF($E406="","",$P406+ROW()/10000000),"")</f>
        <v/>
      </c>
    </row>
    <row r="407" spans="1:17" ht="14.25" customHeight="1" x14ac:dyDescent="0.3">
      <c r="A407" s="43" t="str">
        <f>IFERROR("FY"&amp;TEXT(MOD(IF(MONTH(Sheet1!A407)&gt;=4,YEAR(Sheet1!A407),YEAR(Sheet1!A407)-1),100),"00")&amp;"-"&amp;TEXT(MOD(IF(MONTH(Sheet1!A407)&gt;=4,YEAR(Sheet1!A407),YEAR(Sheet1!A407)-1)+1,100),"00"),"")</f>
        <v>FY25-26</v>
      </c>
      <c r="B407" s="44" t="str">
        <f>IFERROR("Q"&amp;IF(MONTH(Sheet1!A407)&gt;=4,IF(MONTH(Sheet1!A407)&lt;=6,1,IF(MONTH(Sheet1!A407)&lt;=9,2,3)),4),"")</f>
        <v>Q4</v>
      </c>
      <c r="C407" s="43" t="str">
        <f>IFERROR(Sheet1!C407,0)</f>
        <v>MEA</v>
      </c>
      <c r="D407" s="43" t="str">
        <f>IFERROR(Sheet1!F407,0)</f>
        <v>DI</v>
      </c>
      <c r="E407" s="43" t="str">
        <f>IFERROR(Sheet1!E407,0)</f>
        <v>Nahar Al Ajnas Auto Spre Prts Tradi, Dubai (In)</v>
      </c>
      <c r="F407" s="43" t="str">
        <f>IFERROR(IF(UPPER(TRIM(Sheet1!J407))="NH","Nhava Sheva",IF(UPPER(TRIM(Sheet1!J407))="ICD","ICD Dhannad",IF(UPPER(TRIM(Sheet1!J407))="TIHI","ICD Tihi",Sheet1!J407))),0)</f>
        <v>Nhava Sheva</v>
      </c>
      <c r="G407" s="43" t="str">
        <f>IFERROR(Sheet1!M407,0)</f>
        <v>Jebel Ali</v>
      </c>
      <c r="H407" s="43" t="str">
        <f>IFERROR(Sheet1!H407,0)</f>
        <v>Islanders containers</v>
      </c>
      <c r="I407" s="43" t="str">
        <f>IFERROR(Sheet1!G407,0)</f>
        <v>FOB</v>
      </c>
      <c r="J407" s="43" t="str">
        <f>IFERROR(Sheet1!K407,0)</f>
        <v>Ageon</v>
      </c>
      <c r="K407" s="45">
        <f>IFERROR(Sheet1!A407,0)</f>
        <v>46069</v>
      </c>
      <c r="L407" s="45">
        <f>IFERROR(Sheet1!I407,0)</f>
        <v>46067</v>
      </c>
      <c r="M407" s="47" t="str">
        <f>IFERROR(Sheet1!P407,0)</f>
        <v>NA</v>
      </c>
      <c r="N407" s="46">
        <f>IFERROR(IF(ISNUMBER(Sheet1!N407),Sheet1!N407,0),0)</f>
        <v>0</v>
      </c>
      <c r="O407" s="46">
        <f>IFERROR(IF(TRIM(F407)="Nhava Sheva",SUMPRODUCT((UPPER(TRIM('Origin Costs'!$A$5:$A$44))=UPPER(TRIM(J407)))*'Origin Costs'!$C$5:$C$44),IF(TRIM(F407)="ICD Tihi",SUMPRODUCT((UPPER(TRIM('Origin Costs'!$A$49:$A$88))=UPPER(TRIM(J407)))*'Origin Costs'!$C$49:$C$88),IF(TRIM(F407)="ICD Dhannad",SUMPRODUCT((UPPER(TRIM('Origin Costs'!$A$93:$A$132))=UPPER(TRIM(J407)))*'Origin Costs'!$C$93:$C$132),0))),0)</f>
        <v>0</v>
      </c>
      <c r="P407" s="46">
        <f t="shared" si="6"/>
        <v>0</v>
      </c>
      <c r="Q407" s="13" t="str">
        <f>IF(OR(Dashboard!$C$4="All Customers",$E407=Dashboard!$C$4),IF($E407="","",$P407+ROW()/10000000),"")</f>
        <v/>
      </c>
    </row>
    <row r="408" spans="1:17" ht="14.25" customHeight="1" x14ac:dyDescent="0.3">
      <c r="A408" s="39" t="str">
        <f>IFERROR("FY"&amp;TEXT(MOD(IF(MONTH(Sheet1!A408)&gt;=4,YEAR(Sheet1!A408),YEAR(Sheet1!A408)-1),100),"00")&amp;"-"&amp;TEXT(MOD(IF(MONTH(Sheet1!A408)&gt;=4,YEAR(Sheet1!A408),YEAR(Sheet1!A408)-1)+1,100),"00"),"")</f>
        <v>FY25-26</v>
      </c>
      <c r="B408" s="40" t="str">
        <f>IFERROR("Q"&amp;IF(MONTH(Sheet1!A408)&gt;=4,IF(MONTH(Sheet1!A408)&lt;=6,1,IF(MONTH(Sheet1!A408)&lt;=9,2,3)),4),"")</f>
        <v>Q4</v>
      </c>
      <c r="C408" s="39" t="str">
        <f>IFERROR(Sheet1!C408,0)</f>
        <v>MEA</v>
      </c>
      <c r="D408" s="39" t="str">
        <f>IFERROR(Sheet1!F408,0)</f>
        <v>Nigeria</v>
      </c>
      <c r="E408" s="39" t="str">
        <f>IFERROR(Sheet1!E408,0)</f>
        <v>RELIANT OVERSEAS FZE</v>
      </c>
      <c r="F408" s="39" t="str">
        <f>IFERROR(IF(UPPER(TRIM(Sheet1!J408))="NH","Nhava Sheva",IF(UPPER(TRIM(Sheet1!J408))="ICD","ICD Dhannad",IF(UPPER(TRIM(Sheet1!J408))="TIHI","ICD Tihi",Sheet1!J408))),0)</f>
        <v>Nhava Sheva</v>
      </c>
      <c r="G408" s="39" t="str">
        <f>IFERROR(Sheet1!M408,0)</f>
        <v>Apapa</v>
      </c>
      <c r="H408" s="39" t="str">
        <f>IFERROR(Sheet1!H408,0)</f>
        <v>Exim Transtrade</v>
      </c>
      <c r="I408" s="39" t="str">
        <f>IFERROR(Sheet1!G408,0)</f>
        <v>FCA</v>
      </c>
      <c r="J408" s="39" t="str">
        <f>IFERROR(Sheet1!K408,0)</f>
        <v>Hapag</v>
      </c>
      <c r="K408" s="41">
        <f>IFERROR(Sheet1!A408,0)</f>
        <v>46073</v>
      </c>
      <c r="L408" s="41">
        <f>IFERROR(Sheet1!I408,0)</f>
        <v>46071</v>
      </c>
      <c r="M408" s="47" t="str">
        <f>IFERROR(Sheet1!P408,0)</f>
        <v>NA</v>
      </c>
      <c r="N408" s="42">
        <f>IFERROR(IF(ISNUMBER(Sheet1!N408),Sheet1!N408,0),0)</f>
        <v>0</v>
      </c>
      <c r="O408" s="42">
        <f>IFERROR(IF(TRIM(F408)="Nhava Sheva",SUMPRODUCT((UPPER(TRIM('Origin Costs'!$A$5:$A$44))=UPPER(TRIM(J408)))*'Origin Costs'!$C$5:$C$44),IF(TRIM(F408)="ICD Tihi",SUMPRODUCT((UPPER(TRIM('Origin Costs'!$A$49:$A$88))=UPPER(TRIM(J408)))*'Origin Costs'!$C$49:$C$88),IF(TRIM(F408)="ICD Dhannad",SUMPRODUCT((UPPER(TRIM('Origin Costs'!$A$93:$A$132))=UPPER(TRIM(J408)))*'Origin Costs'!$C$93:$C$132),0))),0)</f>
        <v>1192.9777777777779</v>
      </c>
      <c r="P408" s="42">
        <f t="shared" si="6"/>
        <v>1192.9777777777779</v>
      </c>
      <c r="Q408" s="13" t="str">
        <f>IF(OR(Dashboard!$C$4="All Customers",$E408=Dashboard!$C$4),IF($E408="","",$P408+ROW()/10000000),"")</f>
        <v/>
      </c>
    </row>
    <row r="409" spans="1:17" ht="14.25" customHeight="1" x14ac:dyDescent="0.3">
      <c r="A409" s="43" t="str">
        <f>IFERROR("FY"&amp;TEXT(MOD(IF(MONTH(Sheet1!A409)&gt;=4,YEAR(Sheet1!A409),YEAR(Sheet1!A409)-1),100),"00")&amp;"-"&amp;TEXT(MOD(IF(MONTH(Sheet1!A409)&gt;=4,YEAR(Sheet1!A409),YEAR(Sheet1!A409)-1)+1,100),"00"),"")</f>
        <v>FY25-26</v>
      </c>
      <c r="B409" s="44" t="str">
        <f>IFERROR("Q"&amp;IF(MONTH(Sheet1!A409)&gt;=4,IF(MONTH(Sheet1!A409)&lt;=6,1,IF(MONTH(Sheet1!A409)&lt;=9,2,3)),4),"")</f>
        <v>Q4</v>
      </c>
      <c r="C409" s="43" t="str">
        <f>IFERROR(Sheet1!C409,0)</f>
        <v>MEA</v>
      </c>
      <c r="D409" s="43" t="str">
        <f>IFERROR(Sheet1!F409,0)</f>
        <v>Nigeria</v>
      </c>
      <c r="E409" s="43" t="str">
        <f>IFERROR(Sheet1!E409,0)</f>
        <v>RELIANT OVERSEAS FZE</v>
      </c>
      <c r="F409" s="43" t="str">
        <f>IFERROR(IF(UPPER(TRIM(Sheet1!J409))="NH","Nhava Sheva",IF(UPPER(TRIM(Sheet1!J409))="ICD","ICD Dhannad",IF(UPPER(TRIM(Sheet1!J409))="TIHI","ICD Tihi",Sheet1!J409))),0)</f>
        <v>Nhava Sheva</v>
      </c>
      <c r="G409" s="43" t="str">
        <f>IFERROR(Sheet1!M409,0)</f>
        <v>Apapa</v>
      </c>
      <c r="H409" s="43" t="str">
        <f>IFERROR(Sheet1!H409,0)</f>
        <v>Exim Transtrade</v>
      </c>
      <c r="I409" s="43" t="str">
        <f>IFERROR(Sheet1!G409,0)</f>
        <v>FCA</v>
      </c>
      <c r="J409" s="43" t="str">
        <f>IFERROR(Sheet1!K409,0)</f>
        <v>Hapag</v>
      </c>
      <c r="K409" s="45">
        <f>IFERROR(Sheet1!A409,0)</f>
        <v>46073</v>
      </c>
      <c r="L409" s="45">
        <f>IFERROR(Sheet1!I409,0)</f>
        <v>46071</v>
      </c>
      <c r="M409" s="47" t="str">
        <f>IFERROR(Sheet1!P409,0)</f>
        <v>NA</v>
      </c>
      <c r="N409" s="46">
        <f>IFERROR(IF(ISNUMBER(Sheet1!N409),Sheet1!N409,0),0)</f>
        <v>0</v>
      </c>
      <c r="O409" s="46">
        <f>IFERROR(IF(TRIM(F409)="Nhava Sheva",SUMPRODUCT((UPPER(TRIM('Origin Costs'!$A$5:$A$44))=UPPER(TRIM(J409)))*'Origin Costs'!$C$5:$C$44),IF(TRIM(F409)="ICD Tihi",SUMPRODUCT((UPPER(TRIM('Origin Costs'!$A$49:$A$88))=UPPER(TRIM(J409)))*'Origin Costs'!$C$49:$C$88),IF(TRIM(F409)="ICD Dhannad",SUMPRODUCT((UPPER(TRIM('Origin Costs'!$A$93:$A$132))=UPPER(TRIM(J409)))*'Origin Costs'!$C$93:$C$132),0))),0)</f>
        <v>1192.9777777777779</v>
      </c>
      <c r="P409" s="46">
        <f t="shared" si="6"/>
        <v>1192.9777777777779</v>
      </c>
      <c r="Q409" s="13" t="str">
        <f>IF(OR(Dashboard!$C$4="All Customers",$E409=Dashboard!$C$4),IF($E409="","",$P409+ROW()/10000000),"")</f>
        <v/>
      </c>
    </row>
    <row r="410" spans="1:17" ht="14.25" customHeight="1" x14ac:dyDescent="0.3">
      <c r="A410" s="39" t="str">
        <f>IFERROR("FY"&amp;TEXT(MOD(IF(MONTH(Sheet1!A410)&gt;=4,YEAR(Sheet1!A410),YEAR(Sheet1!A410)-1),100),"00")&amp;"-"&amp;TEXT(MOD(IF(MONTH(Sheet1!A410)&gt;=4,YEAR(Sheet1!A410),YEAR(Sheet1!A410)-1)+1,100),"00"),"")</f>
        <v>FY25-26</v>
      </c>
      <c r="B410" s="40" t="str">
        <f>IFERROR("Q"&amp;IF(MONTH(Sheet1!A410)&gt;=4,IF(MONTH(Sheet1!A410)&lt;=6,1,IF(MONTH(Sheet1!A410)&lt;=9,2,3)),4),"")</f>
        <v>Q4</v>
      </c>
      <c r="C410" s="39" t="str">
        <f>IFERROR(Sheet1!C410,0)</f>
        <v>Europe</v>
      </c>
      <c r="D410" s="39" t="str">
        <f>IFERROR(Sheet1!F410,0)</f>
        <v>Lithuania</v>
      </c>
      <c r="E410" s="39" t="str">
        <f>IFERROR(Sheet1!E410,0)</f>
        <v>UAB Inter Cars Lietuva, Lithuania</v>
      </c>
      <c r="F410" s="39" t="str">
        <f>IFERROR(IF(UPPER(TRIM(Sheet1!J410))="NH","Nhava Sheva",IF(UPPER(TRIM(Sheet1!J410))="ICD","ICD Dhannad",IF(UPPER(TRIM(Sheet1!J410))="TIHI","ICD Tihi",Sheet1!J410))),0)</f>
        <v>Nhava Sheva</v>
      </c>
      <c r="G410" s="39" t="str">
        <f>IFERROR(Sheet1!M410,0)</f>
        <v>Klaipeda</v>
      </c>
      <c r="H410" s="39" t="str">
        <f>IFERROR(Sheet1!H410,0)</f>
        <v>Jas Forwarding</v>
      </c>
      <c r="I410" s="39" t="str">
        <f>IFERROR(Sheet1!G410,0)</f>
        <v>FOB</v>
      </c>
      <c r="J410" s="39" t="str">
        <f>IFERROR(Sheet1!K410,0)</f>
        <v>Maersk</v>
      </c>
      <c r="K410" s="41">
        <f>IFERROR(Sheet1!A410,0)</f>
        <v>46073</v>
      </c>
      <c r="L410" s="41">
        <f>IFERROR(Sheet1!I410,0)</f>
        <v>46071</v>
      </c>
      <c r="M410" s="47" t="str">
        <f>IFERROR(Sheet1!P410,0)</f>
        <v>NA</v>
      </c>
      <c r="N410" s="42">
        <f>IFERROR(IF(ISNUMBER(Sheet1!N410),Sheet1!N410,0),0)</f>
        <v>0</v>
      </c>
      <c r="O410" s="42">
        <f>IFERROR(IF(TRIM(F410)="Nhava Sheva",SUMPRODUCT((UPPER(TRIM('Origin Costs'!$A$5:$A$44))=UPPER(TRIM(J410)))*'Origin Costs'!$C$5:$C$44),IF(TRIM(F410)="ICD Tihi",SUMPRODUCT((UPPER(TRIM('Origin Costs'!$A$49:$A$88))=UPPER(TRIM(J410)))*'Origin Costs'!$C$49:$C$88),IF(TRIM(F410)="ICD Dhannad",SUMPRODUCT((UPPER(TRIM('Origin Costs'!$A$93:$A$132))=UPPER(TRIM(J410)))*'Origin Costs'!$C$93:$C$132),0))),0)</f>
        <v>1148.588888888889</v>
      </c>
      <c r="P410" s="42">
        <f t="shared" si="6"/>
        <v>1148.588888888889</v>
      </c>
      <c r="Q410" s="13" t="str">
        <f>IF(OR(Dashboard!$C$4="All Customers",$E410=Dashboard!$C$4),IF($E410="","",$P410+ROW()/10000000),"")</f>
        <v/>
      </c>
    </row>
    <row r="411" spans="1:17" ht="14.25" customHeight="1" x14ac:dyDescent="0.3">
      <c r="A411" s="43" t="str">
        <f>IFERROR("FY"&amp;TEXT(MOD(IF(MONTH(Sheet1!A411)&gt;=4,YEAR(Sheet1!A411),YEAR(Sheet1!A411)-1),100),"00")&amp;"-"&amp;TEXT(MOD(IF(MONTH(Sheet1!A411)&gt;=4,YEAR(Sheet1!A411),YEAR(Sheet1!A411)-1)+1,100),"00"),"")</f>
        <v>FY25-26</v>
      </c>
      <c r="B411" s="44" t="str">
        <f>IFERROR("Q"&amp;IF(MONTH(Sheet1!A411)&gt;=4,IF(MONTH(Sheet1!A411)&lt;=6,1,IF(MONTH(Sheet1!A411)&lt;=9,2,3)),4),"")</f>
        <v>Q4</v>
      </c>
      <c r="C411" s="43" t="str">
        <f>IFERROR(Sheet1!C411,0)</f>
        <v>Europe</v>
      </c>
      <c r="D411" s="43" t="str">
        <f>IFERROR(Sheet1!F411,0)</f>
        <v>Lithuania</v>
      </c>
      <c r="E411" s="43" t="str">
        <f>IFERROR(Sheet1!E411,0)</f>
        <v>UAB Inter Cars Lietuva, Lithuania</v>
      </c>
      <c r="F411" s="43" t="str">
        <f>IFERROR(IF(UPPER(TRIM(Sheet1!J411))="NH","Nhava Sheva",IF(UPPER(TRIM(Sheet1!J411))="ICD","ICD Dhannad",IF(UPPER(TRIM(Sheet1!J411))="TIHI","ICD Tihi",Sheet1!J411))),0)</f>
        <v>Nhava Sheva</v>
      </c>
      <c r="G411" s="43" t="str">
        <f>IFERROR(Sheet1!M411,0)</f>
        <v>Klaipeda</v>
      </c>
      <c r="H411" s="43" t="str">
        <f>IFERROR(Sheet1!H411,0)</f>
        <v>Jas Forwarding</v>
      </c>
      <c r="I411" s="43" t="str">
        <f>IFERROR(Sheet1!G411,0)</f>
        <v>FOB</v>
      </c>
      <c r="J411" s="43" t="str">
        <f>IFERROR(Sheet1!K411,0)</f>
        <v>Maersk</v>
      </c>
      <c r="K411" s="45">
        <f>IFERROR(Sheet1!A411,0)</f>
        <v>46073</v>
      </c>
      <c r="L411" s="45">
        <f>IFERROR(Sheet1!I411,0)</f>
        <v>46071</v>
      </c>
      <c r="M411" s="47" t="str">
        <f>IFERROR(Sheet1!P411,0)</f>
        <v>NA</v>
      </c>
      <c r="N411" s="46">
        <f>IFERROR(IF(ISNUMBER(Sheet1!N411),Sheet1!N411,0),0)</f>
        <v>0</v>
      </c>
      <c r="O411" s="46">
        <f>IFERROR(IF(TRIM(F411)="Nhava Sheva",SUMPRODUCT((UPPER(TRIM('Origin Costs'!$A$5:$A$44))=UPPER(TRIM(J411)))*'Origin Costs'!$C$5:$C$44),IF(TRIM(F411)="ICD Tihi",SUMPRODUCT((UPPER(TRIM('Origin Costs'!$A$49:$A$88))=UPPER(TRIM(J411)))*'Origin Costs'!$C$49:$C$88),IF(TRIM(F411)="ICD Dhannad",SUMPRODUCT((UPPER(TRIM('Origin Costs'!$A$93:$A$132))=UPPER(TRIM(J411)))*'Origin Costs'!$C$93:$C$132),0))),0)</f>
        <v>1148.588888888889</v>
      </c>
      <c r="P411" s="46">
        <f t="shared" si="6"/>
        <v>1148.588888888889</v>
      </c>
      <c r="Q411" s="13" t="str">
        <f>IF(OR(Dashboard!$C$4="All Customers",$E411=Dashboard!$C$4),IF($E411="","",$P411+ROW()/10000000),"")</f>
        <v/>
      </c>
    </row>
    <row r="412" spans="1:17" ht="14.25" customHeight="1" x14ac:dyDescent="0.3">
      <c r="A412" s="39" t="str">
        <f>IFERROR("FY"&amp;TEXT(MOD(IF(MONTH(Sheet1!A412)&gt;=4,YEAR(Sheet1!A412),YEAR(Sheet1!A412)-1),100),"00")&amp;"-"&amp;TEXT(MOD(IF(MONTH(Sheet1!A412)&gt;=4,YEAR(Sheet1!A412),YEAR(Sheet1!A412)-1)+1,100),"00"),"")</f>
        <v>FY25-26</v>
      </c>
      <c r="B412" s="40" t="str">
        <f>IFERROR("Q"&amp;IF(MONTH(Sheet1!A412)&gt;=4,IF(MONTH(Sheet1!A412)&lt;=6,1,IF(MONTH(Sheet1!A412)&lt;=9,2,3)),4),"")</f>
        <v>Q4</v>
      </c>
      <c r="C412" s="39" t="str">
        <f>IFERROR(Sheet1!C412,0)</f>
        <v>Oceania</v>
      </c>
      <c r="D412" s="39" t="str">
        <f>IFERROR(Sheet1!F412,0)</f>
        <v>Australia</v>
      </c>
      <c r="E412" s="39" t="str">
        <f>IFERROR(Sheet1!E412,0)</f>
        <v>ULTIMATE TYRE SERVICES PTY LTD</v>
      </c>
      <c r="F412" s="39" t="str">
        <f>IFERROR(IF(UPPER(TRIM(Sheet1!J412))="NH","Nhava Sheva",IF(UPPER(TRIM(Sheet1!J412))="ICD","ICD Dhannad",IF(UPPER(TRIM(Sheet1!J412))="TIHI","ICD Tihi",Sheet1!J412))),0)</f>
        <v>Nhava Sheva</v>
      </c>
      <c r="G412" s="39" t="str">
        <f>IFERROR(Sheet1!M412,0)</f>
        <v>BRISBANE</v>
      </c>
      <c r="H412" s="39" t="str">
        <f>IFERROR(Sheet1!H412,0)</f>
        <v>Hellmann</v>
      </c>
      <c r="I412" s="39" t="str">
        <f>IFERROR(Sheet1!G412,0)</f>
        <v>CIF</v>
      </c>
      <c r="J412" s="39" t="str">
        <f>IFERROR(Sheet1!K412,0)</f>
        <v>PIL</v>
      </c>
      <c r="K412" s="41">
        <f>IFERROR(Sheet1!A412,0)</f>
        <v>46073</v>
      </c>
      <c r="L412" s="41">
        <f>IFERROR(Sheet1!I412,0)</f>
        <v>46071</v>
      </c>
      <c r="M412" s="47" t="str">
        <f>IFERROR(Sheet1!P412,0)</f>
        <v>NA</v>
      </c>
      <c r="N412" s="42">
        <f>IFERROR(IF(ISNUMBER(Sheet1!N412),Sheet1!N412,0),0)</f>
        <v>1665</v>
      </c>
      <c r="O412" s="42">
        <f>IFERROR(IF(TRIM(F412)="Nhava Sheva",SUMPRODUCT((UPPER(TRIM('Origin Costs'!$A$5:$A$44))=UPPER(TRIM(J412)))*'Origin Costs'!$C$5:$C$44),IF(TRIM(F412)="ICD Tihi",SUMPRODUCT((UPPER(TRIM('Origin Costs'!$A$49:$A$88))=UPPER(TRIM(J412)))*'Origin Costs'!$C$49:$C$88),IF(TRIM(F412)="ICD Dhannad",SUMPRODUCT((UPPER(TRIM('Origin Costs'!$A$93:$A$132))=UPPER(TRIM(J412)))*'Origin Costs'!$C$93:$C$132),0))),0)</f>
        <v>0</v>
      </c>
      <c r="P412" s="42">
        <f t="shared" si="6"/>
        <v>1665</v>
      </c>
      <c r="Q412" s="13" t="str">
        <f>IF(OR(Dashboard!$C$4="All Customers",$E412=Dashboard!$C$4),IF($E412="","",$P412+ROW()/10000000),"")</f>
        <v/>
      </c>
    </row>
    <row r="413" spans="1:17" ht="14.25" customHeight="1" x14ac:dyDescent="0.3">
      <c r="A413" s="43" t="str">
        <f>IFERROR("FY"&amp;TEXT(MOD(IF(MONTH(Sheet1!A413)&gt;=4,YEAR(Sheet1!A413),YEAR(Sheet1!A413)-1),100),"00")&amp;"-"&amp;TEXT(MOD(IF(MONTH(Sheet1!A413)&gt;=4,YEAR(Sheet1!A413),YEAR(Sheet1!A413)-1)+1,100),"00"),"")</f>
        <v>FY25-26</v>
      </c>
      <c r="B413" s="44" t="str">
        <f>IFERROR("Q"&amp;IF(MONTH(Sheet1!A413)&gt;=4,IF(MONTH(Sheet1!A413)&lt;=6,1,IF(MONTH(Sheet1!A413)&lt;=9,2,3)),4),"")</f>
        <v>Q4</v>
      </c>
      <c r="C413" s="43" t="str">
        <f>IFERROR(Sheet1!C413,0)</f>
        <v>Oceania</v>
      </c>
      <c r="D413" s="43" t="str">
        <f>IFERROR(Sheet1!F413,0)</f>
        <v>Australia</v>
      </c>
      <c r="E413" s="43" t="str">
        <f>IFERROR(Sheet1!E413,0)</f>
        <v>ULTIMATE TYRE SERVICES PTY LTD</v>
      </c>
      <c r="F413" s="43" t="str">
        <f>IFERROR(IF(UPPER(TRIM(Sheet1!J413))="NH","Nhava Sheva",IF(UPPER(TRIM(Sheet1!J413))="ICD","ICD Dhannad",IF(UPPER(TRIM(Sheet1!J413))="TIHI","ICD Tihi",Sheet1!J413))),0)</f>
        <v>Nhava Sheva</v>
      </c>
      <c r="G413" s="43" t="str">
        <f>IFERROR(Sheet1!M413,0)</f>
        <v>Melbourne</v>
      </c>
      <c r="H413" s="43" t="str">
        <f>IFERROR(Sheet1!H413,0)</f>
        <v>Hellmann</v>
      </c>
      <c r="I413" s="43" t="str">
        <f>IFERROR(Sheet1!G413,0)</f>
        <v>CIF</v>
      </c>
      <c r="J413" s="43" t="str">
        <f>IFERROR(Sheet1!K413,0)</f>
        <v>PIL</v>
      </c>
      <c r="K413" s="45">
        <f>IFERROR(Sheet1!A413,0)</f>
        <v>46073</v>
      </c>
      <c r="L413" s="45">
        <f>IFERROR(Sheet1!I413,0)</f>
        <v>46071</v>
      </c>
      <c r="M413" s="47" t="str">
        <f>IFERROR(Sheet1!P413,0)</f>
        <v>NA</v>
      </c>
      <c r="N413" s="46">
        <f>IFERROR(IF(ISNUMBER(Sheet1!N413),Sheet1!N413,0),0)</f>
        <v>1665</v>
      </c>
      <c r="O413" s="46">
        <f>IFERROR(IF(TRIM(F413)="Nhava Sheva",SUMPRODUCT((UPPER(TRIM('Origin Costs'!$A$5:$A$44))=UPPER(TRIM(J413)))*'Origin Costs'!$C$5:$C$44),IF(TRIM(F413)="ICD Tihi",SUMPRODUCT((UPPER(TRIM('Origin Costs'!$A$49:$A$88))=UPPER(TRIM(J413)))*'Origin Costs'!$C$49:$C$88),IF(TRIM(F413)="ICD Dhannad",SUMPRODUCT((UPPER(TRIM('Origin Costs'!$A$93:$A$132))=UPPER(TRIM(J413)))*'Origin Costs'!$C$93:$C$132),0))),0)</f>
        <v>0</v>
      </c>
      <c r="P413" s="46">
        <f t="shared" si="6"/>
        <v>1665</v>
      </c>
      <c r="Q413" s="13" t="str">
        <f>IF(OR(Dashboard!$C$4="All Customers",$E413=Dashboard!$C$4),IF($E413="","",$P413+ROW()/10000000),"")</f>
        <v/>
      </c>
    </row>
    <row r="414" spans="1:17" ht="14.25" customHeight="1" x14ac:dyDescent="0.3">
      <c r="A414" s="39" t="str">
        <f>IFERROR("FY"&amp;TEXT(MOD(IF(MONTH(Sheet1!A414)&gt;=4,YEAR(Sheet1!A414),YEAR(Sheet1!A414)-1),100),"00")&amp;"-"&amp;TEXT(MOD(IF(MONTH(Sheet1!A414)&gt;=4,YEAR(Sheet1!A414),YEAR(Sheet1!A414)-1)+1,100),"00"),"")</f>
        <v>FY25-26</v>
      </c>
      <c r="B414" s="40" t="str">
        <f>IFERROR("Q"&amp;IF(MONTH(Sheet1!A414)&gt;=4,IF(MONTH(Sheet1!A414)&lt;=6,1,IF(MONTH(Sheet1!A414)&lt;=9,2,3)),4),"")</f>
        <v>Q4</v>
      </c>
      <c r="C414" s="39" t="str">
        <f>IFERROR(Sheet1!C414,0)</f>
        <v>S.A</v>
      </c>
      <c r="D414" s="39" t="str">
        <f>IFERROR(Sheet1!F414,0)</f>
        <v>Brazil</v>
      </c>
      <c r="E414" s="39" t="str">
        <f>IFERROR(Sheet1!E414,0)</f>
        <v>CPX DISTRIBUIDORA S/A</v>
      </c>
      <c r="F414" s="39" t="str">
        <f>IFERROR(IF(UPPER(TRIM(Sheet1!J414))="NH","Nhava Sheva",IF(UPPER(TRIM(Sheet1!J414))="ICD","ICD Dhannad",IF(UPPER(TRIM(Sheet1!J414))="TIHI","ICD Tihi",Sheet1!J414))),0)</f>
        <v>ICD Tihi</v>
      </c>
      <c r="G414" s="39" t="str">
        <f>IFERROR(Sheet1!M414,0)</f>
        <v>Suape</v>
      </c>
      <c r="H414" s="39" t="str">
        <f>IFERROR(Sheet1!H414,0)</f>
        <v>Asia Shipping</v>
      </c>
      <c r="I414" s="39" t="str">
        <f>IFERROR(Sheet1!G414,0)</f>
        <v>FOB</v>
      </c>
      <c r="J414" s="39" t="str">
        <f>IFERROR(Sheet1!K414,0)</f>
        <v>MSC</v>
      </c>
      <c r="K414" s="41">
        <f>IFERROR(Sheet1!A414,0)</f>
        <v>46074</v>
      </c>
      <c r="L414" s="41">
        <f>IFERROR(Sheet1!I414,0)</f>
        <v>46074</v>
      </c>
      <c r="M414" s="47" t="str">
        <f>IFERROR(Sheet1!P414,0)</f>
        <v>NA</v>
      </c>
      <c r="N414" s="42">
        <f>IFERROR(IF(ISNUMBER(Sheet1!N414),Sheet1!N414,0),0)</f>
        <v>0</v>
      </c>
      <c r="O414" s="42">
        <f>IFERROR(IF(TRIM(F414)="Nhava Sheva",SUMPRODUCT((UPPER(TRIM('Origin Costs'!$A$5:$A$44))=UPPER(TRIM(J414)))*'Origin Costs'!$C$5:$C$44),IF(TRIM(F414)="ICD Tihi",SUMPRODUCT((UPPER(TRIM('Origin Costs'!$A$49:$A$88))=UPPER(TRIM(J414)))*'Origin Costs'!$C$49:$C$88),IF(TRIM(F414)="ICD Dhannad",SUMPRODUCT((UPPER(TRIM('Origin Costs'!$A$93:$A$132))=UPPER(TRIM(J414)))*'Origin Costs'!$C$93:$C$132),0))),0)</f>
        <v>1081.3333333333333</v>
      </c>
      <c r="P414" s="42">
        <f t="shared" si="6"/>
        <v>1081.3333333333333</v>
      </c>
      <c r="Q414" s="13" t="str">
        <f>IF(OR(Dashboard!$C$4="All Customers",$E414=Dashboard!$C$4),IF($E414="","",$P414+ROW()/10000000),"")</f>
        <v/>
      </c>
    </row>
    <row r="415" spans="1:17" ht="14.25" customHeight="1" x14ac:dyDescent="0.3">
      <c r="A415" s="43" t="str">
        <f>IFERROR("FY"&amp;TEXT(MOD(IF(MONTH(Sheet1!A415)&gt;=4,YEAR(Sheet1!A415),YEAR(Sheet1!A415)-1),100),"00")&amp;"-"&amp;TEXT(MOD(IF(MONTH(Sheet1!A415)&gt;=4,YEAR(Sheet1!A415),YEAR(Sheet1!A415)-1)+1,100),"00"),"")</f>
        <v>FY25-26</v>
      </c>
      <c r="B415" s="44" t="str">
        <f>IFERROR("Q"&amp;IF(MONTH(Sheet1!A415)&gt;=4,IF(MONTH(Sheet1!A415)&lt;=6,1,IF(MONTH(Sheet1!A415)&lt;=9,2,3)),4),"")</f>
        <v>Q4</v>
      </c>
      <c r="C415" s="43" t="str">
        <f>IFERROR(Sheet1!C415,0)</f>
        <v>S.A</v>
      </c>
      <c r="D415" s="43" t="str">
        <f>IFERROR(Sheet1!F415,0)</f>
        <v>Brazil</v>
      </c>
      <c r="E415" s="43" t="str">
        <f>IFERROR(Sheet1!E415,0)</f>
        <v>CPX DISTRIBUIDORA S/A</v>
      </c>
      <c r="F415" s="43" t="str">
        <f>IFERROR(IF(UPPER(TRIM(Sheet1!J415))="NH","Nhava Sheva",IF(UPPER(TRIM(Sheet1!J415))="ICD","ICD Dhannad",IF(UPPER(TRIM(Sheet1!J415))="TIHI","ICD Tihi",Sheet1!J415))),0)</f>
        <v>ICD Tihi</v>
      </c>
      <c r="G415" s="43" t="str">
        <f>IFERROR(Sheet1!M415,0)</f>
        <v>Itajai</v>
      </c>
      <c r="H415" s="43" t="str">
        <f>IFERROR(Sheet1!H415,0)</f>
        <v>Asia Shipping</v>
      </c>
      <c r="I415" s="43" t="str">
        <f>IFERROR(Sheet1!G415,0)</f>
        <v>FOB</v>
      </c>
      <c r="J415" s="43" t="str">
        <f>IFERROR(Sheet1!K415,0)</f>
        <v>MSC</v>
      </c>
      <c r="K415" s="45">
        <f>IFERROR(Sheet1!A415,0)</f>
        <v>46074</v>
      </c>
      <c r="L415" s="45">
        <f>IFERROR(Sheet1!I415,0)</f>
        <v>46074</v>
      </c>
      <c r="M415" s="47" t="str">
        <f>IFERROR(Sheet1!P415,0)</f>
        <v>NA</v>
      </c>
      <c r="N415" s="46">
        <f>IFERROR(IF(ISNUMBER(Sheet1!N415),Sheet1!N415,0),0)</f>
        <v>0</v>
      </c>
      <c r="O415" s="46">
        <f>IFERROR(IF(TRIM(F415)="Nhava Sheva",SUMPRODUCT((UPPER(TRIM('Origin Costs'!$A$5:$A$44))=UPPER(TRIM(J415)))*'Origin Costs'!$C$5:$C$44),IF(TRIM(F415)="ICD Tihi",SUMPRODUCT((UPPER(TRIM('Origin Costs'!$A$49:$A$88))=UPPER(TRIM(J415)))*'Origin Costs'!$C$49:$C$88),IF(TRIM(F415)="ICD Dhannad",SUMPRODUCT((UPPER(TRIM('Origin Costs'!$A$93:$A$132))=UPPER(TRIM(J415)))*'Origin Costs'!$C$93:$C$132),0))),0)</f>
        <v>1081.3333333333333</v>
      </c>
      <c r="P415" s="46">
        <f t="shared" si="6"/>
        <v>1081.3333333333333</v>
      </c>
      <c r="Q415" s="13" t="str">
        <f>IF(OR(Dashboard!$C$4="All Customers",$E415=Dashboard!$C$4),IF($E415="","",$P415+ROW()/10000000),"")</f>
        <v/>
      </c>
    </row>
    <row r="416" spans="1:17" ht="14.25" customHeight="1" x14ac:dyDescent="0.3">
      <c r="A416" s="39" t="str">
        <f>IFERROR("FY"&amp;TEXT(MOD(IF(MONTH(Sheet1!A416)&gt;=4,YEAR(Sheet1!A416),YEAR(Sheet1!A416)-1),100),"00")&amp;"-"&amp;TEXT(MOD(IF(MONTH(Sheet1!A416)&gt;=4,YEAR(Sheet1!A416),YEAR(Sheet1!A416)-1)+1,100),"00"),"")</f>
        <v>FY25-26</v>
      </c>
      <c r="B416" s="40" t="str">
        <f>IFERROR("Q"&amp;IF(MONTH(Sheet1!A416)&gt;=4,IF(MONTH(Sheet1!A416)&lt;=6,1,IF(MONTH(Sheet1!A416)&lt;=9,2,3)),4),"")</f>
        <v>Q4</v>
      </c>
      <c r="C416" s="39" t="str">
        <f>IFERROR(Sheet1!C416,0)</f>
        <v>S.A</v>
      </c>
      <c r="D416" s="39" t="str">
        <f>IFERROR(Sheet1!F416,0)</f>
        <v>Brazil</v>
      </c>
      <c r="E416" s="39" t="str">
        <f>IFERROR(Sheet1!E416,0)</f>
        <v>CPX DISTRIBUIDORA S/A</v>
      </c>
      <c r="F416" s="39" t="str">
        <f>IFERROR(IF(UPPER(TRIM(Sheet1!J416))="NH","Nhava Sheva",IF(UPPER(TRIM(Sheet1!J416))="ICD","ICD Dhannad",IF(UPPER(TRIM(Sheet1!J416))="TIHI","ICD Tihi",Sheet1!J416))),0)</f>
        <v>ICD Tihi</v>
      </c>
      <c r="G416" s="39" t="str">
        <f>IFERROR(Sheet1!M416,0)</f>
        <v>Suape</v>
      </c>
      <c r="H416" s="39" t="str">
        <f>IFERROR(Sheet1!H416,0)</f>
        <v>Asia Shipping</v>
      </c>
      <c r="I416" s="39" t="str">
        <f>IFERROR(Sheet1!G416,0)</f>
        <v>FOB</v>
      </c>
      <c r="J416" s="39" t="str">
        <f>IFERROR(Sheet1!K416,0)</f>
        <v>MSC</v>
      </c>
      <c r="K416" s="41">
        <f>IFERROR(Sheet1!A416,0)</f>
        <v>46074</v>
      </c>
      <c r="L416" s="41">
        <f>IFERROR(Sheet1!I416,0)</f>
        <v>46074</v>
      </c>
      <c r="M416" s="47" t="str">
        <f>IFERROR(Sheet1!P416,0)</f>
        <v>NA</v>
      </c>
      <c r="N416" s="42">
        <f>IFERROR(IF(ISNUMBER(Sheet1!N416),Sheet1!N416,0),0)</f>
        <v>0</v>
      </c>
      <c r="O416" s="42">
        <f>IFERROR(IF(TRIM(F416)="Nhava Sheva",SUMPRODUCT((UPPER(TRIM('Origin Costs'!$A$5:$A$44))=UPPER(TRIM(J416)))*'Origin Costs'!$C$5:$C$44),IF(TRIM(F416)="ICD Tihi",SUMPRODUCT((UPPER(TRIM('Origin Costs'!$A$49:$A$88))=UPPER(TRIM(J416)))*'Origin Costs'!$C$49:$C$88),IF(TRIM(F416)="ICD Dhannad",SUMPRODUCT((UPPER(TRIM('Origin Costs'!$A$93:$A$132))=UPPER(TRIM(J416)))*'Origin Costs'!$C$93:$C$132),0))),0)</f>
        <v>1081.3333333333333</v>
      </c>
      <c r="P416" s="42">
        <f t="shared" si="6"/>
        <v>1081.3333333333333</v>
      </c>
      <c r="Q416" s="13" t="str">
        <f>IF(OR(Dashboard!$C$4="All Customers",$E416=Dashboard!$C$4),IF($E416="","",$P416+ROW()/10000000),"")</f>
        <v/>
      </c>
    </row>
    <row r="417" spans="1:17" ht="14.25" customHeight="1" x14ac:dyDescent="0.3">
      <c r="A417" s="43" t="str">
        <f>IFERROR("FY"&amp;TEXT(MOD(IF(MONTH(Sheet1!A417)&gt;=4,YEAR(Sheet1!A417),YEAR(Sheet1!A417)-1),100),"00")&amp;"-"&amp;TEXT(MOD(IF(MONTH(Sheet1!A417)&gt;=4,YEAR(Sheet1!A417),YEAR(Sheet1!A417)-1)+1,100),"00"),"")</f>
        <v>FY25-26</v>
      </c>
      <c r="B417" s="44" t="str">
        <f>IFERROR("Q"&amp;IF(MONTH(Sheet1!A417)&gt;=4,IF(MONTH(Sheet1!A417)&lt;=6,1,IF(MONTH(Sheet1!A417)&lt;=9,2,3)),4),"")</f>
        <v>Q4</v>
      </c>
      <c r="C417" s="43" t="str">
        <f>IFERROR(Sheet1!C417,0)</f>
        <v>S.A</v>
      </c>
      <c r="D417" s="43" t="str">
        <f>IFERROR(Sheet1!F417,0)</f>
        <v>Brazil</v>
      </c>
      <c r="E417" s="43" t="str">
        <f>IFERROR(Sheet1!E417,0)</f>
        <v>CPX DISTRIBUIDORA S/A</v>
      </c>
      <c r="F417" s="43" t="str">
        <f>IFERROR(IF(UPPER(TRIM(Sheet1!J417))="NH","Nhava Sheva",IF(UPPER(TRIM(Sheet1!J417))="ICD","ICD Dhannad",IF(UPPER(TRIM(Sheet1!J417))="TIHI","ICD Tihi",Sheet1!J417))),0)</f>
        <v>ICD Tihi</v>
      </c>
      <c r="G417" s="43" t="str">
        <f>IFERROR(Sheet1!M417,0)</f>
        <v>Suape</v>
      </c>
      <c r="H417" s="43" t="str">
        <f>IFERROR(Sheet1!H417,0)</f>
        <v>Asia Shipping</v>
      </c>
      <c r="I417" s="43" t="str">
        <f>IFERROR(Sheet1!G417,0)</f>
        <v>FOB</v>
      </c>
      <c r="J417" s="43" t="str">
        <f>IFERROR(Sheet1!K417,0)</f>
        <v>MSC</v>
      </c>
      <c r="K417" s="45">
        <f>IFERROR(Sheet1!A417,0)</f>
        <v>46074</v>
      </c>
      <c r="L417" s="45">
        <f>IFERROR(Sheet1!I417,0)</f>
        <v>46074</v>
      </c>
      <c r="M417" s="47" t="str">
        <f>IFERROR(Sheet1!P417,0)</f>
        <v>NA</v>
      </c>
      <c r="N417" s="46">
        <f>IFERROR(IF(ISNUMBER(Sheet1!N417),Sheet1!N417,0),0)</f>
        <v>0</v>
      </c>
      <c r="O417" s="46">
        <f>IFERROR(IF(TRIM(F417)="Nhava Sheva",SUMPRODUCT((UPPER(TRIM('Origin Costs'!$A$5:$A$44))=UPPER(TRIM(J417)))*'Origin Costs'!$C$5:$C$44),IF(TRIM(F417)="ICD Tihi",SUMPRODUCT((UPPER(TRIM('Origin Costs'!$A$49:$A$88))=UPPER(TRIM(J417)))*'Origin Costs'!$C$49:$C$88),IF(TRIM(F417)="ICD Dhannad",SUMPRODUCT((UPPER(TRIM('Origin Costs'!$A$93:$A$132))=UPPER(TRIM(J417)))*'Origin Costs'!$C$93:$C$132),0))),0)</f>
        <v>1081.3333333333333</v>
      </c>
      <c r="P417" s="46">
        <f t="shared" si="6"/>
        <v>1081.3333333333333</v>
      </c>
      <c r="Q417" s="13" t="str">
        <f>IF(OR(Dashboard!$C$4="All Customers",$E417=Dashboard!$C$4),IF($E417="","",$P417+ROW()/10000000),"")</f>
        <v/>
      </c>
    </row>
    <row r="418" spans="1:17" ht="14.25" customHeight="1" x14ac:dyDescent="0.3">
      <c r="A418" s="39" t="str">
        <f>IFERROR("FY"&amp;TEXT(MOD(IF(MONTH(Sheet1!A418)&gt;=4,YEAR(Sheet1!A418),YEAR(Sheet1!A418)-1),100),"00")&amp;"-"&amp;TEXT(MOD(IF(MONTH(Sheet1!A418)&gt;=4,YEAR(Sheet1!A418),YEAR(Sheet1!A418)-1)+1,100),"00"),"")</f>
        <v>FY25-26</v>
      </c>
      <c r="B418" s="40" t="str">
        <f>IFERROR("Q"&amp;IF(MONTH(Sheet1!A418)&gt;=4,IF(MONTH(Sheet1!A418)&lt;=6,1,IF(MONTH(Sheet1!A418)&lt;=9,2,3)),4),"")</f>
        <v>Q4</v>
      </c>
      <c r="C418" s="39" t="str">
        <f>IFERROR(Sheet1!C418,0)</f>
        <v>S.A</v>
      </c>
      <c r="D418" s="39" t="str">
        <f>IFERROR(Sheet1!F418,0)</f>
        <v>Brazil</v>
      </c>
      <c r="E418" s="39" t="str">
        <f>IFERROR(Sheet1!E418,0)</f>
        <v>CPX DISTRIBUIDORA S/A</v>
      </c>
      <c r="F418" s="39" t="str">
        <f>IFERROR(IF(UPPER(TRIM(Sheet1!J418))="NH","Nhava Sheva",IF(UPPER(TRIM(Sheet1!J418))="ICD","ICD Dhannad",IF(UPPER(TRIM(Sheet1!J418))="TIHI","ICD Tihi",Sheet1!J418))),0)</f>
        <v>ICD Tihi</v>
      </c>
      <c r="G418" s="39" t="str">
        <f>IFERROR(Sheet1!M418,0)</f>
        <v>Suape</v>
      </c>
      <c r="H418" s="39" t="str">
        <f>IFERROR(Sheet1!H418,0)</f>
        <v>Asia Shipping</v>
      </c>
      <c r="I418" s="39" t="str">
        <f>IFERROR(Sheet1!G418,0)</f>
        <v>FOB</v>
      </c>
      <c r="J418" s="39" t="str">
        <f>IFERROR(Sheet1!K418,0)</f>
        <v>MSC</v>
      </c>
      <c r="K418" s="41">
        <f>IFERROR(Sheet1!A418,0)</f>
        <v>46074</v>
      </c>
      <c r="L418" s="41">
        <f>IFERROR(Sheet1!I418,0)</f>
        <v>46074</v>
      </c>
      <c r="M418" s="47" t="str">
        <f>IFERROR(Sheet1!P418,0)</f>
        <v>NA</v>
      </c>
      <c r="N418" s="42">
        <f>IFERROR(IF(ISNUMBER(Sheet1!N418),Sheet1!N418,0),0)</f>
        <v>0</v>
      </c>
      <c r="O418" s="42">
        <f>IFERROR(IF(TRIM(F418)="Nhava Sheva",SUMPRODUCT((UPPER(TRIM('Origin Costs'!$A$5:$A$44))=UPPER(TRIM(J418)))*'Origin Costs'!$C$5:$C$44),IF(TRIM(F418)="ICD Tihi",SUMPRODUCT((UPPER(TRIM('Origin Costs'!$A$49:$A$88))=UPPER(TRIM(J418)))*'Origin Costs'!$C$49:$C$88),IF(TRIM(F418)="ICD Dhannad",SUMPRODUCT((UPPER(TRIM('Origin Costs'!$A$93:$A$132))=UPPER(TRIM(J418)))*'Origin Costs'!$C$93:$C$132),0))),0)</f>
        <v>1081.3333333333333</v>
      </c>
      <c r="P418" s="42">
        <f t="shared" si="6"/>
        <v>1081.3333333333333</v>
      </c>
      <c r="Q418" s="13" t="str">
        <f>IF(OR(Dashboard!$C$4="All Customers",$E418=Dashboard!$C$4),IF($E418="","",$P418+ROW()/10000000),"")</f>
        <v/>
      </c>
    </row>
    <row r="419" spans="1:17" ht="14.25" customHeight="1" x14ac:dyDescent="0.3">
      <c r="A419" s="43" t="str">
        <f>IFERROR("FY"&amp;TEXT(MOD(IF(MONTH(Sheet1!A419)&gt;=4,YEAR(Sheet1!A419),YEAR(Sheet1!A419)-1),100),"00")&amp;"-"&amp;TEXT(MOD(IF(MONTH(Sheet1!A419)&gt;=4,YEAR(Sheet1!A419),YEAR(Sheet1!A419)-1)+1,100),"00"),"")</f>
        <v>FY25-26</v>
      </c>
      <c r="B419" s="44" t="str">
        <f>IFERROR("Q"&amp;IF(MONTH(Sheet1!A419)&gt;=4,IF(MONTH(Sheet1!A419)&lt;=6,1,IF(MONTH(Sheet1!A419)&lt;=9,2,3)),4),"")</f>
        <v>Q4</v>
      </c>
      <c r="C419" s="43" t="str">
        <f>IFERROR(Sheet1!C419,0)</f>
        <v>S.A</v>
      </c>
      <c r="D419" s="43" t="str">
        <f>IFERROR(Sheet1!F419,0)</f>
        <v>Brazil</v>
      </c>
      <c r="E419" s="43" t="str">
        <f>IFERROR(Sheet1!E419,0)</f>
        <v>CPX DISTRIBUIDORA S/A</v>
      </c>
      <c r="F419" s="43" t="str">
        <f>IFERROR(IF(UPPER(TRIM(Sheet1!J419))="NH","Nhava Sheva",IF(UPPER(TRIM(Sheet1!J419))="ICD","ICD Dhannad",IF(UPPER(TRIM(Sheet1!J419))="TIHI","ICD Tihi",Sheet1!J419))),0)</f>
        <v>ICD Tihi</v>
      </c>
      <c r="G419" s="43" t="str">
        <f>IFERROR(Sheet1!M419,0)</f>
        <v>Itajai</v>
      </c>
      <c r="H419" s="43" t="str">
        <f>IFERROR(Sheet1!H419,0)</f>
        <v>Asia Shipping</v>
      </c>
      <c r="I419" s="43" t="str">
        <f>IFERROR(Sheet1!G419,0)</f>
        <v>FOB</v>
      </c>
      <c r="J419" s="43" t="str">
        <f>IFERROR(Sheet1!K419,0)</f>
        <v>MSC</v>
      </c>
      <c r="K419" s="45">
        <f>IFERROR(Sheet1!A419,0)</f>
        <v>46074</v>
      </c>
      <c r="L419" s="45">
        <f>IFERROR(Sheet1!I419,0)</f>
        <v>46074</v>
      </c>
      <c r="M419" s="47" t="str">
        <f>IFERROR(Sheet1!P419,0)</f>
        <v>NA</v>
      </c>
      <c r="N419" s="46">
        <f>IFERROR(IF(ISNUMBER(Sheet1!N419),Sheet1!N419,0),0)</f>
        <v>0</v>
      </c>
      <c r="O419" s="46">
        <f>IFERROR(IF(TRIM(F419)="Nhava Sheva",SUMPRODUCT((UPPER(TRIM('Origin Costs'!$A$5:$A$44))=UPPER(TRIM(J419)))*'Origin Costs'!$C$5:$C$44),IF(TRIM(F419)="ICD Tihi",SUMPRODUCT((UPPER(TRIM('Origin Costs'!$A$49:$A$88))=UPPER(TRIM(J419)))*'Origin Costs'!$C$49:$C$88),IF(TRIM(F419)="ICD Dhannad",SUMPRODUCT((UPPER(TRIM('Origin Costs'!$A$93:$A$132))=UPPER(TRIM(J419)))*'Origin Costs'!$C$93:$C$132),0))),0)</f>
        <v>1081.3333333333333</v>
      </c>
      <c r="P419" s="46">
        <f t="shared" si="6"/>
        <v>1081.3333333333333</v>
      </c>
      <c r="Q419" s="13" t="str">
        <f>IF(OR(Dashboard!$C$4="All Customers",$E419=Dashboard!$C$4),IF($E419="","",$P419+ROW()/10000000),"")</f>
        <v/>
      </c>
    </row>
    <row r="420" spans="1:17" ht="14.25" customHeight="1" x14ac:dyDescent="0.3">
      <c r="A420" s="39" t="str">
        <f>IFERROR("FY"&amp;TEXT(MOD(IF(MONTH(Sheet1!A420)&gt;=4,YEAR(Sheet1!A420),YEAR(Sheet1!A420)-1),100),"00")&amp;"-"&amp;TEXT(MOD(IF(MONTH(Sheet1!A420)&gt;=4,YEAR(Sheet1!A420),YEAR(Sheet1!A420)-1)+1,100),"00"),"")</f>
        <v>FY25-26</v>
      </c>
      <c r="B420" s="40" t="str">
        <f>IFERROR("Q"&amp;IF(MONTH(Sheet1!A420)&gt;=4,IF(MONTH(Sheet1!A420)&lt;=6,1,IF(MONTH(Sheet1!A420)&lt;=9,2,3)),4),"")</f>
        <v>Q4</v>
      </c>
      <c r="C420" s="39" t="str">
        <f>IFERROR(Sheet1!C420,0)</f>
        <v>MEA</v>
      </c>
      <c r="D420" s="39" t="str">
        <f>IFERROR(Sheet1!F420,0)</f>
        <v>South Africa</v>
      </c>
      <c r="E420" s="39" t="str">
        <f>IFERROR(Sheet1!E420,0)</f>
        <v>Thomas Tyres, South Africa</v>
      </c>
      <c r="F420" s="39" t="str">
        <f>IFERROR(IF(UPPER(TRIM(Sheet1!J420))="NH","Nhava Sheva",IF(UPPER(TRIM(Sheet1!J420))="ICD","ICD Dhannad",IF(UPPER(TRIM(Sheet1!J420))="TIHI","ICD Tihi",Sheet1!J420))),0)</f>
        <v>Nhava Sheva</v>
      </c>
      <c r="G420" s="39" t="str">
        <f>IFERROR(Sheet1!M420,0)</f>
        <v>Durban</v>
      </c>
      <c r="H420" s="39" t="str">
        <f>IFERROR(Sheet1!H420,0)</f>
        <v>Hellmann</v>
      </c>
      <c r="I420" s="39" t="str">
        <f>IFERROR(Sheet1!G420,0)</f>
        <v>CFR</v>
      </c>
      <c r="J420" s="39" t="str">
        <f>IFERROR(Sheet1!K420,0)</f>
        <v>Hapag</v>
      </c>
      <c r="K420" s="41">
        <f>IFERROR(Sheet1!A420,0)</f>
        <v>46074</v>
      </c>
      <c r="L420" s="41">
        <f>IFERROR(Sheet1!I420,0)</f>
        <v>46072</v>
      </c>
      <c r="M420" s="47" t="str">
        <f>IFERROR(Sheet1!P420,0)</f>
        <v>NA</v>
      </c>
      <c r="N420" s="42">
        <f>IFERROR(IF(ISNUMBER(Sheet1!N420),Sheet1!N420,0),0)</f>
        <v>1080</v>
      </c>
      <c r="O420" s="42">
        <f>IFERROR(IF(TRIM(F420)="Nhava Sheva",SUMPRODUCT((UPPER(TRIM('Origin Costs'!$A$5:$A$44))=UPPER(TRIM(J420)))*'Origin Costs'!$C$5:$C$44),IF(TRIM(F420)="ICD Tihi",SUMPRODUCT((UPPER(TRIM('Origin Costs'!$A$49:$A$88))=UPPER(TRIM(J420)))*'Origin Costs'!$C$49:$C$88),IF(TRIM(F420)="ICD Dhannad",SUMPRODUCT((UPPER(TRIM('Origin Costs'!$A$93:$A$132))=UPPER(TRIM(J420)))*'Origin Costs'!$C$93:$C$132),0))),0)</f>
        <v>1192.9777777777779</v>
      </c>
      <c r="P420" s="42">
        <f t="shared" si="6"/>
        <v>2272.9777777777781</v>
      </c>
      <c r="Q420" s="13" t="str">
        <f>IF(OR(Dashboard!$C$4="All Customers",$E420=Dashboard!$C$4),IF($E420="","",$P420+ROW()/10000000),"")</f>
        <v/>
      </c>
    </row>
    <row r="421" spans="1:17" ht="14.25" customHeight="1" x14ac:dyDescent="0.3">
      <c r="A421" s="43" t="str">
        <f>IFERROR("FY"&amp;TEXT(MOD(IF(MONTH(Sheet1!A421)&gt;=4,YEAR(Sheet1!A421),YEAR(Sheet1!A421)-1),100),"00")&amp;"-"&amp;TEXT(MOD(IF(MONTH(Sheet1!A421)&gt;=4,YEAR(Sheet1!A421),YEAR(Sheet1!A421)-1)+1,100),"00"),"")</f>
        <v>FY25-26</v>
      </c>
      <c r="B421" s="44" t="str">
        <f>IFERROR("Q"&amp;IF(MONTH(Sheet1!A421)&gt;=4,IF(MONTH(Sheet1!A421)&lt;=6,1,IF(MONTH(Sheet1!A421)&lt;=9,2,3)),4),"")</f>
        <v>Q4</v>
      </c>
      <c r="C421" s="43" t="str">
        <f>IFERROR(Sheet1!C421,0)</f>
        <v>S.A</v>
      </c>
      <c r="D421" s="43" t="str">
        <f>IFERROR(Sheet1!F421,0)</f>
        <v>Columbia</v>
      </c>
      <c r="E421" s="43" t="str">
        <f>IFERROR(Sheet1!E421,0)</f>
        <v>MULTILLANTAS ZONA LIBRE S.A., Panama</v>
      </c>
      <c r="F421" s="43" t="str">
        <f>IFERROR(IF(UPPER(TRIM(Sheet1!J421))="NH","Nhava Sheva",IF(UPPER(TRIM(Sheet1!J421))="ICD","ICD Dhannad",IF(UPPER(TRIM(Sheet1!J421))="TIHI","ICD Tihi",Sheet1!J421))),0)</f>
        <v>ICD Tihi</v>
      </c>
      <c r="G421" s="43" t="str">
        <f>IFERROR(Sheet1!M421,0)</f>
        <v>Buenaventura</v>
      </c>
      <c r="H421" s="43" t="str">
        <f>IFERROR(Sheet1!H421,0)</f>
        <v>Pisces Container</v>
      </c>
      <c r="I421" s="43" t="str">
        <f>IFERROR(Sheet1!G421,0)</f>
        <v>FOB</v>
      </c>
      <c r="J421" s="43" t="str">
        <f>IFERROR(Sheet1!K421,0)</f>
        <v>CMA</v>
      </c>
      <c r="K421" s="45">
        <f>IFERROR(Sheet1!A421,0)</f>
        <v>46075</v>
      </c>
      <c r="L421" s="45">
        <f>IFERROR(Sheet1!I421,0)</f>
        <v>46075</v>
      </c>
      <c r="M421" s="47" t="str">
        <f>IFERROR(Sheet1!P421,0)</f>
        <v>NA</v>
      </c>
      <c r="N421" s="46">
        <f>IFERROR(IF(ISNUMBER(Sheet1!N421),Sheet1!N421,0),0)</f>
        <v>0</v>
      </c>
      <c r="O421" s="46">
        <f>IFERROR(IF(TRIM(F421)="Nhava Sheva",SUMPRODUCT((UPPER(TRIM('Origin Costs'!$A$5:$A$44))=UPPER(TRIM(J421)))*'Origin Costs'!$C$5:$C$44),IF(TRIM(F421)="ICD Tihi",SUMPRODUCT((UPPER(TRIM('Origin Costs'!$A$49:$A$88))=UPPER(TRIM(J421)))*'Origin Costs'!$C$49:$C$88),IF(TRIM(F421)="ICD Dhannad",SUMPRODUCT((UPPER(TRIM('Origin Costs'!$A$93:$A$132))=UPPER(TRIM(J421)))*'Origin Costs'!$C$93:$C$132),0))),0)</f>
        <v>1110.9666666666667</v>
      </c>
      <c r="P421" s="46">
        <f t="shared" si="6"/>
        <v>1110.9666666666667</v>
      </c>
      <c r="Q421" s="13" t="str">
        <f>IF(OR(Dashboard!$C$4="All Customers",$E421=Dashboard!$C$4),IF($E421="","",$P421+ROW()/10000000),"")</f>
        <v/>
      </c>
    </row>
    <row r="422" spans="1:17" ht="14.25" customHeight="1" x14ac:dyDescent="0.3">
      <c r="A422" s="39" t="str">
        <f>IFERROR("FY"&amp;TEXT(MOD(IF(MONTH(Sheet1!A422)&gt;=4,YEAR(Sheet1!A422),YEAR(Sheet1!A422)-1),100),"00")&amp;"-"&amp;TEXT(MOD(IF(MONTH(Sheet1!A422)&gt;=4,YEAR(Sheet1!A422),YEAR(Sheet1!A422)-1)+1,100),"00"),"")</f>
        <v>FY25-26</v>
      </c>
      <c r="B422" s="40" t="str">
        <f>IFERROR("Q"&amp;IF(MONTH(Sheet1!A422)&gt;=4,IF(MONTH(Sheet1!A422)&lt;=6,1,IF(MONTH(Sheet1!A422)&lt;=9,2,3)),4),"")</f>
        <v>Q4</v>
      </c>
      <c r="C422" s="39" t="str">
        <f>IFERROR(Sheet1!C422,0)</f>
        <v>S.A</v>
      </c>
      <c r="D422" s="39" t="str">
        <f>IFERROR(Sheet1!F422,0)</f>
        <v>Columbia</v>
      </c>
      <c r="E422" s="39" t="str">
        <f>IFERROR(Sheet1!E422,0)</f>
        <v>MULTILLANTAS ZONA LIBRE S.A., Panama</v>
      </c>
      <c r="F422" s="39" t="str">
        <f>IFERROR(IF(UPPER(TRIM(Sheet1!J422))="NH","Nhava Sheva",IF(UPPER(TRIM(Sheet1!J422))="ICD","ICD Dhannad",IF(UPPER(TRIM(Sheet1!J422))="TIHI","ICD Tihi",Sheet1!J422))),0)</f>
        <v>ICD Tihi</v>
      </c>
      <c r="G422" s="39" t="str">
        <f>IFERROR(Sheet1!M422,0)</f>
        <v>Buenaventura</v>
      </c>
      <c r="H422" s="39" t="str">
        <f>IFERROR(Sheet1!H422,0)</f>
        <v>Pisces Container</v>
      </c>
      <c r="I422" s="39" t="str">
        <f>IFERROR(Sheet1!G422,0)</f>
        <v>FOB</v>
      </c>
      <c r="J422" s="39" t="str">
        <f>IFERROR(Sheet1!K422,0)</f>
        <v>CMA</v>
      </c>
      <c r="K422" s="41">
        <f>IFERROR(Sheet1!A422,0)</f>
        <v>46075</v>
      </c>
      <c r="L422" s="41">
        <f>IFERROR(Sheet1!I422,0)</f>
        <v>46075</v>
      </c>
      <c r="M422" s="47" t="str">
        <f>IFERROR(Sheet1!P422,0)</f>
        <v>NA</v>
      </c>
      <c r="N422" s="42">
        <f>IFERROR(IF(ISNUMBER(Sheet1!N422),Sheet1!N422,0),0)</f>
        <v>0</v>
      </c>
      <c r="O422" s="42">
        <f>IFERROR(IF(TRIM(F422)="Nhava Sheva",SUMPRODUCT((UPPER(TRIM('Origin Costs'!$A$5:$A$44))=UPPER(TRIM(J422)))*'Origin Costs'!$C$5:$C$44),IF(TRIM(F422)="ICD Tihi",SUMPRODUCT((UPPER(TRIM('Origin Costs'!$A$49:$A$88))=UPPER(TRIM(J422)))*'Origin Costs'!$C$49:$C$88),IF(TRIM(F422)="ICD Dhannad",SUMPRODUCT((UPPER(TRIM('Origin Costs'!$A$93:$A$132))=UPPER(TRIM(J422)))*'Origin Costs'!$C$93:$C$132),0))),0)</f>
        <v>1110.9666666666667</v>
      </c>
      <c r="P422" s="42">
        <f t="shared" si="6"/>
        <v>1110.9666666666667</v>
      </c>
      <c r="Q422" s="13" t="str">
        <f>IF(OR(Dashboard!$C$4="All Customers",$E422=Dashboard!$C$4),IF($E422="","",$P422+ROW()/10000000),"")</f>
        <v/>
      </c>
    </row>
    <row r="423" spans="1:17" ht="14.25" customHeight="1" x14ac:dyDescent="0.3">
      <c r="A423" s="43" t="str">
        <f>IFERROR("FY"&amp;TEXT(MOD(IF(MONTH(Sheet1!A423)&gt;=4,YEAR(Sheet1!A423),YEAR(Sheet1!A423)-1),100),"00")&amp;"-"&amp;TEXT(MOD(IF(MONTH(Sheet1!A423)&gt;=4,YEAR(Sheet1!A423),YEAR(Sheet1!A423)-1)+1,100),"00"),"")</f>
        <v>FY25-26</v>
      </c>
      <c r="B423" s="44" t="str">
        <f>IFERROR("Q"&amp;IF(MONTH(Sheet1!A423)&gt;=4,IF(MONTH(Sheet1!A423)&lt;=6,1,IF(MONTH(Sheet1!A423)&lt;=9,2,3)),4),"")</f>
        <v>Q4</v>
      </c>
      <c r="C423" s="43" t="str">
        <f>IFERROR(Sheet1!C423,0)</f>
        <v>CIS</v>
      </c>
      <c r="D423" s="43" t="str">
        <f>IFERROR(Sheet1!F423,0)</f>
        <v>Russia</v>
      </c>
      <c r="E423" s="43" t="str">
        <f>IFERROR(Sheet1!E423,0)</f>
        <v>STALKER LTD, Russia</v>
      </c>
      <c r="F423" s="43" t="str">
        <f>IFERROR(IF(UPPER(TRIM(Sheet1!J423))="NH","Nhava Sheva",IF(UPPER(TRIM(Sheet1!J423))="ICD","ICD Dhannad",IF(UPPER(TRIM(Sheet1!J423))="TIHI","ICD Tihi",Sheet1!J423))),0)</f>
        <v>Nhava Sheva</v>
      </c>
      <c r="G423" s="43" t="str">
        <f>IFERROR(Sheet1!M423,0)</f>
        <v>NOVOROSSIYSK</v>
      </c>
      <c r="H423" s="43" t="str">
        <f>IFERROR(Sheet1!H423,0)</f>
        <v>Prologis Freight</v>
      </c>
      <c r="I423" s="43" t="str">
        <f>IFERROR(Sheet1!G423,0)</f>
        <v>CFR</v>
      </c>
      <c r="J423" s="43" t="str">
        <f>IFERROR(Sheet1!K423,0)</f>
        <v>Silmar</v>
      </c>
      <c r="K423" s="45">
        <f>IFERROR(Sheet1!A423,0)</f>
        <v>46075</v>
      </c>
      <c r="L423" s="45">
        <f>IFERROR(Sheet1!I423,0)</f>
        <v>46074</v>
      </c>
      <c r="M423" s="47" t="str">
        <f>IFERROR(Sheet1!P423,0)</f>
        <v>NA</v>
      </c>
      <c r="N423" s="46">
        <f>IFERROR(IF(ISNUMBER(Sheet1!N423),Sheet1!N423,0),0)</f>
        <v>3300</v>
      </c>
      <c r="O423" s="46">
        <f>IFERROR(IF(TRIM(F423)="Nhava Sheva",SUMPRODUCT((UPPER(TRIM('Origin Costs'!$A$5:$A$44))=UPPER(TRIM(J423)))*'Origin Costs'!$C$5:$C$44),IF(TRIM(F423)="ICD Tihi",SUMPRODUCT((UPPER(TRIM('Origin Costs'!$A$49:$A$88))=UPPER(TRIM(J423)))*'Origin Costs'!$C$49:$C$88),IF(TRIM(F423)="ICD Dhannad",SUMPRODUCT((UPPER(TRIM('Origin Costs'!$A$93:$A$132))=UPPER(TRIM(J423)))*'Origin Costs'!$C$93:$C$132),0))),0)</f>
        <v>0</v>
      </c>
      <c r="P423" s="46">
        <f t="shared" si="6"/>
        <v>3300</v>
      </c>
      <c r="Q423" s="13" t="str">
        <f>IF(OR(Dashboard!$C$4="All Customers",$E423=Dashboard!$C$4),IF($E423="","",$P423+ROW()/10000000),"")</f>
        <v/>
      </c>
    </row>
    <row r="424" spans="1:17" ht="14.25" customHeight="1" x14ac:dyDescent="0.3">
      <c r="A424" s="39" t="str">
        <f>IFERROR("FY"&amp;TEXT(MOD(IF(MONTH(Sheet1!A424)&gt;=4,YEAR(Sheet1!A424),YEAR(Sheet1!A424)-1),100),"00")&amp;"-"&amp;TEXT(MOD(IF(MONTH(Sheet1!A424)&gt;=4,YEAR(Sheet1!A424),YEAR(Sheet1!A424)-1)+1,100),"00"),"")</f>
        <v>FY25-26</v>
      </c>
      <c r="B424" s="40" t="str">
        <f>IFERROR("Q"&amp;IF(MONTH(Sheet1!A424)&gt;=4,IF(MONTH(Sheet1!A424)&lt;=6,1,IF(MONTH(Sheet1!A424)&lt;=9,2,3)),4),"")</f>
        <v>Q4</v>
      </c>
      <c r="C424" s="39" t="str">
        <f>IFERROR(Sheet1!C424,0)</f>
        <v>Europe</v>
      </c>
      <c r="D424" s="39" t="str">
        <f>IFERROR(Sheet1!F424,0)</f>
        <v>Bulgaria</v>
      </c>
      <c r="E424" s="39" t="str">
        <f>IFERROR(Sheet1!E424,0)</f>
        <v>Copadex, France</v>
      </c>
      <c r="F424" s="39" t="str">
        <f>IFERROR(IF(UPPER(TRIM(Sheet1!J424))="NH","Nhava Sheva",IF(UPPER(TRIM(Sheet1!J424))="ICD","ICD Dhannad",IF(UPPER(TRIM(Sheet1!J424))="TIHI","ICD Tihi",Sheet1!J424))),0)</f>
        <v>Nhava Sheva</v>
      </c>
      <c r="G424" s="39" t="str">
        <f>IFERROR(Sheet1!M424,0)</f>
        <v>THESSALONIKI</v>
      </c>
      <c r="H424" s="39" t="str">
        <f>IFERROR(Sheet1!H424,0)</f>
        <v>Jeena &amp; Co</v>
      </c>
      <c r="I424" s="39" t="str">
        <f>IFERROR(Sheet1!G424,0)</f>
        <v>FOB</v>
      </c>
      <c r="J424" s="39" t="str">
        <f>IFERROR(Sheet1!K424,0)</f>
        <v>MSC</v>
      </c>
      <c r="K424" s="41">
        <f>IFERROR(Sheet1!A424,0)</f>
        <v>46076</v>
      </c>
      <c r="L424" s="41">
        <f>IFERROR(Sheet1!I424,0)</f>
        <v>46074</v>
      </c>
      <c r="M424" s="47" t="str">
        <f>IFERROR(Sheet1!P424,0)</f>
        <v>NA</v>
      </c>
      <c r="N424" s="42">
        <f>IFERROR(IF(ISNUMBER(Sheet1!N424),Sheet1!N424,0),0)</f>
        <v>0</v>
      </c>
      <c r="O424" s="42">
        <f>IFERROR(IF(TRIM(F424)="Nhava Sheva",SUMPRODUCT((UPPER(TRIM('Origin Costs'!$A$5:$A$44))=UPPER(TRIM(J424)))*'Origin Costs'!$C$5:$C$44),IF(TRIM(F424)="ICD Tihi",SUMPRODUCT((UPPER(TRIM('Origin Costs'!$A$49:$A$88))=UPPER(TRIM(J424)))*'Origin Costs'!$C$49:$C$88),IF(TRIM(F424)="ICD Dhannad",SUMPRODUCT((UPPER(TRIM('Origin Costs'!$A$93:$A$132))=UPPER(TRIM(J424)))*'Origin Costs'!$C$93:$C$132),0))),0)</f>
        <v>1168.8222222222223</v>
      </c>
      <c r="P424" s="42">
        <f t="shared" si="6"/>
        <v>1168.8222222222223</v>
      </c>
      <c r="Q424" s="13" t="str">
        <f>IF(OR(Dashboard!$C$4="All Customers",$E424=Dashboard!$C$4),IF($E424="","",$P424+ROW()/10000000),"")</f>
        <v/>
      </c>
    </row>
    <row r="425" spans="1:17" ht="14.25" customHeight="1" x14ac:dyDescent="0.3">
      <c r="A425" s="43" t="str">
        <f>IFERROR("FY"&amp;TEXT(MOD(IF(MONTH(Sheet1!A425)&gt;=4,YEAR(Sheet1!A425),YEAR(Sheet1!A425)-1),100),"00")&amp;"-"&amp;TEXT(MOD(IF(MONTH(Sheet1!A425)&gt;=4,YEAR(Sheet1!A425),YEAR(Sheet1!A425)-1)+1,100),"00"),"")</f>
        <v>FY25-26</v>
      </c>
      <c r="B425" s="44" t="str">
        <f>IFERROR("Q"&amp;IF(MONTH(Sheet1!A425)&gt;=4,IF(MONTH(Sheet1!A425)&lt;=6,1,IF(MONTH(Sheet1!A425)&lt;=9,2,3)),4),"")</f>
        <v>Q4</v>
      </c>
      <c r="C425" s="43" t="str">
        <f>IFERROR(Sheet1!C425,0)</f>
        <v>Europe</v>
      </c>
      <c r="D425" s="43" t="str">
        <f>IFERROR(Sheet1!F425,0)</f>
        <v>Bulgaria</v>
      </c>
      <c r="E425" s="43" t="str">
        <f>IFERROR(Sheet1!E425,0)</f>
        <v>Inter Cars Bulgaria EOOD</v>
      </c>
      <c r="F425" s="43" t="str">
        <f>IFERROR(IF(UPPER(TRIM(Sheet1!J425))="NH","Nhava Sheva",IF(UPPER(TRIM(Sheet1!J425))="ICD","ICD Dhannad",IF(UPPER(TRIM(Sheet1!J425))="TIHI","ICD Tihi",Sheet1!J425))),0)</f>
        <v>Nhava Sheva</v>
      </c>
      <c r="G425" s="43" t="str">
        <f>IFERROR(Sheet1!M425,0)</f>
        <v>THESSALONIKI</v>
      </c>
      <c r="H425" s="43" t="str">
        <f>IFERROR(Sheet1!H425,0)</f>
        <v>Fortune GLS</v>
      </c>
      <c r="I425" s="43" t="str">
        <f>IFERROR(Sheet1!G425,0)</f>
        <v>FOB</v>
      </c>
      <c r="J425" s="43" t="str">
        <f>IFERROR(Sheet1!K425,0)</f>
        <v>Maersk</v>
      </c>
      <c r="K425" s="45">
        <f>IFERROR(Sheet1!A425,0)</f>
        <v>46076</v>
      </c>
      <c r="L425" s="45">
        <f>IFERROR(Sheet1!I425,0)</f>
        <v>46074</v>
      </c>
      <c r="M425" s="47" t="str">
        <f>IFERROR(Sheet1!P425,0)</f>
        <v>NA</v>
      </c>
      <c r="N425" s="46">
        <f>IFERROR(IF(ISNUMBER(Sheet1!N425),Sheet1!N425,0),0)</f>
        <v>0</v>
      </c>
      <c r="O425" s="46">
        <f>IFERROR(IF(TRIM(F425)="Nhava Sheva",SUMPRODUCT((UPPER(TRIM('Origin Costs'!$A$5:$A$44))=UPPER(TRIM(J425)))*'Origin Costs'!$C$5:$C$44),IF(TRIM(F425)="ICD Tihi",SUMPRODUCT((UPPER(TRIM('Origin Costs'!$A$49:$A$88))=UPPER(TRIM(J425)))*'Origin Costs'!$C$49:$C$88),IF(TRIM(F425)="ICD Dhannad",SUMPRODUCT((UPPER(TRIM('Origin Costs'!$A$93:$A$132))=UPPER(TRIM(J425)))*'Origin Costs'!$C$93:$C$132),0))),0)</f>
        <v>1148.588888888889</v>
      </c>
      <c r="P425" s="46">
        <f t="shared" si="6"/>
        <v>1148.588888888889</v>
      </c>
      <c r="Q425" s="13" t="str">
        <f>IF(OR(Dashboard!$C$4="All Customers",$E425=Dashboard!$C$4),IF($E425="","",$P425+ROW()/10000000),"")</f>
        <v/>
      </c>
    </row>
    <row r="426" spans="1:17" ht="14.25" customHeight="1" x14ac:dyDescent="0.3">
      <c r="A426" s="39" t="str">
        <f>IFERROR("FY"&amp;TEXT(MOD(IF(MONTH(Sheet1!A426)&gt;=4,YEAR(Sheet1!A426),YEAR(Sheet1!A426)-1),100),"00")&amp;"-"&amp;TEXT(MOD(IF(MONTH(Sheet1!A426)&gt;=4,YEAR(Sheet1!A426),YEAR(Sheet1!A426)-1)+1,100),"00"),"")</f>
        <v>FY25-26</v>
      </c>
      <c r="B426" s="40" t="str">
        <f>IFERROR("Q"&amp;IF(MONTH(Sheet1!A426)&gt;=4,IF(MONTH(Sheet1!A426)&lt;=6,1,IF(MONTH(Sheet1!A426)&lt;=9,2,3)),4),"")</f>
        <v>Q4</v>
      </c>
      <c r="C426" s="39" t="str">
        <f>IFERROR(Sheet1!C426,0)</f>
        <v>Europe</v>
      </c>
      <c r="D426" s="39" t="str">
        <f>IFERROR(Sheet1!F426,0)</f>
        <v>Poland</v>
      </c>
      <c r="E426" s="39" t="str">
        <f>IFERROR(Sheet1!E426,0)</f>
        <v>Inter Cars S.A., Poland</v>
      </c>
      <c r="F426" s="39" t="str">
        <f>IFERROR(IF(UPPER(TRIM(Sheet1!J426))="NH","Nhava Sheva",IF(UPPER(TRIM(Sheet1!J426))="ICD","ICD Dhannad",IF(UPPER(TRIM(Sheet1!J426))="TIHI","ICD Tihi",Sheet1!J426))),0)</f>
        <v>Nhava Sheva</v>
      </c>
      <c r="G426" s="39" t="str">
        <f>IFERROR(Sheet1!M426,0)</f>
        <v>Gdansk</v>
      </c>
      <c r="H426" s="39" t="str">
        <f>IFERROR(Sheet1!H426,0)</f>
        <v>Ligentia Global</v>
      </c>
      <c r="I426" s="39" t="str">
        <f>IFERROR(Sheet1!G426,0)</f>
        <v>FOB</v>
      </c>
      <c r="J426" s="39" t="str">
        <f>IFERROR(Sheet1!K426,0)</f>
        <v>MSC</v>
      </c>
      <c r="K426" s="41">
        <f>IFERROR(Sheet1!A426,0)</f>
        <v>46076</v>
      </c>
      <c r="L426" s="41">
        <f>IFERROR(Sheet1!I426,0)</f>
        <v>46072</v>
      </c>
      <c r="M426" s="47" t="str">
        <f>IFERROR(Sheet1!P426,0)</f>
        <v>NA</v>
      </c>
      <c r="N426" s="42">
        <f>IFERROR(IF(ISNUMBER(Sheet1!N426),Sheet1!N426,0),0)</f>
        <v>0</v>
      </c>
      <c r="O426" s="42">
        <f>IFERROR(IF(TRIM(F426)="Nhava Sheva",SUMPRODUCT((UPPER(TRIM('Origin Costs'!$A$5:$A$44))=UPPER(TRIM(J426)))*'Origin Costs'!$C$5:$C$44),IF(TRIM(F426)="ICD Tihi",SUMPRODUCT((UPPER(TRIM('Origin Costs'!$A$49:$A$88))=UPPER(TRIM(J426)))*'Origin Costs'!$C$49:$C$88),IF(TRIM(F426)="ICD Dhannad",SUMPRODUCT((UPPER(TRIM('Origin Costs'!$A$93:$A$132))=UPPER(TRIM(J426)))*'Origin Costs'!$C$93:$C$132),0))),0)</f>
        <v>1168.8222222222223</v>
      </c>
      <c r="P426" s="42">
        <f t="shared" si="6"/>
        <v>1168.8222222222223</v>
      </c>
      <c r="Q426" s="13" t="str">
        <f>IF(OR(Dashboard!$C$4="All Customers",$E426=Dashboard!$C$4),IF($E426="","",$P426+ROW()/10000000),"")</f>
        <v/>
      </c>
    </row>
    <row r="427" spans="1:17" ht="14.25" customHeight="1" x14ac:dyDescent="0.3">
      <c r="A427" s="43" t="str">
        <f>IFERROR("FY"&amp;TEXT(MOD(IF(MONTH(Sheet1!A427)&gt;=4,YEAR(Sheet1!A427),YEAR(Sheet1!A427)-1),100),"00")&amp;"-"&amp;TEXT(MOD(IF(MONTH(Sheet1!A427)&gt;=4,YEAR(Sheet1!A427),YEAR(Sheet1!A427)-1)+1,100),"00"),"")</f>
        <v>FY25-26</v>
      </c>
      <c r="B427" s="44" t="str">
        <f>IFERROR("Q"&amp;IF(MONTH(Sheet1!A427)&gt;=4,IF(MONTH(Sheet1!A427)&lt;=6,1,IF(MONTH(Sheet1!A427)&lt;=9,2,3)),4),"")</f>
        <v>Q4</v>
      </c>
      <c r="C427" s="43" t="str">
        <f>IFERROR(Sheet1!C427,0)</f>
        <v>S.A</v>
      </c>
      <c r="D427" s="43" t="str">
        <f>IFERROR(Sheet1!F427,0)</f>
        <v>Brazil</v>
      </c>
      <c r="E427" s="43" t="str">
        <f>IFERROR(Sheet1!E427,0)</f>
        <v>Unus Holding Ltda., Brazil</v>
      </c>
      <c r="F427" s="43" t="str">
        <f>IFERROR(IF(UPPER(TRIM(Sheet1!J427))="NH","Nhava Sheva",IF(UPPER(TRIM(Sheet1!J427))="ICD","ICD Dhannad",IF(UPPER(TRIM(Sheet1!J427))="TIHI","ICD Tihi",Sheet1!J427))),0)</f>
        <v>Nhava Sheva</v>
      </c>
      <c r="G427" s="43" t="str">
        <f>IFERROR(Sheet1!M427,0)</f>
        <v>Paranagua</v>
      </c>
      <c r="H427" s="43" t="str">
        <f>IFERROR(Sheet1!H427,0)</f>
        <v>Wilhaven</v>
      </c>
      <c r="I427" s="43" t="str">
        <f>IFERROR(Sheet1!G427,0)</f>
        <v>FOB</v>
      </c>
      <c r="J427" s="43" t="str">
        <f>IFERROR(Sheet1!K427,0)</f>
        <v>MSC</v>
      </c>
      <c r="K427" s="45">
        <f>IFERROR(Sheet1!A427,0)</f>
        <v>46076</v>
      </c>
      <c r="L427" s="45">
        <f>IFERROR(Sheet1!I427,0)</f>
        <v>46074</v>
      </c>
      <c r="M427" s="47" t="str">
        <f>IFERROR(Sheet1!P427,0)</f>
        <v>NA</v>
      </c>
      <c r="N427" s="46">
        <f>IFERROR(IF(ISNUMBER(Sheet1!N427),Sheet1!N427,0),0)</f>
        <v>0</v>
      </c>
      <c r="O427" s="46">
        <f>IFERROR(IF(TRIM(F427)="Nhava Sheva",SUMPRODUCT((UPPER(TRIM('Origin Costs'!$A$5:$A$44))=UPPER(TRIM(J427)))*'Origin Costs'!$C$5:$C$44),IF(TRIM(F427)="ICD Tihi",SUMPRODUCT((UPPER(TRIM('Origin Costs'!$A$49:$A$88))=UPPER(TRIM(J427)))*'Origin Costs'!$C$49:$C$88),IF(TRIM(F427)="ICD Dhannad",SUMPRODUCT((UPPER(TRIM('Origin Costs'!$A$93:$A$132))=UPPER(TRIM(J427)))*'Origin Costs'!$C$93:$C$132),0))),0)</f>
        <v>1168.8222222222223</v>
      </c>
      <c r="P427" s="46">
        <f t="shared" si="6"/>
        <v>1168.8222222222223</v>
      </c>
      <c r="Q427" s="13" t="str">
        <f>IF(OR(Dashboard!$C$4="All Customers",$E427=Dashboard!$C$4),IF($E427="","",$P427+ROW()/10000000),"")</f>
        <v/>
      </c>
    </row>
    <row r="428" spans="1:17" ht="14.25" customHeight="1" x14ac:dyDescent="0.3">
      <c r="A428" s="39" t="str">
        <f>IFERROR("FY"&amp;TEXT(MOD(IF(MONTH(Sheet1!A428)&gt;=4,YEAR(Sheet1!A428),YEAR(Sheet1!A428)-1),100),"00")&amp;"-"&amp;TEXT(MOD(IF(MONTH(Sheet1!A428)&gt;=4,YEAR(Sheet1!A428),YEAR(Sheet1!A428)-1)+1,100),"00"),"")</f>
        <v>FY25-26</v>
      </c>
      <c r="B428" s="40" t="str">
        <f>IFERROR("Q"&amp;IF(MONTH(Sheet1!A428)&gt;=4,IF(MONTH(Sheet1!A428)&lt;=6,1,IF(MONTH(Sheet1!A428)&lt;=9,2,3)),4),"")</f>
        <v>Q4</v>
      </c>
      <c r="C428" s="39" t="str">
        <f>IFERROR(Sheet1!C428,0)</f>
        <v>S.A</v>
      </c>
      <c r="D428" s="39" t="str">
        <f>IFERROR(Sheet1!F428,0)</f>
        <v>Brazil</v>
      </c>
      <c r="E428" s="39" t="str">
        <f>IFERROR(Sheet1!E428,0)</f>
        <v>Unus Holding Ltda., Brazil</v>
      </c>
      <c r="F428" s="39" t="str">
        <f>IFERROR(IF(UPPER(TRIM(Sheet1!J428))="NH","Nhava Sheva",IF(UPPER(TRIM(Sheet1!J428))="ICD","ICD Dhannad",IF(UPPER(TRIM(Sheet1!J428))="TIHI","ICD Tihi",Sheet1!J428))),0)</f>
        <v>Nhava Sheva</v>
      </c>
      <c r="G428" s="39" t="str">
        <f>IFERROR(Sheet1!M428,0)</f>
        <v>Paranagua</v>
      </c>
      <c r="H428" s="39" t="str">
        <f>IFERROR(Sheet1!H428,0)</f>
        <v>Wilhaven</v>
      </c>
      <c r="I428" s="39" t="str">
        <f>IFERROR(Sheet1!G428,0)</f>
        <v>FOB</v>
      </c>
      <c r="J428" s="39" t="str">
        <f>IFERROR(Sheet1!K428,0)</f>
        <v>MSC</v>
      </c>
      <c r="K428" s="41">
        <f>IFERROR(Sheet1!A428,0)</f>
        <v>46076</v>
      </c>
      <c r="L428" s="41">
        <f>IFERROR(Sheet1!I428,0)</f>
        <v>46074</v>
      </c>
      <c r="M428" s="47" t="str">
        <f>IFERROR(Sheet1!P428,0)</f>
        <v>NA</v>
      </c>
      <c r="N428" s="42">
        <f>IFERROR(IF(ISNUMBER(Sheet1!N428),Sheet1!N428,0),0)</f>
        <v>0</v>
      </c>
      <c r="O428" s="42">
        <f>IFERROR(IF(TRIM(F428)="Nhava Sheva",SUMPRODUCT((UPPER(TRIM('Origin Costs'!$A$5:$A$44))=UPPER(TRIM(J428)))*'Origin Costs'!$C$5:$C$44),IF(TRIM(F428)="ICD Tihi",SUMPRODUCT((UPPER(TRIM('Origin Costs'!$A$49:$A$88))=UPPER(TRIM(J428)))*'Origin Costs'!$C$49:$C$88),IF(TRIM(F428)="ICD Dhannad",SUMPRODUCT((UPPER(TRIM('Origin Costs'!$A$93:$A$132))=UPPER(TRIM(J428)))*'Origin Costs'!$C$93:$C$132),0))),0)</f>
        <v>1168.8222222222223</v>
      </c>
      <c r="P428" s="42">
        <f t="shared" si="6"/>
        <v>1168.8222222222223</v>
      </c>
      <c r="Q428" s="13" t="str">
        <f>IF(OR(Dashboard!$C$4="All Customers",$E428=Dashboard!$C$4),IF($E428="","",$P428+ROW()/10000000),"")</f>
        <v/>
      </c>
    </row>
    <row r="429" spans="1:17" ht="14.25" customHeight="1" x14ac:dyDescent="0.3">
      <c r="A429" s="43" t="str">
        <f>IFERROR("FY"&amp;TEXT(MOD(IF(MONTH(Sheet1!A429)&gt;=4,YEAR(Sheet1!A429),YEAR(Sheet1!A429)-1),100),"00")&amp;"-"&amp;TEXT(MOD(IF(MONTH(Sheet1!A429)&gt;=4,YEAR(Sheet1!A429),YEAR(Sheet1!A429)-1)+1,100),"00"),"")</f>
        <v>FY25-26</v>
      </c>
      <c r="B429" s="44" t="str">
        <f>IFERROR("Q"&amp;IF(MONTH(Sheet1!A429)&gt;=4,IF(MONTH(Sheet1!A429)&lt;=6,1,IF(MONTH(Sheet1!A429)&lt;=9,2,3)),4),"")</f>
        <v>Q4</v>
      </c>
      <c r="C429" s="43" t="str">
        <f>IFERROR(Sheet1!C429,0)</f>
        <v>S.A</v>
      </c>
      <c r="D429" s="43" t="str">
        <f>IFERROR(Sheet1!F429,0)</f>
        <v>Brazil</v>
      </c>
      <c r="E429" s="43" t="str">
        <f>IFERROR(Sheet1!E429,0)</f>
        <v>Unus Holding Ltda., Brazil</v>
      </c>
      <c r="F429" s="43" t="str">
        <f>IFERROR(IF(UPPER(TRIM(Sheet1!J429))="NH","Nhava Sheva",IF(UPPER(TRIM(Sheet1!J429))="ICD","ICD Dhannad",IF(UPPER(TRIM(Sheet1!J429))="TIHI","ICD Tihi",Sheet1!J429))),0)</f>
        <v>Nhava Sheva</v>
      </c>
      <c r="G429" s="43" t="str">
        <f>IFERROR(Sheet1!M429,0)</f>
        <v>Paranagua</v>
      </c>
      <c r="H429" s="43" t="str">
        <f>IFERROR(Sheet1!H429,0)</f>
        <v>Wilhaven</v>
      </c>
      <c r="I429" s="43" t="str">
        <f>IFERROR(Sheet1!G429,0)</f>
        <v>FOB</v>
      </c>
      <c r="J429" s="43" t="str">
        <f>IFERROR(Sheet1!K429,0)</f>
        <v>MSC</v>
      </c>
      <c r="K429" s="45">
        <f>IFERROR(Sheet1!A429,0)</f>
        <v>46076</v>
      </c>
      <c r="L429" s="45">
        <f>IFERROR(Sheet1!I429,0)</f>
        <v>46074</v>
      </c>
      <c r="M429" s="47" t="str">
        <f>IFERROR(Sheet1!P429,0)</f>
        <v>NA</v>
      </c>
      <c r="N429" s="46">
        <f>IFERROR(IF(ISNUMBER(Sheet1!N429),Sheet1!N429,0),0)</f>
        <v>0</v>
      </c>
      <c r="O429" s="46">
        <f>IFERROR(IF(TRIM(F429)="Nhava Sheva",SUMPRODUCT((UPPER(TRIM('Origin Costs'!$A$5:$A$44))=UPPER(TRIM(J429)))*'Origin Costs'!$C$5:$C$44),IF(TRIM(F429)="ICD Tihi",SUMPRODUCT((UPPER(TRIM('Origin Costs'!$A$49:$A$88))=UPPER(TRIM(J429)))*'Origin Costs'!$C$49:$C$88),IF(TRIM(F429)="ICD Dhannad",SUMPRODUCT((UPPER(TRIM('Origin Costs'!$A$93:$A$132))=UPPER(TRIM(J429)))*'Origin Costs'!$C$93:$C$132),0))),0)</f>
        <v>1168.8222222222223</v>
      </c>
      <c r="P429" s="46">
        <f t="shared" si="6"/>
        <v>1168.8222222222223</v>
      </c>
      <c r="Q429" s="13" t="str">
        <f>IF(OR(Dashboard!$C$4="All Customers",$E429=Dashboard!$C$4),IF($E429="","",$P429+ROW()/10000000),"")</f>
        <v/>
      </c>
    </row>
    <row r="430" spans="1:17" ht="14.25" customHeight="1" x14ac:dyDescent="0.3">
      <c r="A430" s="39" t="str">
        <f>IFERROR("FY"&amp;TEXT(MOD(IF(MONTH(Sheet1!A430)&gt;=4,YEAR(Sheet1!A430),YEAR(Sheet1!A430)-1),100),"00")&amp;"-"&amp;TEXT(MOD(IF(MONTH(Sheet1!A430)&gt;=4,YEAR(Sheet1!A430),YEAR(Sheet1!A430)-1)+1,100),"00"),"")</f>
        <v>FY25-26</v>
      </c>
      <c r="B430" s="40" t="str">
        <f>IFERROR("Q"&amp;IF(MONTH(Sheet1!A430)&gt;=4,IF(MONTH(Sheet1!A430)&lt;=6,1,IF(MONTH(Sheet1!A430)&lt;=9,2,3)),4),"")</f>
        <v>Q4</v>
      </c>
      <c r="C430" s="39" t="str">
        <f>IFERROR(Sheet1!C430,0)</f>
        <v>S.A</v>
      </c>
      <c r="D430" s="39" t="str">
        <f>IFERROR(Sheet1!F430,0)</f>
        <v>Brazil</v>
      </c>
      <c r="E430" s="39" t="str">
        <f>IFERROR(Sheet1!E430,0)</f>
        <v>Unus Holding Ltda., Brazil</v>
      </c>
      <c r="F430" s="39" t="str">
        <f>IFERROR(IF(UPPER(TRIM(Sheet1!J430))="NH","Nhava Sheva",IF(UPPER(TRIM(Sheet1!J430))="ICD","ICD Dhannad",IF(UPPER(TRIM(Sheet1!J430))="TIHI","ICD Tihi",Sheet1!J430))),0)</f>
        <v>Nhava Sheva</v>
      </c>
      <c r="G430" s="39" t="str">
        <f>IFERROR(Sheet1!M430,0)</f>
        <v>Paranagua</v>
      </c>
      <c r="H430" s="39" t="str">
        <f>IFERROR(Sheet1!H430,0)</f>
        <v>Wilhaven</v>
      </c>
      <c r="I430" s="39" t="str">
        <f>IFERROR(Sheet1!G430,0)</f>
        <v>FOB</v>
      </c>
      <c r="J430" s="39" t="str">
        <f>IFERROR(Sheet1!K430,0)</f>
        <v>MSC</v>
      </c>
      <c r="K430" s="41">
        <f>IFERROR(Sheet1!A430,0)</f>
        <v>46076</v>
      </c>
      <c r="L430" s="41">
        <f>IFERROR(Sheet1!I430,0)</f>
        <v>46074</v>
      </c>
      <c r="M430" s="47" t="str">
        <f>IFERROR(Sheet1!P430,0)</f>
        <v>NA</v>
      </c>
      <c r="N430" s="42">
        <f>IFERROR(IF(ISNUMBER(Sheet1!N430),Sheet1!N430,0),0)</f>
        <v>0</v>
      </c>
      <c r="O430" s="42">
        <f>IFERROR(IF(TRIM(F430)="Nhava Sheva",SUMPRODUCT((UPPER(TRIM('Origin Costs'!$A$5:$A$44))=UPPER(TRIM(J430)))*'Origin Costs'!$C$5:$C$44),IF(TRIM(F430)="ICD Tihi",SUMPRODUCT((UPPER(TRIM('Origin Costs'!$A$49:$A$88))=UPPER(TRIM(J430)))*'Origin Costs'!$C$49:$C$88),IF(TRIM(F430)="ICD Dhannad",SUMPRODUCT((UPPER(TRIM('Origin Costs'!$A$93:$A$132))=UPPER(TRIM(J430)))*'Origin Costs'!$C$93:$C$132),0))),0)</f>
        <v>1168.8222222222223</v>
      </c>
      <c r="P430" s="42">
        <f t="shared" si="6"/>
        <v>1168.8222222222223</v>
      </c>
      <c r="Q430" s="13" t="str">
        <f>IF(OR(Dashboard!$C$4="All Customers",$E430=Dashboard!$C$4),IF($E430="","",$P430+ROW()/10000000),"")</f>
        <v/>
      </c>
    </row>
    <row r="431" spans="1:17" ht="14.25" customHeight="1" x14ac:dyDescent="0.3">
      <c r="A431" s="43" t="str">
        <f>IFERROR("FY"&amp;TEXT(MOD(IF(MONTH(Sheet1!A431)&gt;=4,YEAR(Sheet1!A431),YEAR(Sheet1!A431)-1),100),"00")&amp;"-"&amp;TEXT(MOD(IF(MONTH(Sheet1!A431)&gt;=4,YEAR(Sheet1!A431),YEAR(Sheet1!A431)-1)+1,100),"00"),"")</f>
        <v>FY25-26</v>
      </c>
      <c r="B431" s="44" t="str">
        <f>IFERROR("Q"&amp;IF(MONTH(Sheet1!A431)&gt;=4,IF(MONTH(Sheet1!A431)&lt;=6,1,IF(MONTH(Sheet1!A431)&lt;=9,2,3)),4),"")</f>
        <v>Q4</v>
      </c>
      <c r="C431" s="43" t="str">
        <f>IFERROR(Sheet1!C431,0)</f>
        <v>CIS</v>
      </c>
      <c r="D431" s="43" t="str">
        <f>IFERROR(Sheet1!F431,0)</f>
        <v>Russia</v>
      </c>
      <c r="E431" s="43" t="str">
        <f>IFERROR(Sheet1!E431,0)</f>
        <v>STALKER LTD, Russia</v>
      </c>
      <c r="F431" s="43" t="str">
        <f>IFERROR(IF(UPPER(TRIM(Sheet1!J431))="NH","Nhava Sheva",IF(UPPER(TRIM(Sheet1!J431))="ICD","ICD Dhannad",IF(UPPER(TRIM(Sheet1!J431))="TIHI","ICD Tihi",Sheet1!J431))),0)</f>
        <v>Nhava Sheva</v>
      </c>
      <c r="G431" s="43" t="str">
        <f>IFERROR(Sheet1!M431,0)</f>
        <v>NOVOROSSIYSK</v>
      </c>
      <c r="H431" s="43" t="str">
        <f>IFERROR(Sheet1!H431,0)</f>
        <v>Vaaridhi</v>
      </c>
      <c r="I431" s="43" t="str">
        <f>IFERROR(Sheet1!G431,0)</f>
        <v>CFR</v>
      </c>
      <c r="J431" s="43" t="str">
        <f>IFERROR(Sheet1!K431,0)</f>
        <v>SJ Line</v>
      </c>
      <c r="K431" s="45">
        <f>IFERROR(Sheet1!A431,0)</f>
        <v>46077</v>
      </c>
      <c r="L431" s="45">
        <f>IFERROR(Sheet1!I431,0)</f>
        <v>46075</v>
      </c>
      <c r="M431" s="47" t="str">
        <f>IFERROR(Sheet1!P431,0)</f>
        <v>NA</v>
      </c>
      <c r="N431" s="46">
        <f>IFERROR(IF(ISNUMBER(Sheet1!N431),Sheet1!N431,0),0)</f>
        <v>3300</v>
      </c>
      <c r="O431" s="46">
        <f>IFERROR(IF(TRIM(F431)="Nhava Sheva",SUMPRODUCT((UPPER(TRIM('Origin Costs'!$A$5:$A$44))=UPPER(TRIM(J431)))*'Origin Costs'!$C$5:$C$44),IF(TRIM(F431)="ICD Tihi",SUMPRODUCT((UPPER(TRIM('Origin Costs'!$A$49:$A$88))=UPPER(TRIM(J431)))*'Origin Costs'!$C$49:$C$88),IF(TRIM(F431)="ICD Dhannad",SUMPRODUCT((UPPER(TRIM('Origin Costs'!$A$93:$A$132))=UPPER(TRIM(J431)))*'Origin Costs'!$C$93:$C$132),0))),0)</f>
        <v>0</v>
      </c>
      <c r="P431" s="46">
        <f t="shared" si="6"/>
        <v>3300</v>
      </c>
      <c r="Q431" s="13" t="str">
        <f>IF(OR(Dashboard!$C$4="All Customers",$E431=Dashboard!$C$4),IF($E431="","",$P431+ROW()/10000000),"")</f>
        <v/>
      </c>
    </row>
    <row r="432" spans="1:17" ht="14.25" customHeight="1" x14ac:dyDescent="0.3">
      <c r="A432" s="39" t="str">
        <f>IFERROR("FY"&amp;TEXT(MOD(IF(MONTH(Sheet1!A432)&gt;=4,YEAR(Sheet1!A432),YEAR(Sheet1!A432)-1),100),"00")&amp;"-"&amp;TEXT(MOD(IF(MONTH(Sheet1!A432)&gt;=4,YEAR(Sheet1!A432),YEAR(Sheet1!A432)-1)+1,100),"00"),"")</f>
        <v>FY25-26</v>
      </c>
      <c r="B432" s="40" t="str">
        <f>IFERROR("Q"&amp;IF(MONTH(Sheet1!A432)&gt;=4,IF(MONTH(Sheet1!A432)&lt;=6,1,IF(MONTH(Sheet1!A432)&lt;=9,2,3)),4),"")</f>
        <v>Q4</v>
      </c>
      <c r="C432" s="39" t="str">
        <f>IFERROR(Sheet1!C432,0)</f>
        <v>Europe</v>
      </c>
      <c r="D432" s="39" t="str">
        <f>IFERROR(Sheet1!F432,0)</f>
        <v>Bulgaria</v>
      </c>
      <c r="E432" s="39" t="str">
        <f>IFERROR(Sheet1!E432,0)</f>
        <v>Transcar Vladi EOOD</v>
      </c>
      <c r="F432" s="39" t="str">
        <f>IFERROR(IF(UPPER(TRIM(Sheet1!J432))="NH","Nhava Sheva",IF(UPPER(TRIM(Sheet1!J432))="ICD","ICD Dhannad",IF(UPPER(TRIM(Sheet1!J432))="TIHI","ICD Tihi",Sheet1!J432))),0)</f>
        <v>Nhava Sheva</v>
      </c>
      <c r="G432" s="39" t="str">
        <f>IFERROR(Sheet1!M432,0)</f>
        <v>THESSALONIKI</v>
      </c>
      <c r="H432" s="39" t="str">
        <f>IFERROR(Sheet1!H432,0)</f>
        <v>Fortune GLS</v>
      </c>
      <c r="I432" s="39" t="str">
        <f>IFERROR(Sheet1!G432,0)</f>
        <v>FOB</v>
      </c>
      <c r="J432" s="39" t="str">
        <f>IFERROR(Sheet1!K432,0)</f>
        <v>Maersk</v>
      </c>
      <c r="K432" s="41">
        <f>IFERROR(Sheet1!A432,0)</f>
        <v>46077</v>
      </c>
      <c r="L432" s="41">
        <f>IFERROR(Sheet1!I432,0)</f>
        <v>46075</v>
      </c>
      <c r="M432" s="47" t="str">
        <f>IFERROR(Sheet1!P432,0)</f>
        <v>NA</v>
      </c>
      <c r="N432" s="42">
        <f>IFERROR(IF(ISNUMBER(Sheet1!N432),Sheet1!N432,0),0)</f>
        <v>0</v>
      </c>
      <c r="O432" s="42">
        <f>IFERROR(IF(TRIM(F432)="Nhava Sheva",SUMPRODUCT((UPPER(TRIM('Origin Costs'!$A$5:$A$44))=UPPER(TRIM(J432)))*'Origin Costs'!$C$5:$C$44),IF(TRIM(F432)="ICD Tihi",SUMPRODUCT((UPPER(TRIM('Origin Costs'!$A$49:$A$88))=UPPER(TRIM(J432)))*'Origin Costs'!$C$49:$C$88),IF(TRIM(F432)="ICD Dhannad",SUMPRODUCT((UPPER(TRIM('Origin Costs'!$A$93:$A$132))=UPPER(TRIM(J432)))*'Origin Costs'!$C$93:$C$132),0))),0)</f>
        <v>1148.588888888889</v>
      </c>
      <c r="P432" s="42">
        <f t="shared" si="6"/>
        <v>1148.588888888889</v>
      </c>
      <c r="Q432" s="13" t="str">
        <f>IF(OR(Dashboard!$C$4="All Customers",$E432=Dashboard!$C$4),IF($E432="","",$P432+ROW()/10000000),"")</f>
        <v/>
      </c>
    </row>
    <row r="433" spans="1:17" ht="14.25" customHeight="1" x14ac:dyDescent="0.3">
      <c r="A433" s="43" t="str">
        <f>IFERROR("FY"&amp;TEXT(MOD(IF(MONTH(Sheet1!A433)&gt;=4,YEAR(Sheet1!A433),YEAR(Sheet1!A433)-1),100),"00")&amp;"-"&amp;TEXT(MOD(IF(MONTH(Sheet1!A433)&gt;=4,YEAR(Sheet1!A433),YEAR(Sheet1!A433)-1)+1,100),"00"),"")</f>
        <v>FY25-26</v>
      </c>
      <c r="B433" s="44" t="str">
        <f>IFERROR("Q"&amp;IF(MONTH(Sheet1!A433)&gt;=4,IF(MONTH(Sheet1!A433)&lt;=6,1,IF(MONTH(Sheet1!A433)&lt;=9,2,3)),4),"")</f>
        <v>Q4</v>
      </c>
      <c r="C433" s="43" t="str">
        <f>IFERROR(Sheet1!C433,0)</f>
        <v>Europe</v>
      </c>
      <c r="D433" s="43" t="str">
        <f>IFERROR(Sheet1!F433,0)</f>
        <v>Bulgaria</v>
      </c>
      <c r="E433" s="43" t="str">
        <f>IFERROR(Sheet1!E433,0)</f>
        <v>Transcar Vladi EOOD</v>
      </c>
      <c r="F433" s="43" t="str">
        <f>IFERROR(IF(UPPER(TRIM(Sheet1!J433))="NH","Nhava Sheva",IF(UPPER(TRIM(Sheet1!J433))="ICD","ICD Dhannad",IF(UPPER(TRIM(Sheet1!J433))="TIHI","ICD Tihi",Sheet1!J433))),0)</f>
        <v>Nhava Sheva</v>
      </c>
      <c r="G433" s="43" t="str">
        <f>IFERROR(Sheet1!M433,0)</f>
        <v>THESSALONIKI</v>
      </c>
      <c r="H433" s="43" t="str">
        <f>IFERROR(Sheet1!H433,0)</f>
        <v>Fortune GLS</v>
      </c>
      <c r="I433" s="43" t="str">
        <f>IFERROR(Sheet1!G433,0)</f>
        <v>FOB</v>
      </c>
      <c r="J433" s="43" t="str">
        <f>IFERROR(Sheet1!K433,0)</f>
        <v>Maersk</v>
      </c>
      <c r="K433" s="45">
        <f>IFERROR(Sheet1!A433,0)</f>
        <v>46077</v>
      </c>
      <c r="L433" s="45">
        <f>IFERROR(Sheet1!I433,0)</f>
        <v>46075</v>
      </c>
      <c r="M433" s="47" t="str">
        <f>IFERROR(Sheet1!P433,0)</f>
        <v>NA</v>
      </c>
      <c r="N433" s="46">
        <f>IFERROR(IF(ISNUMBER(Sheet1!N433),Sheet1!N433,0),0)</f>
        <v>0</v>
      </c>
      <c r="O433" s="46">
        <f>IFERROR(IF(TRIM(F433)="Nhava Sheva",SUMPRODUCT((UPPER(TRIM('Origin Costs'!$A$5:$A$44))=UPPER(TRIM(J433)))*'Origin Costs'!$C$5:$C$44),IF(TRIM(F433)="ICD Tihi",SUMPRODUCT((UPPER(TRIM('Origin Costs'!$A$49:$A$88))=UPPER(TRIM(J433)))*'Origin Costs'!$C$49:$C$88),IF(TRIM(F433)="ICD Dhannad",SUMPRODUCT((UPPER(TRIM('Origin Costs'!$A$93:$A$132))=UPPER(TRIM(J433)))*'Origin Costs'!$C$93:$C$132),0))),0)</f>
        <v>1148.588888888889</v>
      </c>
      <c r="P433" s="46">
        <f t="shared" si="6"/>
        <v>1148.588888888889</v>
      </c>
      <c r="Q433" s="13" t="str">
        <f>IF(OR(Dashboard!$C$4="All Customers",$E433=Dashboard!$C$4),IF($E433="","",$P433+ROW()/10000000),"")</f>
        <v/>
      </c>
    </row>
    <row r="434" spans="1:17" ht="14.25" customHeight="1" x14ac:dyDescent="0.3">
      <c r="A434" s="39" t="str">
        <f>IFERROR("FY"&amp;TEXT(MOD(IF(MONTH(Sheet1!A434)&gt;=4,YEAR(Sheet1!A434),YEAR(Sheet1!A434)-1),100),"00")&amp;"-"&amp;TEXT(MOD(IF(MONTH(Sheet1!A434)&gt;=4,YEAR(Sheet1!A434),YEAR(Sheet1!A434)-1)+1,100),"00"),"")</f>
        <v>FY25-26</v>
      </c>
      <c r="B434" s="40" t="str">
        <f>IFERROR("Q"&amp;IF(MONTH(Sheet1!A434)&gt;=4,IF(MONTH(Sheet1!A434)&lt;=6,1,IF(MONTH(Sheet1!A434)&lt;=9,2,3)),4),"")</f>
        <v>Q4</v>
      </c>
      <c r="C434" s="39" t="str">
        <f>IFERROR(Sheet1!C434,0)</f>
        <v>Europe</v>
      </c>
      <c r="D434" s="39" t="str">
        <f>IFERROR(Sheet1!F434,0)</f>
        <v>Latvia</v>
      </c>
      <c r="E434" s="39" t="str">
        <f>IFERROR(Sheet1!E434,0)</f>
        <v>SIA Inter Cars Latvija</v>
      </c>
      <c r="F434" s="39" t="str">
        <f>IFERROR(IF(UPPER(TRIM(Sheet1!J434))="NH","Nhava Sheva",IF(UPPER(TRIM(Sheet1!J434))="ICD","ICD Dhannad",IF(UPPER(TRIM(Sheet1!J434))="TIHI","ICD Tihi",Sheet1!J434))),0)</f>
        <v>Nhava Sheva</v>
      </c>
      <c r="G434" s="39" t="str">
        <f>IFERROR(Sheet1!M434,0)</f>
        <v>RIGA</v>
      </c>
      <c r="H434" s="39" t="str">
        <f>IFERROR(Sheet1!H434,0)</f>
        <v>DHL</v>
      </c>
      <c r="I434" s="39" t="str">
        <f>IFERROR(Sheet1!G434,0)</f>
        <v>FOB</v>
      </c>
      <c r="J434" s="39" t="str">
        <f>IFERROR(Sheet1!K434,0)</f>
        <v>Maersk</v>
      </c>
      <c r="K434" s="41">
        <f>IFERROR(Sheet1!A434,0)</f>
        <v>46078</v>
      </c>
      <c r="L434" s="41">
        <f>IFERROR(Sheet1!I434,0)</f>
        <v>46076</v>
      </c>
      <c r="M434" s="47" t="str">
        <f>IFERROR(Sheet1!P434,0)</f>
        <v>NA</v>
      </c>
      <c r="N434" s="42">
        <f>IFERROR(IF(ISNUMBER(Sheet1!N434),Sheet1!N434,0),0)</f>
        <v>0</v>
      </c>
      <c r="O434" s="42">
        <f>IFERROR(IF(TRIM(F434)="Nhava Sheva",SUMPRODUCT((UPPER(TRIM('Origin Costs'!$A$5:$A$44))=UPPER(TRIM(J434)))*'Origin Costs'!$C$5:$C$44),IF(TRIM(F434)="ICD Tihi",SUMPRODUCT((UPPER(TRIM('Origin Costs'!$A$49:$A$88))=UPPER(TRIM(J434)))*'Origin Costs'!$C$49:$C$88),IF(TRIM(F434)="ICD Dhannad",SUMPRODUCT((UPPER(TRIM('Origin Costs'!$A$93:$A$132))=UPPER(TRIM(J434)))*'Origin Costs'!$C$93:$C$132),0))),0)</f>
        <v>1148.588888888889</v>
      </c>
      <c r="P434" s="42">
        <f t="shared" si="6"/>
        <v>1148.588888888889</v>
      </c>
      <c r="Q434" s="13" t="str">
        <f>IF(OR(Dashboard!$C$4="All Customers",$E434=Dashboard!$C$4),IF($E434="","",$P434+ROW()/10000000),"")</f>
        <v/>
      </c>
    </row>
    <row r="435" spans="1:17" ht="14.25" customHeight="1" x14ac:dyDescent="0.3">
      <c r="A435" s="43" t="str">
        <f>IFERROR("FY"&amp;TEXT(MOD(IF(MONTH(Sheet1!A435)&gt;=4,YEAR(Sheet1!A435),YEAR(Sheet1!A435)-1),100),"00")&amp;"-"&amp;TEXT(MOD(IF(MONTH(Sheet1!A435)&gt;=4,YEAR(Sheet1!A435),YEAR(Sheet1!A435)-1)+1,100),"00"),"")</f>
        <v>FY25-26</v>
      </c>
      <c r="B435" s="44" t="str">
        <f>IFERROR("Q"&amp;IF(MONTH(Sheet1!A435)&gt;=4,IF(MONTH(Sheet1!A435)&lt;=6,1,IF(MONTH(Sheet1!A435)&lt;=9,2,3)),4),"")</f>
        <v>Q4</v>
      </c>
      <c r="C435" s="43" t="str">
        <f>IFERROR(Sheet1!C435,0)</f>
        <v>CIS</v>
      </c>
      <c r="D435" s="43" t="str">
        <f>IFERROR(Sheet1!F435,0)</f>
        <v>Russia</v>
      </c>
      <c r="E435" s="43" t="str">
        <f>IFERROR(Sheet1!E435,0)</f>
        <v>STALKER LTD, Russia</v>
      </c>
      <c r="F435" s="43" t="str">
        <f>IFERROR(IF(UPPER(TRIM(Sheet1!J435))="NH","Nhava Sheva",IF(UPPER(TRIM(Sheet1!J435))="ICD","ICD Dhannad",IF(UPPER(TRIM(Sheet1!J435))="TIHI","ICD Tihi",Sheet1!J435))),0)</f>
        <v>Nhava Sheva</v>
      </c>
      <c r="G435" s="43" t="str">
        <f>IFERROR(Sheet1!M435,0)</f>
        <v>NOVOROSSIYSK</v>
      </c>
      <c r="H435" s="43" t="str">
        <f>IFERROR(Sheet1!H435,0)</f>
        <v>Prologis Freight</v>
      </c>
      <c r="I435" s="43" t="str">
        <f>IFERROR(Sheet1!G435,0)</f>
        <v>CFR</v>
      </c>
      <c r="J435" s="43" t="str">
        <f>IFERROR(Sheet1!K435,0)</f>
        <v>Akkon</v>
      </c>
      <c r="K435" s="45">
        <f>IFERROR(Sheet1!A435,0)</f>
        <v>46078</v>
      </c>
      <c r="L435" s="45">
        <f>IFERROR(Sheet1!I435,0)</f>
        <v>46076</v>
      </c>
      <c r="M435" s="47" t="str">
        <f>IFERROR(Sheet1!P435,0)</f>
        <v>NA</v>
      </c>
      <c r="N435" s="46">
        <f>IFERROR(IF(ISNUMBER(Sheet1!N435),Sheet1!N435,0),0)</f>
        <v>3300</v>
      </c>
      <c r="O435" s="46">
        <f>IFERROR(IF(TRIM(F435)="Nhava Sheva",SUMPRODUCT((UPPER(TRIM('Origin Costs'!$A$5:$A$44))=UPPER(TRIM(J435)))*'Origin Costs'!$C$5:$C$44),IF(TRIM(F435)="ICD Tihi",SUMPRODUCT((UPPER(TRIM('Origin Costs'!$A$49:$A$88))=UPPER(TRIM(J435)))*'Origin Costs'!$C$49:$C$88),IF(TRIM(F435)="ICD Dhannad",SUMPRODUCT((UPPER(TRIM('Origin Costs'!$A$93:$A$132))=UPPER(TRIM(J435)))*'Origin Costs'!$C$93:$C$132),0))),0)</f>
        <v>0</v>
      </c>
      <c r="P435" s="46">
        <f t="shared" si="6"/>
        <v>3300</v>
      </c>
      <c r="Q435" s="13" t="str">
        <f>IF(OR(Dashboard!$C$4="All Customers",$E435=Dashboard!$C$4),IF($E435="","",$P435+ROW()/10000000),"")</f>
        <v/>
      </c>
    </row>
    <row r="436" spans="1:17" ht="14.25" customHeight="1" x14ac:dyDescent="0.3">
      <c r="A436" s="39" t="str">
        <f>IFERROR("FY"&amp;TEXT(MOD(IF(MONTH(Sheet1!A436)&gt;=4,YEAR(Sheet1!A436),YEAR(Sheet1!A436)-1),100),"00")&amp;"-"&amp;TEXT(MOD(IF(MONTH(Sheet1!A436)&gt;=4,YEAR(Sheet1!A436),YEAR(Sheet1!A436)-1)+1,100),"00"),"")</f>
        <v>FY25-26</v>
      </c>
      <c r="B436" s="40" t="str">
        <f>IFERROR("Q"&amp;IF(MONTH(Sheet1!A436)&gt;=4,IF(MONTH(Sheet1!A436)&lt;=6,1,IF(MONTH(Sheet1!A436)&lt;=9,2,3)),4),"")</f>
        <v>Q4</v>
      </c>
      <c r="C436" s="39" t="str">
        <f>IFERROR(Sheet1!C436,0)</f>
        <v>Europe</v>
      </c>
      <c r="D436" s="39" t="str">
        <f>IFERROR(Sheet1!F436,0)</f>
        <v>Italy</v>
      </c>
      <c r="E436" s="39" t="str">
        <f>IFERROR(Sheet1!E436,0)</f>
        <v>Fintyre Spa, Italy</v>
      </c>
      <c r="F436" s="39" t="str">
        <f>IFERROR(IF(UPPER(TRIM(Sheet1!J436))="NH","Nhava Sheva",IF(UPPER(TRIM(Sheet1!J436))="ICD","ICD Dhannad",IF(UPPER(TRIM(Sheet1!J436))="TIHI","ICD Tihi",Sheet1!J436))),0)</f>
        <v>Nhava Sheva</v>
      </c>
      <c r="G436" s="39" t="str">
        <f>IFERROR(Sheet1!M436,0)</f>
        <v>Genoa</v>
      </c>
      <c r="H436" s="39" t="str">
        <f>IFERROR(Sheet1!H436,0)</f>
        <v>FEI Cargo</v>
      </c>
      <c r="I436" s="39" t="str">
        <f>IFERROR(Sheet1!G436,0)</f>
        <v>FOB</v>
      </c>
      <c r="J436" s="39" t="str">
        <f>IFERROR(Sheet1!K436,0)</f>
        <v>Cosco</v>
      </c>
      <c r="K436" s="41">
        <f>IFERROR(Sheet1!A436,0)</f>
        <v>46079</v>
      </c>
      <c r="L436" s="41">
        <f>IFERROR(Sheet1!I436,0)</f>
        <v>46077</v>
      </c>
      <c r="M436" s="47" t="str">
        <f>IFERROR(Sheet1!P436,0)</f>
        <v>NA</v>
      </c>
      <c r="N436" s="42">
        <f>IFERROR(IF(ISNUMBER(Sheet1!N436),Sheet1!N436,0),0)</f>
        <v>0</v>
      </c>
      <c r="O436" s="42">
        <f>IFERROR(IF(TRIM(F436)="Nhava Sheva",SUMPRODUCT((UPPER(TRIM('Origin Costs'!$A$5:$A$44))=UPPER(TRIM(J436)))*'Origin Costs'!$C$5:$C$44),IF(TRIM(F436)="ICD Tihi",SUMPRODUCT((UPPER(TRIM('Origin Costs'!$A$49:$A$88))=UPPER(TRIM(J436)))*'Origin Costs'!$C$49:$C$88),IF(TRIM(F436)="ICD Dhannad",SUMPRODUCT((UPPER(TRIM('Origin Costs'!$A$93:$A$132))=UPPER(TRIM(J436)))*'Origin Costs'!$C$93:$C$132),0))),0)</f>
        <v>0</v>
      </c>
      <c r="P436" s="42">
        <f t="shared" si="6"/>
        <v>0</v>
      </c>
      <c r="Q436" s="13" t="str">
        <f>IF(OR(Dashboard!$C$4="All Customers",$E436=Dashboard!$C$4),IF($E436="","",$P436+ROW()/10000000),"")</f>
        <v/>
      </c>
    </row>
    <row r="437" spans="1:17" ht="14.25" customHeight="1" x14ac:dyDescent="0.3">
      <c r="A437" s="43" t="str">
        <f>IFERROR("FY"&amp;TEXT(MOD(IF(MONTH(Sheet1!A437)&gt;=4,YEAR(Sheet1!A437),YEAR(Sheet1!A437)-1),100),"00")&amp;"-"&amp;TEXT(MOD(IF(MONTH(Sheet1!A437)&gt;=4,YEAR(Sheet1!A437),YEAR(Sheet1!A437)-1)+1,100),"00"),"")</f>
        <v>FY25-26</v>
      </c>
      <c r="B437" s="44" t="str">
        <f>IFERROR("Q"&amp;IF(MONTH(Sheet1!A437)&gt;=4,IF(MONTH(Sheet1!A437)&lt;=6,1,IF(MONTH(Sheet1!A437)&lt;=9,2,3)),4),"")</f>
        <v>Q4</v>
      </c>
      <c r="C437" s="43" t="str">
        <f>IFERROR(Sheet1!C437,0)</f>
        <v>MEA</v>
      </c>
      <c r="D437" s="43" t="str">
        <f>IFERROR(Sheet1!F437,0)</f>
        <v>DI</v>
      </c>
      <c r="E437" s="43" t="str">
        <f>IFERROR(Sheet1!E437,0)</f>
        <v>Nahar Al Ajnas Auto Spre Prts Tradi, Dubai (In)</v>
      </c>
      <c r="F437" s="43" t="str">
        <f>IFERROR(IF(UPPER(TRIM(Sheet1!J437))="NH","Nhava Sheva",IF(UPPER(TRIM(Sheet1!J437))="ICD","ICD Dhannad",IF(UPPER(TRIM(Sheet1!J437))="TIHI","ICD Tihi",Sheet1!J437))),0)</f>
        <v>Nhava Sheva</v>
      </c>
      <c r="G437" s="43" t="str">
        <f>IFERROR(Sheet1!M437,0)</f>
        <v>Jebel Ali</v>
      </c>
      <c r="H437" s="43" t="str">
        <f>IFERROR(Sheet1!H437,0)</f>
        <v>Selene Shipping</v>
      </c>
      <c r="I437" s="43" t="str">
        <f>IFERROR(Sheet1!G437,0)</f>
        <v>FOB</v>
      </c>
      <c r="J437" s="43" t="str">
        <f>IFERROR(Sheet1!K437,0)</f>
        <v>Selene Shipping</v>
      </c>
      <c r="K437" s="45">
        <f>IFERROR(Sheet1!A437,0)</f>
        <v>46079</v>
      </c>
      <c r="L437" s="45">
        <f>IFERROR(Sheet1!I437,0)</f>
        <v>46077</v>
      </c>
      <c r="M437" s="47" t="str">
        <f>IFERROR(Sheet1!P437,0)</f>
        <v>NA</v>
      </c>
      <c r="N437" s="46">
        <f>IFERROR(IF(ISNUMBER(Sheet1!N437),Sheet1!N437,0),0)</f>
        <v>0</v>
      </c>
      <c r="O437" s="46">
        <f>IFERROR(IF(TRIM(F437)="Nhava Sheva",SUMPRODUCT((UPPER(TRIM('Origin Costs'!$A$5:$A$44))=UPPER(TRIM(J437)))*'Origin Costs'!$C$5:$C$44),IF(TRIM(F437)="ICD Tihi",SUMPRODUCT((UPPER(TRIM('Origin Costs'!$A$49:$A$88))=UPPER(TRIM(J437)))*'Origin Costs'!$C$49:$C$88),IF(TRIM(F437)="ICD Dhannad",SUMPRODUCT((UPPER(TRIM('Origin Costs'!$A$93:$A$132))=UPPER(TRIM(J437)))*'Origin Costs'!$C$93:$C$132),0))),0)</f>
        <v>0</v>
      </c>
      <c r="P437" s="46">
        <f t="shared" si="6"/>
        <v>0</v>
      </c>
      <c r="Q437" s="13" t="str">
        <f>IF(OR(Dashboard!$C$4="All Customers",$E437=Dashboard!$C$4),IF($E437="","",$P437+ROW()/10000000),"")</f>
        <v/>
      </c>
    </row>
    <row r="438" spans="1:17" ht="14.25" customHeight="1" x14ac:dyDescent="0.3">
      <c r="A438" s="39" t="str">
        <f>IFERROR("FY"&amp;TEXT(MOD(IF(MONTH(Sheet1!A438)&gt;=4,YEAR(Sheet1!A438),YEAR(Sheet1!A438)-1),100),"00")&amp;"-"&amp;TEXT(MOD(IF(MONTH(Sheet1!A438)&gt;=4,YEAR(Sheet1!A438),YEAR(Sheet1!A438)-1)+1,100),"00"),"")</f>
        <v>FY25-26</v>
      </c>
      <c r="B438" s="40" t="str">
        <f>IFERROR("Q"&amp;IF(MONTH(Sheet1!A438)&gt;=4,IF(MONTH(Sheet1!A438)&lt;=6,1,IF(MONTH(Sheet1!A438)&lt;=9,2,3)),4),"")</f>
        <v>Q4</v>
      </c>
      <c r="C438" s="39" t="str">
        <f>IFERROR(Sheet1!C438,0)</f>
        <v>MEA</v>
      </c>
      <c r="D438" s="39" t="str">
        <f>IFERROR(Sheet1!F438,0)</f>
        <v>Saudi Arabia</v>
      </c>
      <c r="E438" s="39" t="str">
        <f>IFERROR(Sheet1!E438,0)</f>
        <v>BAHWAN MOTORS AUTO ACCESSORIES TRAD</v>
      </c>
      <c r="F438" s="39" t="str">
        <f>IFERROR(IF(UPPER(TRIM(Sheet1!J438))="NH","Nhava Sheva",IF(UPPER(TRIM(Sheet1!J438))="ICD","ICD Dhannad",IF(UPPER(TRIM(Sheet1!J438))="TIHI","ICD Tihi",Sheet1!J438))),0)</f>
        <v>Nhava Sheva</v>
      </c>
      <c r="G438" s="39" t="str">
        <f>IFERROR(Sheet1!M438,0)</f>
        <v>Dammam</v>
      </c>
      <c r="H438" s="39" t="str">
        <f>IFERROR(Sheet1!H438,0)</f>
        <v>Hind Freight</v>
      </c>
      <c r="I438" s="39" t="str">
        <f>IFERROR(Sheet1!G438,0)</f>
        <v>CFR</v>
      </c>
      <c r="J438" s="39" t="str">
        <f>IFERROR(Sheet1!K438,0)</f>
        <v>OOCL</v>
      </c>
      <c r="K438" s="41">
        <f>IFERROR(Sheet1!A438,0)</f>
        <v>46080</v>
      </c>
      <c r="L438" s="41">
        <f>IFERROR(Sheet1!I438,0)</f>
        <v>46077</v>
      </c>
      <c r="M438" s="47" t="str">
        <f>IFERROR(Sheet1!P438,0)</f>
        <v>NA</v>
      </c>
      <c r="N438" s="42">
        <f>IFERROR(IF(ISNUMBER(Sheet1!N438),Sheet1!N438,0),0)</f>
        <v>450</v>
      </c>
      <c r="O438" s="42">
        <f>IFERROR(IF(TRIM(F438)="Nhava Sheva",SUMPRODUCT((UPPER(TRIM('Origin Costs'!$A$5:$A$44))=UPPER(TRIM(J438)))*'Origin Costs'!$C$5:$C$44),IF(TRIM(F438)="ICD Tihi",SUMPRODUCT((UPPER(TRIM('Origin Costs'!$A$49:$A$88))=UPPER(TRIM(J438)))*'Origin Costs'!$C$49:$C$88),IF(TRIM(F438)="ICD Dhannad",SUMPRODUCT((UPPER(TRIM('Origin Costs'!$A$93:$A$132))=UPPER(TRIM(J438)))*'Origin Costs'!$C$93:$C$132),0))),0)</f>
        <v>0</v>
      </c>
      <c r="P438" s="42">
        <f t="shared" si="6"/>
        <v>450</v>
      </c>
      <c r="Q438" s="13" t="str">
        <f>IF(OR(Dashboard!$C$4="All Customers",$E438=Dashboard!$C$4),IF($E438="","",$P438+ROW()/10000000),"")</f>
        <v/>
      </c>
    </row>
    <row r="439" spans="1:17" ht="14.25" customHeight="1" x14ac:dyDescent="0.3">
      <c r="A439" s="43" t="str">
        <f>IFERROR("FY"&amp;TEXT(MOD(IF(MONTH(Sheet1!A439)&gt;=4,YEAR(Sheet1!A439),YEAR(Sheet1!A439)-1),100),"00")&amp;"-"&amp;TEXT(MOD(IF(MONTH(Sheet1!A439)&gt;=4,YEAR(Sheet1!A439),YEAR(Sheet1!A439)-1)+1,100),"00"),"")</f>
        <v>FY25-26</v>
      </c>
      <c r="B439" s="44" t="str">
        <f>IFERROR("Q"&amp;IF(MONTH(Sheet1!A439)&gt;=4,IF(MONTH(Sheet1!A439)&lt;=6,1,IF(MONTH(Sheet1!A439)&lt;=9,2,3)),4),"")</f>
        <v>Q4</v>
      </c>
      <c r="C439" s="43" t="str">
        <f>IFERROR(Sheet1!C439,0)</f>
        <v>MEA</v>
      </c>
      <c r="D439" s="43" t="str">
        <f>IFERROR(Sheet1!F439,0)</f>
        <v>South Africa</v>
      </c>
      <c r="E439" s="43" t="str">
        <f>IFERROR(Sheet1!E439,0)</f>
        <v>Thomas Tyres, South Africa</v>
      </c>
      <c r="F439" s="43" t="str">
        <f>IFERROR(IF(UPPER(TRIM(Sheet1!J439))="NH","Nhava Sheva",IF(UPPER(TRIM(Sheet1!J439))="ICD","ICD Dhannad",IF(UPPER(TRIM(Sheet1!J439))="TIHI","ICD Tihi",Sheet1!J439))),0)</f>
        <v>ICD Tihi</v>
      </c>
      <c r="G439" s="43" t="str">
        <f>IFERROR(Sheet1!M439,0)</f>
        <v>Durban</v>
      </c>
      <c r="H439" s="43" t="str">
        <f>IFERROR(Sheet1!H439,0)</f>
        <v>Hellmann</v>
      </c>
      <c r="I439" s="43" t="str">
        <f>IFERROR(Sheet1!G439,0)</f>
        <v>CFR</v>
      </c>
      <c r="J439" s="43" t="str">
        <f>IFERROR(Sheet1!K439,0)</f>
        <v>Hapag</v>
      </c>
      <c r="K439" s="45">
        <f>IFERROR(Sheet1!A439,0)</f>
        <v>46080</v>
      </c>
      <c r="L439" s="45">
        <f>IFERROR(Sheet1!I439,0)</f>
        <v>46080</v>
      </c>
      <c r="M439" s="47" t="str">
        <f>IFERROR(Sheet1!P439,0)</f>
        <v>NA</v>
      </c>
      <c r="N439" s="46">
        <f>IFERROR(IF(ISNUMBER(Sheet1!N439),Sheet1!N439,0),0)</f>
        <v>1080</v>
      </c>
      <c r="O439" s="46">
        <f>IFERROR(IF(TRIM(F439)="Nhava Sheva",SUMPRODUCT((UPPER(TRIM('Origin Costs'!$A$5:$A$44))=UPPER(TRIM(J439)))*'Origin Costs'!$C$5:$C$44),IF(TRIM(F439)="ICD Tihi",SUMPRODUCT((UPPER(TRIM('Origin Costs'!$A$49:$A$88))=UPPER(TRIM(J439)))*'Origin Costs'!$C$49:$C$88),IF(TRIM(F439)="ICD Dhannad",SUMPRODUCT((UPPER(TRIM('Origin Costs'!$A$93:$A$132))=UPPER(TRIM(J439)))*'Origin Costs'!$C$93:$C$132),0))),0)</f>
        <v>1027.4444444444443</v>
      </c>
      <c r="P439" s="46">
        <f t="shared" si="6"/>
        <v>2107.4444444444443</v>
      </c>
      <c r="Q439" s="13" t="str">
        <f>IF(OR(Dashboard!$C$4="All Customers",$E439=Dashboard!$C$4),IF($E439="","",$P439+ROW()/10000000),"")</f>
        <v/>
      </c>
    </row>
    <row r="440" spans="1:17" ht="14.25" customHeight="1" x14ac:dyDescent="0.3">
      <c r="A440" s="39" t="str">
        <f>IFERROR("FY"&amp;TEXT(MOD(IF(MONTH(Sheet1!A440)&gt;=4,YEAR(Sheet1!A440),YEAR(Sheet1!A440)-1),100),"00")&amp;"-"&amp;TEXT(MOD(IF(MONTH(Sheet1!A440)&gt;=4,YEAR(Sheet1!A440),YEAR(Sheet1!A440)-1)+1,100),"00"),"")</f>
        <v>FY25-26</v>
      </c>
      <c r="B440" s="40" t="str">
        <f>IFERROR("Q"&amp;IF(MONTH(Sheet1!A440)&gt;=4,IF(MONTH(Sheet1!A440)&lt;=6,1,IF(MONTH(Sheet1!A440)&lt;=9,2,3)),4),"")</f>
        <v>Q4</v>
      </c>
      <c r="C440" s="39" t="str">
        <f>IFERROR(Sheet1!C440,0)</f>
        <v>MEA</v>
      </c>
      <c r="D440" s="39" t="str">
        <f>IFERROR(Sheet1!F440,0)</f>
        <v>South Africa</v>
      </c>
      <c r="E440" s="39" t="str">
        <f>IFERROR(Sheet1!E440,0)</f>
        <v>Thomas Tyres, South Africa</v>
      </c>
      <c r="F440" s="39" t="str">
        <f>IFERROR(IF(UPPER(TRIM(Sheet1!J440))="NH","Nhava Sheva",IF(UPPER(TRIM(Sheet1!J440))="ICD","ICD Dhannad",IF(UPPER(TRIM(Sheet1!J440))="TIHI","ICD Tihi",Sheet1!J440))),0)</f>
        <v>ICD Tihi</v>
      </c>
      <c r="G440" s="39" t="str">
        <f>IFERROR(Sheet1!M440,0)</f>
        <v>Durban</v>
      </c>
      <c r="H440" s="39" t="str">
        <f>IFERROR(Sheet1!H440,0)</f>
        <v>Hellmann</v>
      </c>
      <c r="I440" s="39" t="str">
        <f>IFERROR(Sheet1!G440,0)</f>
        <v>CFR</v>
      </c>
      <c r="J440" s="39" t="str">
        <f>IFERROR(Sheet1!K440,0)</f>
        <v>Hapag</v>
      </c>
      <c r="K440" s="41">
        <f>IFERROR(Sheet1!A440,0)</f>
        <v>46080</v>
      </c>
      <c r="L440" s="41">
        <f>IFERROR(Sheet1!I440,0)</f>
        <v>46080</v>
      </c>
      <c r="M440" s="47" t="str">
        <f>IFERROR(Sheet1!P440,0)</f>
        <v>NA</v>
      </c>
      <c r="N440" s="42">
        <f>IFERROR(IF(ISNUMBER(Sheet1!N440),Sheet1!N440,0),0)</f>
        <v>1080</v>
      </c>
      <c r="O440" s="42">
        <f>IFERROR(IF(TRIM(F440)="Nhava Sheva",SUMPRODUCT((UPPER(TRIM('Origin Costs'!$A$5:$A$44))=UPPER(TRIM(J440)))*'Origin Costs'!$C$5:$C$44),IF(TRIM(F440)="ICD Tihi",SUMPRODUCT((UPPER(TRIM('Origin Costs'!$A$49:$A$88))=UPPER(TRIM(J440)))*'Origin Costs'!$C$49:$C$88),IF(TRIM(F440)="ICD Dhannad",SUMPRODUCT((UPPER(TRIM('Origin Costs'!$A$93:$A$132))=UPPER(TRIM(J440)))*'Origin Costs'!$C$93:$C$132),0))),0)</f>
        <v>1027.4444444444443</v>
      </c>
      <c r="P440" s="42">
        <f t="shared" si="6"/>
        <v>2107.4444444444443</v>
      </c>
      <c r="Q440" s="13" t="str">
        <f>IF(OR(Dashboard!$C$4="All Customers",$E440=Dashboard!$C$4),IF($E440="","",$P440+ROW()/10000000),"")</f>
        <v/>
      </c>
    </row>
    <row r="441" spans="1:17" ht="14.25" customHeight="1" x14ac:dyDescent="0.3">
      <c r="A441" s="43" t="str">
        <f>IFERROR("FY"&amp;TEXT(MOD(IF(MONTH(Sheet1!A441)&gt;=4,YEAR(Sheet1!A441),YEAR(Sheet1!A441)-1),100),"00")&amp;"-"&amp;TEXT(MOD(IF(MONTH(Sheet1!A441)&gt;=4,YEAR(Sheet1!A441),YEAR(Sheet1!A441)-1)+1,100),"00"),"")</f>
        <v>FY25-26</v>
      </c>
      <c r="B441" s="44" t="str">
        <f>IFERROR("Q"&amp;IF(MONTH(Sheet1!A441)&gt;=4,IF(MONTH(Sheet1!A441)&lt;=6,1,IF(MONTH(Sheet1!A441)&lt;=9,2,3)),4),"")</f>
        <v>Q4</v>
      </c>
      <c r="C441" s="43" t="str">
        <f>IFERROR(Sheet1!C441,0)</f>
        <v>S.A</v>
      </c>
      <c r="D441" s="43" t="str">
        <f>IFERROR(Sheet1!F441,0)</f>
        <v>Columbia</v>
      </c>
      <c r="E441" s="43" t="str">
        <f>IFERROR(Sheet1!E441,0)</f>
        <v>REDLLANTAS S.A</v>
      </c>
      <c r="F441" s="43" t="str">
        <f>IFERROR(IF(UPPER(TRIM(Sheet1!J441))="NH","Nhava Sheva",IF(UPPER(TRIM(Sheet1!J441))="ICD","ICD Dhannad",IF(UPPER(TRIM(Sheet1!J441))="TIHI","ICD Tihi",Sheet1!J441))),0)</f>
        <v>Nhava Sheva</v>
      </c>
      <c r="G441" s="43" t="str">
        <f>IFERROR(Sheet1!M441,0)</f>
        <v>Buenaventura</v>
      </c>
      <c r="H441" s="43" t="str">
        <f>IFERROR(Sheet1!H441,0)</f>
        <v>Mentor Freight</v>
      </c>
      <c r="I441" s="43" t="str">
        <f>IFERROR(Sheet1!G441,0)</f>
        <v>FOB</v>
      </c>
      <c r="J441" s="43" t="str">
        <f>IFERROR(Sheet1!K441,0)</f>
        <v>MSC</v>
      </c>
      <c r="K441" s="45">
        <f>IFERROR(Sheet1!A441,0)</f>
        <v>46081</v>
      </c>
      <c r="L441" s="45">
        <f>IFERROR(Sheet1!I441,0)</f>
        <v>46079</v>
      </c>
      <c r="M441" s="47" t="str">
        <f>IFERROR(Sheet1!P441,0)</f>
        <v>NA</v>
      </c>
      <c r="N441" s="46">
        <f>IFERROR(IF(ISNUMBER(Sheet1!N441),Sheet1!N441,0),0)</f>
        <v>0</v>
      </c>
      <c r="O441" s="46">
        <f>IFERROR(IF(TRIM(F441)="Nhava Sheva",SUMPRODUCT((UPPER(TRIM('Origin Costs'!$A$5:$A$44))=UPPER(TRIM(J441)))*'Origin Costs'!$C$5:$C$44),IF(TRIM(F441)="ICD Tihi",SUMPRODUCT((UPPER(TRIM('Origin Costs'!$A$49:$A$88))=UPPER(TRIM(J441)))*'Origin Costs'!$C$49:$C$88),IF(TRIM(F441)="ICD Dhannad",SUMPRODUCT((UPPER(TRIM('Origin Costs'!$A$93:$A$132))=UPPER(TRIM(J441)))*'Origin Costs'!$C$93:$C$132),0))),0)</f>
        <v>1168.8222222222223</v>
      </c>
      <c r="P441" s="46">
        <f t="shared" si="6"/>
        <v>1168.8222222222223</v>
      </c>
      <c r="Q441" s="13" t="str">
        <f>IF(OR(Dashboard!$C$4="All Customers",$E441=Dashboard!$C$4),IF($E441="","",$P441+ROW()/10000000),"")</f>
        <v/>
      </c>
    </row>
    <row r="442" spans="1:17" ht="14.25" customHeight="1" x14ac:dyDescent="0.3">
      <c r="A442" s="39" t="str">
        <f>IFERROR("FY"&amp;TEXT(MOD(IF(MONTH(Sheet1!A442)&gt;=4,YEAR(Sheet1!A442),YEAR(Sheet1!A442)-1),100),"00")&amp;"-"&amp;TEXT(MOD(IF(MONTH(Sheet1!A442)&gt;=4,YEAR(Sheet1!A442),YEAR(Sheet1!A442)-1)+1,100),"00"),"")</f>
        <v>FY25-26</v>
      </c>
      <c r="B442" s="40" t="str">
        <f>IFERROR("Q"&amp;IF(MONTH(Sheet1!A442)&gt;=4,IF(MONTH(Sheet1!A442)&lt;=6,1,IF(MONTH(Sheet1!A442)&lt;=9,2,3)),4),"")</f>
        <v>Q4</v>
      </c>
      <c r="C442" s="39" t="str">
        <f>IFERROR(Sheet1!C442,0)</f>
        <v>S.A</v>
      </c>
      <c r="D442" s="39" t="str">
        <f>IFERROR(Sheet1!F442,0)</f>
        <v>Panama</v>
      </c>
      <c r="E442" s="39" t="str">
        <f>IFERROR(Sheet1!E442,0)</f>
        <v>Suministros y Exportaciones Primor</v>
      </c>
      <c r="F442" s="39" t="str">
        <f>IFERROR(IF(UPPER(TRIM(Sheet1!J442))="NH","Nhava Sheva",IF(UPPER(TRIM(Sheet1!J442))="ICD","ICD Dhannad",IF(UPPER(TRIM(Sheet1!J442))="TIHI","ICD Tihi",Sheet1!J442))),0)</f>
        <v>ICD Tihi</v>
      </c>
      <c r="G442" s="39" t="str">
        <f>IFERROR(Sheet1!M442,0)</f>
        <v>Colon Free Zone</v>
      </c>
      <c r="H442" s="39" t="str">
        <f>IFERROR(Sheet1!H442,0)</f>
        <v>Sanjay Forwarder</v>
      </c>
      <c r="I442" s="39" t="str">
        <f>IFERROR(Sheet1!G442,0)</f>
        <v>CIF</v>
      </c>
      <c r="J442" s="39" t="str">
        <f>IFERROR(Sheet1!K442,0)</f>
        <v>Maersk</v>
      </c>
      <c r="K442" s="41">
        <f>IFERROR(Sheet1!A442,0)</f>
        <v>46081</v>
      </c>
      <c r="L442" s="41">
        <f>IFERROR(Sheet1!I442,0)</f>
        <v>46081</v>
      </c>
      <c r="M442" s="47" t="str">
        <f>IFERROR(Sheet1!P442,0)</f>
        <v>NA</v>
      </c>
      <c r="N442" s="42">
        <f>IFERROR(IF(ISNUMBER(Sheet1!N442),Sheet1!N442,0),0)</f>
        <v>1850</v>
      </c>
      <c r="O442" s="42">
        <f>IFERROR(IF(TRIM(F442)="Nhava Sheva",SUMPRODUCT((UPPER(TRIM('Origin Costs'!$A$5:$A$44))=UPPER(TRIM(J442)))*'Origin Costs'!$C$5:$C$44),IF(TRIM(F442)="ICD Tihi",SUMPRODUCT((UPPER(TRIM('Origin Costs'!$A$49:$A$88))=UPPER(TRIM(J442)))*'Origin Costs'!$C$49:$C$88),IF(TRIM(F442)="ICD Dhannad",SUMPRODUCT((UPPER(TRIM('Origin Costs'!$A$93:$A$132))=UPPER(TRIM(J442)))*'Origin Costs'!$C$93:$C$132),0))),0)</f>
        <v>1186.6333333333334</v>
      </c>
      <c r="P442" s="42">
        <f t="shared" si="6"/>
        <v>3036.6333333333332</v>
      </c>
      <c r="Q442" s="13" t="str">
        <f>IF(OR(Dashboard!$C$4="All Customers",$E442=Dashboard!$C$4),IF($E442="","",$P442+ROW()/10000000),"")</f>
        <v/>
      </c>
    </row>
    <row r="443" spans="1:17" ht="14.25" customHeight="1" x14ac:dyDescent="0.3">
      <c r="A443" s="43" t="str">
        <f>IFERROR("FY"&amp;TEXT(MOD(IF(MONTH(Sheet1!A443)&gt;=4,YEAR(Sheet1!A443),YEAR(Sheet1!A443)-1),100),"00")&amp;"-"&amp;TEXT(MOD(IF(MONTH(Sheet1!A443)&gt;=4,YEAR(Sheet1!A443),YEAR(Sheet1!A443)-1)+1,100),"00"),"")</f>
        <v>FY25-26</v>
      </c>
      <c r="B443" s="44" t="str">
        <f>IFERROR("Q"&amp;IF(MONTH(Sheet1!A443)&gt;=4,IF(MONTH(Sheet1!A443)&lt;=6,1,IF(MONTH(Sheet1!A443)&lt;=9,2,3)),4),"")</f>
        <v>Q4</v>
      </c>
      <c r="C443" s="43" t="str">
        <f>IFERROR(Sheet1!C443,0)</f>
        <v>S.A</v>
      </c>
      <c r="D443" s="43" t="str">
        <f>IFERROR(Sheet1!F443,0)</f>
        <v>Panama</v>
      </c>
      <c r="E443" s="43" t="str">
        <f>IFERROR(Sheet1!E443,0)</f>
        <v>Suministros y Exportaciones Primor</v>
      </c>
      <c r="F443" s="43" t="str">
        <f>IFERROR(IF(UPPER(TRIM(Sheet1!J443))="NH","Nhava Sheva",IF(UPPER(TRIM(Sheet1!J443))="ICD","ICD Dhannad",IF(UPPER(TRIM(Sheet1!J443))="TIHI","ICD Tihi",Sheet1!J443))),0)</f>
        <v>ICD Tihi</v>
      </c>
      <c r="G443" s="43" t="str">
        <f>IFERROR(Sheet1!M443,0)</f>
        <v>Colon Free Zone</v>
      </c>
      <c r="H443" s="43" t="str">
        <f>IFERROR(Sheet1!H443,0)</f>
        <v>Sanjay Forwarder</v>
      </c>
      <c r="I443" s="43" t="str">
        <f>IFERROR(Sheet1!G443,0)</f>
        <v>CIF</v>
      </c>
      <c r="J443" s="43" t="str">
        <f>IFERROR(Sheet1!K443,0)</f>
        <v>Maersk</v>
      </c>
      <c r="K443" s="45">
        <f>IFERROR(Sheet1!A443,0)</f>
        <v>46081</v>
      </c>
      <c r="L443" s="45">
        <f>IFERROR(Sheet1!I443,0)</f>
        <v>46081</v>
      </c>
      <c r="M443" s="47" t="str">
        <f>IFERROR(Sheet1!P443,0)</f>
        <v>NA</v>
      </c>
      <c r="N443" s="46">
        <f>IFERROR(IF(ISNUMBER(Sheet1!N443),Sheet1!N443,0),0)</f>
        <v>1850</v>
      </c>
      <c r="O443" s="46">
        <f>IFERROR(IF(TRIM(F443)="Nhava Sheva",SUMPRODUCT((UPPER(TRIM('Origin Costs'!$A$5:$A$44))=UPPER(TRIM(J443)))*'Origin Costs'!$C$5:$C$44),IF(TRIM(F443)="ICD Tihi",SUMPRODUCT((UPPER(TRIM('Origin Costs'!$A$49:$A$88))=UPPER(TRIM(J443)))*'Origin Costs'!$C$49:$C$88),IF(TRIM(F443)="ICD Dhannad",SUMPRODUCT((UPPER(TRIM('Origin Costs'!$A$93:$A$132))=UPPER(TRIM(J443)))*'Origin Costs'!$C$93:$C$132),0))),0)</f>
        <v>1186.6333333333334</v>
      </c>
      <c r="P443" s="46">
        <f t="shared" si="6"/>
        <v>3036.6333333333332</v>
      </c>
      <c r="Q443" s="13" t="str">
        <f>IF(OR(Dashboard!$C$4="All Customers",$E443=Dashboard!$C$4),IF($E443="","",$P443+ROW()/10000000),"")</f>
        <v/>
      </c>
    </row>
    <row r="444" spans="1:17" ht="14.25" customHeight="1" x14ac:dyDescent="0.3">
      <c r="A444" s="39" t="str">
        <f>IFERROR("FY"&amp;TEXT(MOD(IF(MONTH(Sheet1!A444)&gt;=4,YEAR(Sheet1!A444),YEAR(Sheet1!A444)-1),100),"00")&amp;"-"&amp;TEXT(MOD(IF(MONTH(Sheet1!A444)&gt;=4,YEAR(Sheet1!A444),YEAR(Sheet1!A444)-1)+1,100),"00"),"")</f>
        <v>FY25-26</v>
      </c>
      <c r="B444" s="40" t="str">
        <f>IFERROR("Q"&amp;IF(MONTH(Sheet1!A444)&gt;=4,IF(MONTH(Sheet1!A444)&lt;=6,1,IF(MONTH(Sheet1!A444)&lt;=9,2,3)),4),"")</f>
        <v>Q4</v>
      </c>
      <c r="C444" s="39" t="str">
        <f>IFERROR(Sheet1!C444,0)</f>
        <v>S.A</v>
      </c>
      <c r="D444" s="39" t="str">
        <f>IFERROR(Sheet1!F444,0)</f>
        <v>Panama</v>
      </c>
      <c r="E444" s="39" t="str">
        <f>IFERROR(Sheet1!E444,0)</f>
        <v>Suministros y Exportaciones Primor</v>
      </c>
      <c r="F444" s="39" t="str">
        <f>IFERROR(IF(UPPER(TRIM(Sheet1!J444))="NH","Nhava Sheva",IF(UPPER(TRIM(Sheet1!J444))="ICD","ICD Dhannad",IF(UPPER(TRIM(Sheet1!J444))="TIHI","ICD Tihi",Sheet1!J444))),0)</f>
        <v>ICD Tihi</v>
      </c>
      <c r="G444" s="39" t="str">
        <f>IFERROR(Sheet1!M444,0)</f>
        <v>Colon Free Zone</v>
      </c>
      <c r="H444" s="39" t="str">
        <f>IFERROR(Sheet1!H444,0)</f>
        <v>Sanjay Forwarder</v>
      </c>
      <c r="I444" s="39" t="str">
        <f>IFERROR(Sheet1!G444,0)</f>
        <v>CIF</v>
      </c>
      <c r="J444" s="39" t="str">
        <f>IFERROR(Sheet1!K444,0)</f>
        <v>Maersk</v>
      </c>
      <c r="K444" s="41">
        <f>IFERROR(Sheet1!A444,0)</f>
        <v>46081</v>
      </c>
      <c r="L444" s="41">
        <f>IFERROR(Sheet1!I444,0)</f>
        <v>46081</v>
      </c>
      <c r="M444" s="47" t="str">
        <f>IFERROR(Sheet1!P444,0)</f>
        <v>NA</v>
      </c>
      <c r="N444" s="42">
        <f>IFERROR(IF(ISNUMBER(Sheet1!N444),Sheet1!N444,0),0)</f>
        <v>1850</v>
      </c>
      <c r="O444" s="42">
        <f>IFERROR(IF(TRIM(F444)="Nhava Sheva",SUMPRODUCT((UPPER(TRIM('Origin Costs'!$A$5:$A$44))=UPPER(TRIM(J444)))*'Origin Costs'!$C$5:$C$44),IF(TRIM(F444)="ICD Tihi",SUMPRODUCT((UPPER(TRIM('Origin Costs'!$A$49:$A$88))=UPPER(TRIM(J444)))*'Origin Costs'!$C$49:$C$88),IF(TRIM(F444)="ICD Dhannad",SUMPRODUCT((UPPER(TRIM('Origin Costs'!$A$93:$A$132))=UPPER(TRIM(J444)))*'Origin Costs'!$C$93:$C$132),0))),0)</f>
        <v>1186.6333333333334</v>
      </c>
      <c r="P444" s="42">
        <f t="shared" si="6"/>
        <v>3036.6333333333332</v>
      </c>
      <c r="Q444" s="13" t="str">
        <f>IF(OR(Dashboard!$C$4="All Customers",$E444=Dashboard!$C$4),IF($E444="","",$P444+ROW()/10000000),"")</f>
        <v/>
      </c>
    </row>
    <row r="445" spans="1:17" ht="14.25" customHeight="1" x14ac:dyDescent="0.3">
      <c r="A445" s="43" t="str">
        <f>IFERROR("FY"&amp;TEXT(MOD(IF(MONTH(Sheet1!A445)&gt;=4,YEAR(Sheet1!A445),YEAR(Sheet1!A445)-1),100),"00")&amp;"-"&amp;TEXT(MOD(IF(MONTH(Sheet1!A445)&gt;=4,YEAR(Sheet1!A445),YEAR(Sheet1!A445)-1)+1,100),"00"),"")</f>
        <v>FY25-26</v>
      </c>
      <c r="B445" s="44" t="str">
        <f>IFERROR("Q"&amp;IF(MONTH(Sheet1!A445)&gt;=4,IF(MONTH(Sheet1!A445)&lt;=6,1,IF(MONTH(Sheet1!A445)&lt;=9,2,3)),4),"")</f>
        <v>Q4</v>
      </c>
      <c r="C445" s="43" t="str">
        <f>IFERROR(Sheet1!C445,0)</f>
        <v>S.A</v>
      </c>
      <c r="D445" s="43" t="str">
        <f>IFERROR(Sheet1!F445,0)</f>
        <v>Mexico</v>
      </c>
      <c r="E445" s="43" t="str">
        <f>IFERROR(Sheet1!E445,0)</f>
        <v>PC Tyres, Mexico</v>
      </c>
      <c r="F445" s="43" t="str">
        <f>IFERROR(IF(UPPER(TRIM(Sheet1!J445))="NH","Nhava Sheva",IF(UPPER(TRIM(Sheet1!J445))="ICD","ICD Dhannad",IF(UPPER(TRIM(Sheet1!J445))="TIHI","ICD Tihi",Sheet1!J445))),0)</f>
        <v>Nhava Sheva</v>
      </c>
      <c r="G445" s="43" t="str">
        <f>IFERROR(Sheet1!M445,0)</f>
        <v>Manzanillo</v>
      </c>
      <c r="H445" s="43" t="str">
        <f>IFERROR(Sheet1!H445,0)</f>
        <v>Hellmann</v>
      </c>
      <c r="I445" s="43" t="str">
        <f>IFERROR(Sheet1!G445,0)</f>
        <v>CFR</v>
      </c>
      <c r="J445" s="43" t="str">
        <f>IFERROR(Sheet1!K445,0)</f>
        <v>Emirates</v>
      </c>
      <c r="K445" s="45">
        <f>IFERROR(Sheet1!A445,0)</f>
        <v>46081</v>
      </c>
      <c r="L445" s="45">
        <f>IFERROR(Sheet1!I445,0)</f>
        <v>46080</v>
      </c>
      <c r="M445" s="47" t="str">
        <f>IFERROR(Sheet1!P445,0)</f>
        <v>NA</v>
      </c>
      <c r="N445" s="46">
        <f>IFERROR(IF(ISNUMBER(Sheet1!N445),Sheet1!N445,0),0)</f>
        <v>1715</v>
      </c>
      <c r="O445" s="46">
        <f>IFERROR(IF(TRIM(F445)="Nhava Sheva",SUMPRODUCT((UPPER(TRIM('Origin Costs'!$A$5:$A$44))=UPPER(TRIM(J445)))*'Origin Costs'!$C$5:$C$44),IF(TRIM(F445)="ICD Tihi",SUMPRODUCT((UPPER(TRIM('Origin Costs'!$A$49:$A$88))=UPPER(TRIM(J445)))*'Origin Costs'!$C$49:$C$88),IF(TRIM(F445)="ICD Dhannad",SUMPRODUCT((UPPER(TRIM('Origin Costs'!$A$93:$A$132))=UPPER(TRIM(J445)))*'Origin Costs'!$C$93:$C$132),0))),0)</f>
        <v>0</v>
      </c>
      <c r="P445" s="46">
        <f t="shared" si="6"/>
        <v>1715</v>
      </c>
      <c r="Q445" s="13" t="str">
        <f>IF(OR(Dashboard!$C$4="All Customers",$E445=Dashboard!$C$4),IF($E445="","",$P445+ROW()/10000000),"")</f>
        <v/>
      </c>
    </row>
    <row r="446" spans="1:17" ht="14.25" customHeight="1" x14ac:dyDescent="0.3">
      <c r="A446" s="39" t="str">
        <f>IFERROR("FY"&amp;TEXT(MOD(IF(MONTH(Sheet1!A446)&gt;=4,YEAR(Sheet1!A446),YEAR(Sheet1!A446)-1),100),"00")&amp;"-"&amp;TEXT(MOD(IF(MONTH(Sheet1!A446)&gt;=4,YEAR(Sheet1!A446),YEAR(Sheet1!A446)-1)+1,100),"00"),"")</f>
        <v>FY25-26</v>
      </c>
      <c r="B446" s="40" t="str">
        <f>IFERROR("Q"&amp;IF(MONTH(Sheet1!A446)&gt;=4,IF(MONTH(Sheet1!A446)&lt;=6,1,IF(MONTH(Sheet1!A446)&lt;=9,2,3)),4),"")</f>
        <v>Q4</v>
      </c>
      <c r="C446" s="39" t="str">
        <f>IFERROR(Sheet1!C446,0)</f>
        <v>Oceania</v>
      </c>
      <c r="D446" s="39" t="str">
        <f>IFERROR(Sheet1!F446,0)</f>
        <v>Australia</v>
      </c>
      <c r="E446" s="39" t="str">
        <f>IFERROR(Sheet1!E446,0)</f>
        <v>ULTIMATE TYRE SERVICES PTY LTD</v>
      </c>
      <c r="F446" s="39" t="str">
        <f>IFERROR(IF(UPPER(TRIM(Sheet1!J446))="NH","Nhava Sheva",IF(UPPER(TRIM(Sheet1!J446))="ICD","ICD Dhannad",IF(UPPER(TRIM(Sheet1!J446))="TIHI","ICD Tihi",Sheet1!J446))),0)</f>
        <v>Nhava Sheva</v>
      </c>
      <c r="G446" s="39" t="str">
        <f>IFERROR(Sheet1!M446,0)</f>
        <v>BRISBANE</v>
      </c>
      <c r="H446" s="39" t="str">
        <f>IFERROR(Sheet1!H446,0)</f>
        <v>Hellmann</v>
      </c>
      <c r="I446" s="39" t="str">
        <f>IFERROR(Sheet1!G446,0)</f>
        <v>CFR</v>
      </c>
      <c r="J446" s="39" t="str">
        <f>IFERROR(Sheet1!K446,0)</f>
        <v>PIL</v>
      </c>
      <c r="K446" s="41">
        <f>IFERROR(Sheet1!A446,0)</f>
        <v>46086</v>
      </c>
      <c r="L446" s="41">
        <f>IFERROR(Sheet1!I446,0)</f>
        <v>46084</v>
      </c>
      <c r="M446" s="47" t="str">
        <f>IFERROR(Sheet1!P446,0)</f>
        <v>NA</v>
      </c>
      <c r="N446" s="42">
        <f>IFERROR(IF(ISNUMBER(Sheet1!N446),Sheet1!N446,0),0)</f>
        <v>1675</v>
      </c>
      <c r="O446" s="42">
        <f>IFERROR(IF(TRIM(F446)="Nhava Sheva",SUMPRODUCT((UPPER(TRIM('Origin Costs'!$A$5:$A$44))=UPPER(TRIM(J446)))*'Origin Costs'!$C$5:$C$44),IF(TRIM(F446)="ICD Tihi",SUMPRODUCT((UPPER(TRIM('Origin Costs'!$A$49:$A$88))=UPPER(TRIM(J446)))*'Origin Costs'!$C$49:$C$88),IF(TRIM(F446)="ICD Dhannad",SUMPRODUCT((UPPER(TRIM('Origin Costs'!$A$93:$A$132))=UPPER(TRIM(J446)))*'Origin Costs'!$C$93:$C$132),0))),0)</f>
        <v>0</v>
      </c>
      <c r="P446" s="42">
        <f t="shared" si="6"/>
        <v>1675</v>
      </c>
      <c r="Q446" s="13" t="str">
        <f>IF(OR(Dashboard!$C$4="All Customers",$E446=Dashboard!$C$4),IF($E446="","",$P446+ROW()/10000000),"")</f>
        <v/>
      </c>
    </row>
    <row r="447" spans="1:17" ht="14.25" customHeight="1" x14ac:dyDescent="0.3">
      <c r="A447" s="43" t="str">
        <f>IFERROR("FY"&amp;TEXT(MOD(IF(MONTH(Sheet1!A447)&gt;=4,YEAR(Sheet1!A447),YEAR(Sheet1!A447)-1),100),"00")&amp;"-"&amp;TEXT(MOD(IF(MONTH(Sheet1!A447)&gt;=4,YEAR(Sheet1!A447),YEAR(Sheet1!A447)-1)+1,100),"00"),"")</f>
        <v>FY25-26</v>
      </c>
      <c r="B447" s="44" t="str">
        <f>IFERROR("Q"&amp;IF(MONTH(Sheet1!A447)&gt;=4,IF(MONTH(Sheet1!A447)&lt;=6,1,IF(MONTH(Sheet1!A447)&lt;=9,2,3)),4),"")</f>
        <v>Q4</v>
      </c>
      <c r="C447" s="43" t="str">
        <f>IFERROR(Sheet1!C447,0)</f>
        <v>Oceania</v>
      </c>
      <c r="D447" s="43" t="str">
        <f>IFERROR(Sheet1!F447,0)</f>
        <v>Australia</v>
      </c>
      <c r="E447" s="43" t="str">
        <f>IFERROR(Sheet1!E447,0)</f>
        <v>ULTIMATE TYRE SERVICES PTY LTD</v>
      </c>
      <c r="F447" s="43" t="str">
        <f>IFERROR(IF(UPPER(TRIM(Sheet1!J447))="NH","Nhava Sheva",IF(UPPER(TRIM(Sheet1!J447))="ICD","ICD Dhannad",IF(UPPER(TRIM(Sheet1!J447))="TIHI","ICD Tihi",Sheet1!J447))),0)</f>
        <v>Nhava Sheva</v>
      </c>
      <c r="G447" s="43" t="str">
        <f>IFERROR(Sheet1!M447,0)</f>
        <v>BRISBANE</v>
      </c>
      <c r="H447" s="43" t="str">
        <f>IFERROR(Sheet1!H447,0)</f>
        <v>Hellmann</v>
      </c>
      <c r="I447" s="43" t="str">
        <f>IFERROR(Sheet1!G447,0)</f>
        <v>CFR</v>
      </c>
      <c r="J447" s="43" t="str">
        <f>IFERROR(Sheet1!K447,0)</f>
        <v>PIL</v>
      </c>
      <c r="K447" s="45">
        <f>IFERROR(Sheet1!A447,0)</f>
        <v>46086</v>
      </c>
      <c r="L447" s="45">
        <f>IFERROR(Sheet1!I447,0)</f>
        <v>46084</v>
      </c>
      <c r="M447" s="47" t="str">
        <f>IFERROR(Sheet1!P447,0)</f>
        <v>NA</v>
      </c>
      <c r="N447" s="46">
        <f>IFERROR(IF(ISNUMBER(Sheet1!N447),Sheet1!N447,0),0)</f>
        <v>1675</v>
      </c>
      <c r="O447" s="46">
        <f>IFERROR(IF(TRIM(F447)="Nhava Sheva",SUMPRODUCT((UPPER(TRIM('Origin Costs'!$A$5:$A$44))=UPPER(TRIM(J447)))*'Origin Costs'!$C$5:$C$44),IF(TRIM(F447)="ICD Tihi",SUMPRODUCT((UPPER(TRIM('Origin Costs'!$A$49:$A$88))=UPPER(TRIM(J447)))*'Origin Costs'!$C$49:$C$88),IF(TRIM(F447)="ICD Dhannad",SUMPRODUCT((UPPER(TRIM('Origin Costs'!$A$93:$A$132))=UPPER(TRIM(J447)))*'Origin Costs'!$C$93:$C$132),0))),0)</f>
        <v>0</v>
      </c>
      <c r="P447" s="46">
        <f t="shared" si="6"/>
        <v>1675</v>
      </c>
      <c r="Q447" s="13" t="str">
        <f>IF(OR(Dashboard!$C$4="All Customers",$E447=Dashboard!$C$4),IF($E447="","",$P447+ROW()/10000000),"")</f>
        <v/>
      </c>
    </row>
    <row r="448" spans="1:17" ht="14.25" customHeight="1" x14ac:dyDescent="0.3">
      <c r="A448" s="39" t="str">
        <f>IFERROR("FY"&amp;TEXT(MOD(IF(MONTH(Sheet1!A448)&gt;=4,YEAR(Sheet1!A448),YEAR(Sheet1!A448)-1),100),"00")&amp;"-"&amp;TEXT(MOD(IF(MONTH(Sheet1!A448)&gt;=4,YEAR(Sheet1!A448),YEAR(Sheet1!A448)-1)+1,100),"00"),"")</f>
        <v>FY25-26</v>
      </c>
      <c r="B448" s="40" t="str">
        <f>IFERROR("Q"&amp;IF(MONTH(Sheet1!A448)&gt;=4,IF(MONTH(Sheet1!A448)&lt;=6,1,IF(MONTH(Sheet1!A448)&lt;=9,2,3)),4),"")</f>
        <v>Q4</v>
      </c>
      <c r="C448" s="39" t="str">
        <f>IFERROR(Sheet1!C448,0)</f>
        <v>Europe</v>
      </c>
      <c r="D448" s="39" t="str">
        <f>IFERROR(Sheet1!F448,0)</f>
        <v>Romania</v>
      </c>
      <c r="E448" s="39" t="str">
        <f>IFERROR(Sheet1!E448,0)</f>
        <v>INTER CARS ROMANIA SRL</v>
      </c>
      <c r="F448" s="39" t="str">
        <f>IFERROR(IF(UPPER(TRIM(Sheet1!J448))="NH","Nhava Sheva",IF(UPPER(TRIM(Sheet1!J448))="ICD","ICD Dhannad",IF(UPPER(TRIM(Sheet1!J448))="TIHI","ICD Tihi",Sheet1!J448))),0)</f>
        <v>Nhava Sheva</v>
      </c>
      <c r="G448" s="39" t="str">
        <f>IFERROR(Sheet1!M448,0)</f>
        <v>Constanta</v>
      </c>
      <c r="H448" s="39" t="str">
        <f>IFERROR(Sheet1!H448,0)</f>
        <v>DSV</v>
      </c>
      <c r="I448" s="39" t="str">
        <f>IFERROR(Sheet1!G448,0)</f>
        <v>FOB</v>
      </c>
      <c r="J448" s="39" t="str">
        <f>IFERROR(Sheet1!K448,0)</f>
        <v>CMA</v>
      </c>
      <c r="K448" s="41">
        <f>IFERROR(Sheet1!A448,0)</f>
        <v>46088</v>
      </c>
      <c r="L448" s="41">
        <f>IFERROR(Sheet1!I448,0)</f>
        <v>46086</v>
      </c>
      <c r="M448" s="47" t="str">
        <f>IFERROR(Sheet1!P448,0)</f>
        <v>NA</v>
      </c>
      <c r="N448" s="42">
        <f>IFERROR(IF(ISNUMBER(Sheet1!N448),Sheet1!N448,0),0)</f>
        <v>0</v>
      </c>
      <c r="O448" s="42">
        <f>IFERROR(IF(TRIM(F448)="Nhava Sheva",SUMPRODUCT((UPPER(TRIM('Origin Costs'!$A$5:$A$44))=UPPER(TRIM(J448)))*'Origin Costs'!$C$5:$C$44),IF(TRIM(F448)="ICD Tihi",SUMPRODUCT((UPPER(TRIM('Origin Costs'!$A$49:$A$88))=UPPER(TRIM(J448)))*'Origin Costs'!$C$49:$C$88),IF(TRIM(F448)="ICD Dhannad",SUMPRODUCT((UPPER(TRIM('Origin Costs'!$A$93:$A$132))=UPPER(TRIM(J448)))*'Origin Costs'!$C$93:$C$132),0))),0)</f>
        <v>0</v>
      </c>
      <c r="P448" s="42">
        <f t="shared" si="6"/>
        <v>0</v>
      </c>
      <c r="Q448" s="13" t="str">
        <f>IF(OR(Dashboard!$C$4="All Customers",$E448=Dashboard!$C$4),IF($E448="","",$P448+ROW()/10000000),"")</f>
        <v/>
      </c>
    </row>
    <row r="449" spans="1:17" ht="14.25" customHeight="1" x14ac:dyDescent="0.3">
      <c r="A449" s="43" t="str">
        <f>IFERROR("FY"&amp;TEXT(MOD(IF(MONTH(Sheet1!A449)&gt;=4,YEAR(Sheet1!A449),YEAR(Sheet1!A449)-1),100),"00")&amp;"-"&amp;TEXT(MOD(IF(MONTH(Sheet1!A449)&gt;=4,YEAR(Sheet1!A449),YEAR(Sheet1!A449)-1)+1,100),"00"),"")</f>
        <v>FY25-26</v>
      </c>
      <c r="B449" s="44" t="str">
        <f>IFERROR("Q"&amp;IF(MONTH(Sheet1!A449)&gt;=4,IF(MONTH(Sheet1!A449)&lt;=6,1,IF(MONTH(Sheet1!A449)&lt;=9,2,3)),4),"")</f>
        <v>Q4</v>
      </c>
      <c r="C449" s="43" t="str">
        <f>IFERROR(Sheet1!C449,0)</f>
        <v>CIS</v>
      </c>
      <c r="D449" s="43" t="str">
        <f>IFERROR(Sheet1!F449,0)</f>
        <v>Russia</v>
      </c>
      <c r="E449" s="43" t="str">
        <f>IFERROR(Sheet1!E449,0)</f>
        <v>STALKER LTD, Russia</v>
      </c>
      <c r="F449" s="43" t="str">
        <f>IFERROR(IF(UPPER(TRIM(Sheet1!J449))="NH","Nhava Sheva",IF(UPPER(TRIM(Sheet1!J449))="ICD","ICD Dhannad",IF(UPPER(TRIM(Sheet1!J449))="TIHI","ICD Tihi",Sheet1!J449))),0)</f>
        <v>Nhava Sheva</v>
      </c>
      <c r="G449" s="43" t="str">
        <f>IFERROR(Sheet1!M449,0)</f>
        <v>NOVOROSSIYSK</v>
      </c>
      <c r="H449" s="43" t="str">
        <f>IFERROR(Sheet1!H449,0)</f>
        <v>Prologis Freight</v>
      </c>
      <c r="I449" s="43" t="str">
        <f>IFERROR(Sheet1!G449,0)</f>
        <v>CFR</v>
      </c>
      <c r="J449" s="43" t="str">
        <f>IFERROR(Sheet1!K449,0)</f>
        <v>FESCO</v>
      </c>
      <c r="K449" s="45">
        <f>IFERROR(Sheet1!A449,0)</f>
        <v>46088</v>
      </c>
      <c r="L449" s="45">
        <f>IFERROR(Sheet1!I449,0)</f>
        <v>46086</v>
      </c>
      <c r="M449" s="47" t="str">
        <f>IFERROR(Sheet1!P449,0)</f>
        <v>NA</v>
      </c>
      <c r="N449" s="46">
        <f>IFERROR(IF(ISNUMBER(Sheet1!N449),Sheet1!N449,0),0)</f>
        <v>4300</v>
      </c>
      <c r="O449" s="46">
        <f>IFERROR(IF(TRIM(F449)="Nhava Sheva",SUMPRODUCT((UPPER(TRIM('Origin Costs'!$A$5:$A$44))=UPPER(TRIM(J449)))*'Origin Costs'!$C$5:$C$44),IF(TRIM(F449)="ICD Tihi",SUMPRODUCT((UPPER(TRIM('Origin Costs'!$A$49:$A$88))=UPPER(TRIM(J449)))*'Origin Costs'!$C$49:$C$88),IF(TRIM(F449)="ICD Dhannad",SUMPRODUCT((UPPER(TRIM('Origin Costs'!$A$93:$A$132))=UPPER(TRIM(J449)))*'Origin Costs'!$C$93:$C$132),0))),0)</f>
        <v>0</v>
      </c>
      <c r="P449" s="46">
        <f t="shared" si="6"/>
        <v>4300</v>
      </c>
      <c r="Q449" s="13" t="str">
        <f>IF(OR(Dashboard!$C$4="All Customers",$E449=Dashboard!$C$4),IF($E449="","",$P449+ROW()/10000000),"")</f>
        <v/>
      </c>
    </row>
    <row r="450" spans="1:17" ht="14.25" customHeight="1" x14ac:dyDescent="0.3">
      <c r="A450" s="39" t="str">
        <f>IFERROR("FY"&amp;TEXT(MOD(IF(MONTH(Sheet1!A450)&gt;=4,YEAR(Sheet1!A450),YEAR(Sheet1!A450)-1),100),"00")&amp;"-"&amp;TEXT(MOD(IF(MONTH(Sheet1!A450)&gt;=4,YEAR(Sheet1!A450),YEAR(Sheet1!A450)-1)+1,100),"00"),"")</f>
        <v>FY25-26</v>
      </c>
      <c r="B450" s="40" t="str">
        <f>IFERROR("Q"&amp;IF(MONTH(Sheet1!A450)&gt;=4,IF(MONTH(Sheet1!A450)&lt;=6,1,IF(MONTH(Sheet1!A450)&lt;=9,2,3)),4),"")</f>
        <v>Q4</v>
      </c>
      <c r="C450" s="39" t="str">
        <f>IFERROR(Sheet1!C450,0)</f>
        <v>CIS</v>
      </c>
      <c r="D450" s="39" t="str">
        <f>IFERROR(Sheet1!F450,0)</f>
        <v>Russia</v>
      </c>
      <c r="E450" s="39" t="str">
        <f>IFERROR(Sheet1!E450,0)</f>
        <v>West Lake Russia Co. Ltd.</v>
      </c>
      <c r="F450" s="39" t="str">
        <f>IFERROR(IF(UPPER(TRIM(Sheet1!J450))="NH","Nhava Sheva",IF(UPPER(TRIM(Sheet1!J450))="ICD","ICD Dhannad",IF(UPPER(TRIM(Sheet1!J450))="TIHI","ICD Tihi",Sheet1!J450))),0)</f>
        <v>Nhava Sheva</v>
      </c>
      <c r="G450" s="39" t="str">
        <f>IFERROR(Sheet1!M450,0)</f>
        <v>St. Petersburg</v>
      </c>
      <c r="H450" s="39" t="str">
        <f>IFERROR(Sheet1!H450,0)</f>
        <v>Efficient Marine</v>
      </c>
      <c r="I450" s="39" t="str">
        <f>IFERROR(Sheet1!G450,0)</f>
        <v>FOB</v>
      </c>
      <c r="J450" s="39" t="str">
        <f>IFERROR(Sheet1!K450,0)</f>
        <v>OVP Shipping</v>
      </c>
      <c r="K450" s="41">
        <f>IFERROR(Sheet1!A450,0)</f>
        <v>46088</v>
      </c>
      <c r="L450" s="41">
        <f>IFERROR(Sheet1!I450,0)</f>
        <v>46086</v>
      </c>
      <c r="M450" s="47" t="str">
        <f>IFERROR(Sheet1!P450,0)</f>
        <v>NA</v>
      </c>
      <c r="N450" s="42">
        <f>IFERROR(IF(ISNUMBER(Sheet1!N450),Sheet1!N450,0),0)</f>
        <v>0</v>
      </c>
      <c r="O450" s="42">
        <f>IFERROR(IF(TRIM(F450)="Nhava Sheva",SUMPRODUCT((UPPER(TRIM('Origin Costs'!$A$5:$A$44))=UPPER(TRIM(J450)))*'Origin Costs'!$C$5:$C$44),IF(TRIM(F450)="ICD Tihi",SUMPRODUCT((UPPER(TRIM('Origin Costs'!$A$49:$A$88))=UPPER(TRIM(J450)))*'Origin Costs'!$C$49:$C$88),IF(TRIM(F450)="ICD Dhannad",SUMPRODUCT((UPPER(TRIM('Origin Costs'!$A$93:$A$132))=UPPER(TRIM(J450)))*'Origin Costs'!$C$93:$C$132),0))),0)</f>
        <v>0</v>
      </c>
      <c r="P450" s="42">
        <f t="shared" ref="P450:P513" si="7">N450+O450</f>
        <v>0</v>
      </c>
      <c r="Q450" s="13" t="str">
        <f>IF(OR(Dashboard!$C$4="All Customers",$E450=Dashboard!$C$4),IF($E450="","",$P450+ROW()/10000000),"")</f>
        <v/>
      </c>
    </row>
    <row r="451" spans="1:17" ht="14.25" customHeight="1" x14ac:dyDescent="0.3">
      <c r="A451" s="43" t="str">
        <f>IFERROR("FY"&amp;TEXT(MOD(IF(MONTH(Sheet1!A451)&gt;=4,YEAR(Sheet1!A451),YEAR(Sheet1!A451)-1),100),"00")&amp;"-"&amp;TEXT(MOD(IF(MONTH(Sheet1!A451)&gt;=4,YEAR(Sheet1!A451),YEAR(Sheet1!A451)-1)+1,100),"00"),"")</f>
        <v>FY25-26</v>
      </c>
      <c r="B451" s="44" t="str">
        <f>IFERROR("Q"&amp;IF(MONTH(Sheet1!A451)&gt;=4,IF(MONTH(Sheet1!A451)&lt;=6,1,IF(MONTH(Sheet1!A451)&lt;=9,2,3)),4),"")</f>
        <v>Q4</v>
      </c>
      <c r="C451" s="43" t="str">
        <f>IFERROR(Sheet1!C451,0)</f>
        <v>CIS</v>
      </c>
      <c r="D451" s="43" t="str">
        <f>IFERROR(Sheet1!F451,0)</f>
        <v>Russia</v>
      </c>
      <c r="E451" s="43" t="str">
        <f>IFERROR(Sheet1!E451,0)</f>
        <v>West Lake Russia Co. Ltd.</v>
      </c>
      <c r="F451" s="43" t="str">
        <f>IFERROR(IF(UPPER(TRIM(Sheet1!J451))="NH","Nhava Sheva",IF(UPPER(TRIM(Sheet1!J451))="ICD","ICD Dhannad",IF(UPPER(TRIM(Sheet1!J451))="TIHI","ICD Tihi",Sheet1!J451))),0)</f>
        <v>Nhava Sheva</v>
      </c>
      <c r="G451" s="43" t="str">
        <f>IFERROR(Sheet1!M451,0)</f>
        <v>St. Petersburg</v>
      </c>
      <c r="H451" s="43" t="str">
        <f>IFERROR(Sheet1!H451,0)</f>
        <v>Efficient Marine</v>
      </c>
      <c r="I451" s="43" t="str">
        <f>IFERROR(Sheet1!G451,0)</f>
        <v>FOB</v>
      </c>
      <c r="J451" s="43" t="str">
        <f>IFERROR(Sheet1!K451,0)</f>
        <v>OVP Shipping</v>
      </c>
      <c r="K451" s="45">
        <f>IFERROR(Sheet1!A451,0)</f>
        <v>46088</v>
      </c>
      <c r="L451" s="45">
        <f>IFERROR(Sheet1!I451,0)</f>
        <v>46086</v>
      </c>
      <c r="M451" s="47" t="str">
        <f>IFERROR(Sheet1!P451,0)</f>
        <v>NA</v>
      </c>
      <c r="N451" s="46">
        <f>IFERROR(IF(ISNUMBER(Sheet1!N451),Sheet1!N451,0),0)</f>
        <v>0</v>
      </c>
      <c r="O451" s="46">
        <f>IFERROR(IF(TRIM(F451)="Nhava Sheva",SUMPRODUCT((UPPER(TRIM('Origin Costs'!$A$5:$A$44))=UPPER(TRIM(J451)))*'Origin Costs'!$C$5:$C$44),IF(TRIM(F451)="ICD Tihi",SUMPRODUCT((UPPER(TRIM('Origin Costs'!$A$49:$A$88))=UPPER(TRIM(J451)))*'Origin Costs'!$C$49:$C$88),IF(TRIM(F451)="ICD Dhannad",SUMPRODUCT((UPPER(TRIM('Origin Costs'!$A$93:$A$132))=UPPER(TRIM(J451)))*'Origin Costs'!$C$93:$C$132),0))),0)</f>
        <v>0</v>
      </c>
      <c r="P451" s="46">
        <f t="shared" si="7"/>
        <v>0</v>
      </c>
      <c r="Q451" s="13" t="str">
        <f>IF(OR(Dashboard!$C$4="All Customers",$E451=Dashboard!$C$4),IF($E451="","",$P451+ROW()/10000000),"")</f>
        <v/>
      </c>
    </row>
    <row r="452" spans="1:17" ht="14.25" customHeight="1" x14ac:dyDescent="0.3">
      <c r="A452" s="39" t="str">
        <f>IFERROR("FY"&amp;TEXT(MOD(IF(MONTH(Sheet1!A452)&gt;=4,YEAR(Sheet1!A452),YEAR(Sheet1!A452)-1),100),"00")&amp;"-"&amp;TEXT(MOD(IF(MONTH(Sheet1!A452)&gt;=4,YEAR(Sheet1!A452),YEAR(Sheet1!A452)-1)+1,100),"00"),"")</f>
        <v>FY25-26</v>
      </c>
      <c r="B452" s="40" t="str">
        <f>IFERROR("Q"&amp;IF(MONTH(Sheet1!A452)&gt;=4,IF(MONTH(Sheet1!A452)&lt;=6,1,IF(MONTH(Sheet1!A452)&lt;=9,2,3)),4),"")</f>
        <v>Q4</v>
      </c>
      <c r="C452" s="39" t="str">
        <f>IFERROR(Sheet1!C452,0)</f>
        <v>CIS</v>
      </c>
      <c r="D452" s="39" t="str">
        <f>IFERROR(Sheet1!F452,0)</f>
        <v>Russia</v>
      </c>
      <c r="E452" s="39" t="str">
        <f>IFERROR(Sheet1!E452,0)</f>
        <v>West Lake Russia Co. Ltd.</v>
      </c>
      <c r="F452" s="39" t="str">
        <f>IFERROR(IF(UPPER(TRIM(Sheet1!J452))="NH","Nhava Sheva",IF(UPPER(TRIM(Sheet1!J452))="ICD","ICD Dhannad",IF(UPPER(TRIM(Sheet1!J452))="TIHI","ICD Tihi",Sheet1!J452))),0)</f>
        <v>Nhava Sheva</v>
      </c>
      <c r="G452" s="39" t="str">
        <f>IFERROR(Sheet1!M452,0)</f>
        <v>St. Petersburg</v>
      </c>
      <c r="H452" s="39" t="str">
        <f>IFERROR(Sheet1!H452,0)</f>
        <v>Efficient Marine</v>
      </c>
      <c r="I452" s="39" t="str">
        <f>IFERROR(Sheet1!G452,0)</f>
        <v>FOB</v>
      </c>
      <c r="J452" s="39" t="str">
        <f>IFERROR(Sheet1!K452,0)</f>
        <v>OVP Shipping</v>
      </c>
      <c r="K452" s="41">
        <f>IFERROR(Sheet1!A452,0)</f>
        <v>46088</v>
      </c>
      <c r="L452" s="41">
        <f>IFERROR(Sheet1!I452,0)</f>
        <v>46086</v>
      </c>
      <c r="M452" s="47" t="str">
        <f>IFERROR(Sheet1!P452,0)</f>
        <v>NA</v>
      </c>
      <c r="N452" s="42">
        <f>IFERROR(IF(ISNUMBER(Sheet1!N452),Sheet1!N452,0),0)</f>
        <v>0</v>
      </c>
      <c r="O452" s="42">
        <f>IFERROR(IF(TRIM(F452)="Nhava Sheva",SUMPRODUCT((UPPER(TRIM('Origin Costs'!$A$5:$A$44))=UPPER(TRIM(J452)))*'Origin Costs'!$C$5:$C$44),IF(TRIM(F452)="ICD Tihi",SUMPRODUCT((UPPER(TRIM('Origin Costs'!$A$49:$A$88))=UPPER(TRIM(J452)))*'Origin Costs'!$C$49:$C$88),IF(TRIM(F452)="ICD Dhannad",SUMPRODUCT((UPPER(TRIM('Origin Costs'!$A$93:$A$132))=UPPER(TRIM(J452)))*'Origin Costs'!$C$93:$C$132),0))),0)</f>
        <v>0</v>
      </c>
      <c r="P452" s="42">
        <f t="shared" si="7"/>
        <v>0</v>
      </c>
      <c r="Q452" s="13" t="str">
        <f>IF(OR(Dashboard!$C$4="All Customers",$E452=Dashboard!$C$4),IF($E452="","",$P452+ROW()/10000000),"")</f>
        <v/>
      </c>
    </row>
    <row r="453" spans="1:17" ht="14.25" customHeight="1" x14ac:dyDescent="0.3">
      <c r="A453" s="43" t="str">
        <f>IFERROR("FY"&amp;TEXT(MOD(IF(MONTH(Sheet1!A453)&gt;=4,YEAR(Sheet1!A453),YEAR(Sheet1!A453)-1),100),"00")&amp;"-"&amp;TEXT(MOD(IF(MONTH(Sheet1!A453)&gt;=4,YEAR(Sheet1!A453),YEAR(Sheet1!A453)-1)+1,100),"00"),"")</f>
        <v>FY25-26</v>
      </c>
      <c r="B453" s="44" t="str">
        <f>IFERROR("Q"&amp;IF(MONTH(Sheet1!A453)&gt;=4,IF(MONTH(Sheet1!A453)&lt;=6,1,IF(MONTH(Sheet1!A453)&lt;=9,2,3)),4),"")</f>
        <v>Q4</v>
      </c>
      <c r="C453" s="43" t="str">
        <f>IFERROR(Sheet1!C453,0)</f>
        <v>CIS</v>
      </c>
      <c r="D453" s="43" t="str">
        <f>IFERROR(Sheet1!F453,0)</f>
        <v>Russia</v>
      </c>
      <c r="E453" s="43" t="str">
        <f>IFERROR(Sheet1!E453,0)</f>
        <v>West Lake Russia Co. Ltd.</v>
      </c>
      <c r="F453" s="43" t="str">
        <f>IFERROR(IF(UPPER(TRIM(Sheet1!J453))="NH","Nhava Sheva",IF(UPPER(TRIM(Sheet1!J453))="ICD","ICD Dhannad",IF(UPPER(TRIM(Sheet1!J453))="TIHI","ICD Tihi",Sheet1!J453))),0)</f>
        <v>Nhava Sheva</v>
      </c>
      <c r="G453" s="43" t="str">
        <f>IFERROR(Sheet1!M453,0)</f>
        <v>St. Petersburg</v>
      </c>
      <c r="H453" s="43" t="str">
        <f>IFERROR(Sheet1!H453,0)</f>
        <v>Efficient Marine</v>
      </c>
      <c r="I453" s="43" t="str">
        <f>IFERROR(Sheet1!G453,0)</f>
        <v>FOB</v>
      </c>
      <c r="J453" s="43" t="str">
        <f>IFERROR(Sheet1!K453,0)</f>
        <v>OVP Shipping</v>
      </c>
      <c r="K453" s="45">
        <f>IFERROR(Sheet1!A453,0)</f>
        <v>46088</v>
      </c>
      <c r="L453" s="45">
        <f>IFERROR(Sheet1!I453,0)</f>
        <v>46086</v>
      </c>
      <c r="M453" s="47" t="str">
        <f>IFERROR(Sheet1!P453,0)</f>
        <v>NA</v>
      </c>
      <c r="N453" s="46">
        <f>IFERROR(IF(ISNUMBER(Sheet1!N453),Sheet1!N453,0),0)</f>
        <v>0</v>
      </c>
      <c r="O453" s="46">
        <f>IFERROR(IF(TRIM(F453)="Nhava Sheva",SUMPRODUCT((UPPER(TRIM('Origin Costs'!$A$5:$A$44))=UPPER(TRIM(J453)))*'Origin Costs'!$C$5:$C$44),IF(TRIM(F453)="ICD Tihi",SUMPRODUCT((UPPER(TRIM('Origin Costs'!$A$49:$A$88))=UPPER(TRIM(J453)))*'Origin Costs'!$C$49:$C$88),IF(TRIM(F453)="ICD Dhannad",SUMPRODUCT((UPPER(TRIM('Origin Costs'!$A$93:$A$132))=UPPER(TRIM(J453)))*'Origin Costs'!$C$93:$C$132),0))),0)</f>
        <v>0</v>
      </c>
      <c r="P453" s="46">
        <f t="shared" si="7"/>
        <v>0</v>
      </c>
      <c r="Q453" s="13" t="str">
        <f>IF(OR(Dashboard!$C$4="All Customers",$E453=Dashboard!$C$4),IF($E453="","",$P453+ROW()/10000000),"")</f>
        <v/>
      </c>
    </row>
    <row r="454" spans="1:17" ht="14.25" customHeight="1" x14ac:dyDescent="0.3">
      <c r="A454" s="39" t="str">
        <f>IFERROR("FY"&amp;TEXT(MOD(IF(MONTH(Sheet1!A454)&gt;=4,YEAR(Sheet1!A454),YEAR(Sheet1!A454)-1),100),"00")&amp;"-"&amp;TEXT(MOD(IF(MONTH(Sheet1!A454)&gt;=4,YEAR(Sheet1!A454),YEAR(Sheet1!A454)-1)+1,100),"00"),"")</f>
        <v>FY25-26</v>
      </c>
      <c r="B454" s="40" t="str">
        <f>IFERROR("Q"&amp;IF(MONTH(Sheet1!A454)&gt;=4,IF(MONTH(Sheet1!A454)&lt;=6,1,IF(MONTH(Sheet1!A454)&lt;=9,2,3)),4),"")</f>
        <v>Q4</v>
      </c>
      <c r="C454" s="39" t="str">
        <f>IFERROR(Sheet1!C454,0)</f>
        <v>Europe</v>
      </c>
      <c r="D454" s="39" t="str">
        <f>IFERROR(Sheet1!F454,0)</f>
        <v>Bulgaria</v>
      </c>
      <c r="E454" s="39" t="str">
        <f>IFERROR(Sheet1!E454,0)</f>
        <v>Inter Cars Bulgaria EOOD</v>
      </c>
      <c r="F454" s="39" t="str">
        <f>IFERROR(IF(UPPER(TRIM(Sheet1!J454))="NH","Nhava Sheva",IF(UPPER(TRIM(Sheet1!J454))="ICD","ICD Dhannad",IF(UPPER(TRIM(Sheet1!J454))="TIHI","ICD Tihi",Sheet1!J454))),0)</f>
        <v>Nhava Sheva</v>
      </c>
      <c r="G454" s="39" t="str">
        <f>IFERROR(Sheet1!M454,0)</f>
        <v>THESSALONIKI</v>
      </c>
      <c r="H454" s="39" t="str">
        <f>IFERROR(Sheet1!H454,0)</f>
        <v>Seamax Logistics</v>
      </c>
      <c r="I454" s="39" t="str">
        <f>IFERROR(Sheet1!G454,0)</f>
        <v>FOB</v>
      </c>
      <c r="J454" s="39" t="str">
        <f>IFERROR(Sheet1!K454,0)</f>
        <v>CMA</v>
      </c>
      <c r="K454" s="41">
        <f>IFERROR(Sheet1!A454,0)</f>
        <v>46089</v>
      </c>
      <c r="L454" s="41">
        <f>IFERROR(Sheet1!I454,0)</f>
        <v>46087</v>
      </c>
      <c r="M454" s="47" t="str">
        <f>IFERROR(Sheet1!P454,0)</f>
        <v>NA</v>
      </c>
      <c r="N454" s="42">
        <f>IFERROR(IF(ISNUMBER(Sheet1!N454),Sheet1!N454,0),0)</f>
        <v>0</v>
      </c>
      <c r="O454" s="42">
        <f>IFERROR(IF(TRIM(F454)="Nhava Sheva",SUMPRODUCT((UPPER(TRIM('Origin Costs'!$A$5:$A$44))=UPPER(TRIM(J454)))*'Origin Costs'!$C$5:$C$44),IF(TRIM(F454)="ICD Tihi",SUMPRODUCT((UPPER(TRIM('Origin Costs'!$A$49:$A$88))=UPPER(TRIM(J454)))*'Origin Costs'!$C$49:$C$88),IF(TRIM(F454)="ICD Dhannad",SUMPRODUCT((UPPER(TRIM('Origin Costs'!$A$93:$A$132))=UPPER(TRIM(J454)))*'Origin Costs'!$C$93:$C$132),0))),0)</f>
        <v>0</v>
      </c>
      <c r="P454" s="42">
        <f t="shared" si="7"/>
        <v>0</v>
      </c>
      <c r="Q454" s="13" t="str">
        <f>IF(OR(Dashboard!$C$4="All Customers",$E454=Dashboard!$C$4),IF($E454="","",$P454+ROW()/10000000),"")</f>
        <v/>
      </c>
    </row>
    <row r="455" spans="1:17" ht="14.25" customHeight="1" x14ac:dyDescent="0.3">
      <c r="A455" s="43" t="str">
        <f>IFERROR("FY"&amp;TEXT(MOD(IF(MONTH(Sheet1!A455)&gt;=4,YEAR(Sheet1!A455),YEAR(Sheet1!A455)-1),100),"00")&amp;"-"&amp;TEXT(MOD(IF(MONTH(Sheet1!A455)&gt;=4,YEAR(Sheet1!A455),YEAR(Sheet1!A455)-1)+1,100),"00"),"")</f>
        <v>FY25-26</v>
      </c>
      <c r="B455" s="44" t="str">
        <f>IFERROR("Q"&amp;IF(MONTH(Sheet1!A455)&gt;=4,IF(MONTH(Sheet1!A455)&lt;=6,1,IF(MONTH(Sheet1!A455)&lt;=9,2,3)),4),"")</f>
        <v>Q4</v>
      </c>
      <c r="C455" s="43" t="str">
        <f>IFERROR(Sheet1!C455,0)</f>
        <v>S.A</v>
      </c>
      <c r="D455" s="43" t="str">
        <f>IFERROR(Sheet1!F455,0)</f>
        <v>Columbia</v>
      </c>
      <c r="E455" s="43" t="str">
        <f>IFERROR(Sheet1!E455,0)</f>
        <v>REDLLANTAS S.A</v>
      </c>
      <c r="F455" s="43" t="str">
        <f>IFERROR(IF(UPPER(TRIM(Sheet1!J455))="NH","Nhava Sheva",IF(UPPER(TRIM(Sheet1!J455))="ICD","ICD Dhannad",IF(UPPER(TRIM(Sheet1!J455))="TIHI","ICD Tihi",Sheet1!J455))),0)</f>
        <v>Nhava Sheva</v>
      </c>
      <c r="G455" s="43" t="str">
        <f>IFERROR(Sheet1!M455,0)</f>
        <v>Buenaventura</v>
      </c>
      <c r="H455" s="43" t="str">
        <f>IFERROR(Sheet1!H455,0)</f>
        <v>Mentor Freight</v>
      </c>
      <c r="I455" s="43" t="str">
        <f>IFERROR(Sheet1!G455,0)</f>
        <v>FOB</v>
      </c>
      <c r="J455" s="43" t="str">
        <f>IFERROR(Sheet1!K455,0)</f>
        <v>MSC</v>
      </c>
      <c r="K455" s="45">
        <f>IFERROR(Sheet1!A455,0)</f>
        <v>46089</v>
      </c>
      <c r="L455" s="45">
        <f>IFERROR(Sheet1!I455,0)</f>
        <v>46087</v>
      </c>
      <c r="M455" s="47" t="str">
        <f>IFERROR(Sheet1!P455,0)</f>
        <v>NA</v>
      </c>
      <c r="N455" s="46">
        <f>IFERROR(IF(ISNUMBER(Sheet1!N455),Sheet1!N455,0),0)</f>
        <v>0</v>
      </c>
      <c r="O455" s="46">
        <f>IFERROR(IF(TRIM(F455)="Nhava Sheva",SUMPRODUCT((UPPER(TRIM('Origin Costs'!$A$5:$A$44))=UPPER(TRIM(J455)))*'Origin Costs'!$C$5:$C$44),IF(TRIM(F455)="ICD Tihi",SUMPRODUCT((UPPER(TRIM('Origin Costs'!$A$49:$A$88))=UPPER(TRIM(J455)))*'Origin Costs'!$C$49:$C$88),IF(TRIM(F455)="ICD Dhannad",SUMPRODUCT((UPPER(TRIM('Origin Costs'!$A$93:$A$132))=UPPER(TRIM(J455)))*'Origin Costs'!$C$93:$C$132),0))),0)</f>
        <v>1168.8222222222223</v>
      </c>
      <c r="P455" s="46">
        <f t="shared" si="7"/>
        <v>1168.8222222222223</v>
      </c>
      <c r="Q455" s="13" t="str">
        <f>IF(OR(Dashboard!$C$4="All Customers",$E455=Dashboard!$C$4),IF($E455="","",$P455+ROW()/10000000),"")</f>
        <v/>
      </c>
    </row>
    <row r="456" spans="1:17" ht="14.25" customHeight="1" x14ac:dyDescent="0.3">
      <c r="A456" s="39" t="str">
        <f>IFERROR("FY"&amp;TEXT(MOD(IF(MONTH(Sheet1!A456)&gt;=4,YEAR(Sheet1!A456),YEAR(Sheet1!A456)-1),100),"00")&amp;"-"&amp;TEXT(MOD(IF(MONTH(Sheet1!A456)&gt;=4,YEAR(Sheet1!A456),YEAR(Sheet1!A456)-1)+1,100),"00"),"")</f>
        <v>FY25-26</v>
      </c>
      <c r="B456" s="40" t="str">
        <f>IFERROR("Q"&amp;IF(MONTH(Sheet1!A456)&gt;=4,IF(MONTH(Sheet1!A456)&lt;=6,1,IF(MONTH(Sheet1!A456)&lt;=9,2,3)),4),"")</f>
        <v>Q4</v>
      </c>
      <c r="C456" s="39" t="str">
        <f>IFERROR(Sheet1!C456,0)</f>
        <v>CIS</v>
      </c>
      <c r="D456" s="39" t="str">
        <f>IFERROR(Sheet1!F456,0)</f>
        <v>Russia</v>
      </c>
      <c r="E456" s="39" t="str">
        <f>IFERROR(Sheet1!E456,0)</f>
        <v>STALKER LTD, Russia</v>
      </c>
      <c r="F456" s="39" t="str">
        <f>IFERROR(IF(UPPER(TRIM(Sheet1!J456))="NH","Nhava Sheva",IF(UPPER(TRIM(Sheet1!J456))="ICD","ICD Dhannad",IF(UPPER(TRIM(Sheet1!J456))="TIHI","ICD Tihi",Sheet1!J456))),0)</f>
        <v>Nhava Sheva</v>
      </c>
      <c r="G456" s="39" t="str">
        <f>IFERROR(Sheet1!M456,0)</f>
        <v>NOVOROSSIYSK</v>
      </c>
      <c r="H456" s="39" t="str">
        <f>IFERROR(Sheet1!H456,0)</f>
        <v>Prologis Freight</v>
      </c>
      <c r="I456" s="39" t="str">
        <f>IFERROR(Sheet1!G456,0)</f>
        <v>CFR</v>
      </c>
      <c r="J456" s="39" t="str">
        <f>IFERROR(Sheet1!K456,0)</f>
        <v>Silmar</v>
      </c>
      <c r="K456" s="41">
        <f>IFERROR(Sheet1!A456,0)</f>
        <v>46090</v>
      </c>
      <c r="L456" s="41">
        <f>IFERROR(Sheet1!I456,0)</f>
        <v>46088</v>
      </c>
      <c r="M456" s="47" t="str">
        <f>IFERROR(Sheet1!P456,0)</f>
        <v>NA</v>
      </c>
      <c r="N456" s="42">
        <f>IFERROR(IF(ISNUMBER(Sheet1!N456),Sheet1!N456,0),0)</f>
        <v>4300</v>
      </c>
      <c r="O456" s="42">
        <f>IFERROR(IF(TRIM(F456)="Nhava Sheva",SUMPRODUCT((UPPER(TRIM('Origin Costs'!$A$5:$A$44))=UPPER(TRIM(J456)))*'Origin Costs'!$C$5:$C$44),IF(TRIM(F456)="ICD Tihi",SUMPRODUCT((UPPER(TRIM('Origin Costs'!$A$49:$A$88))=UPPER(TRIM(J456)))*'Origin Costs'!$C$49:$C$88),IF(TRIM(F456)="ICD Dhannad",SUMPRODUCT((UPPER(TRIM('Origin Costs'!$A$93:$A$132))=UPPER(TRIM(J456)))*'Origin Costs'!$C$93:$C$132),0))),0)</f>
        <v>0</v>
      </c>
      <c r="P456" s="42">
        <f t="shared" si="7"/>
        <v>4300</v>
      </c>
      <c r="Q456" s="13" t="str">
        <f>IF(OR(Dashboard!$C$4="All Customers",$E456=Dashboard!$C$4),IF($E456="","",$P456+ROW()/10000000),"")</f>
        <v/>
      </c>
    </row>
    <row r="457" spans="1:17" ht="14.25" customHeight="1" x14ac:dyDescent="0.3">
      <c r="A457" s="43" t="str">
        <f>IFERROR("FY"&amp;TEXT(MOD(IF(MONTH(Sheet1!A457)&gt;=4,YEAR(Sheet1!A457),YEAR(Sheet1!A457)-1),100),"00")&amp;"-"&amp;TEXT(MOD(IF(MONTH(Sheet1!A457)&gt;=4,YEAR(Sheet1!A457),YEAR(Sheet1!A457)-1)+1,100),"00"),"")</f>
        <v>FY25-26</v>
      </c>
      <c r="B457" s="44" t="str">
        <f>IFERROR("Q"&amp;IF(MONTH(Sheet1!A457)&gt;=4,IF(MONTH(Sheet1!A457)&lt;=6,1,IF(MONTH(Sheet1!A457)&lt;=9,2,3)),4),"")</f>
        <v>Q4</v>
      </c>
      <c r="C457" s="43" t="str">
        <f>IFERROR(Sheet1!C457,0)</f>
        <v>S.A</v>
      </c>
      <c r="D457" s="43" t="str">
        <f>IFERROR(Sheet1!F457,0)</f>
        <v>Panama</v>
      </c>
      <c r="E457" s="43" t="str">
        <f>IFERROR(Sheet1!E457,0)</f>
        <v>Suministros y Exportaciones Primor</v>
      </c>
      <c r="F457" s="43" t="str">
        <f>IFERROR(IF(UPPER(TRIM(Sheet1!J457))="NH","Nhava Sheva",IF(UPPER(TRIM(Sheet1!J457))="ICD","ICD Dhannad",IF(UPPER(TRIM(Sheet1!J457))="TIHI","ICD Tihi",Sheet1!J457))),0)</f>
        <v>Nhava Sheva</v>
      </c>
      <c r="G457" s="43" t="str">
        <f>IFERROR(Sheet1!M457,0)</f>
        <v>Colon Free Zone</v>
      </c>
      <c r="H457" s="43" t="str">
        <f>IFERROR(Sheet1!H457,0)</f>
        <v>Sanjay Forwarder</v>
      </c>
      <c r="I457" s="43" t="str">
        <f>IFERROR(Sheet1!G457,0)</f>
        <v>CFR</v>
      </c>
      <c r="J457" s="43" t="str">
        <f>IFERROR(Sheet1!K457,0)</f>
        <v>Maersk</v>
      </c>
      <c r="K457" s="45">
        <f>IFERROR(Sheet1!A457,0)</f>
        <v>46090</v>
      </c>
      <c r="L457" s="45">
        <f>IFERROR(Sheet1!I457,0)</f>
        <v>46087</v>
      </c>
      <c r="M457" s="47" t="str">
        <f>IFERROR(Sheet1!P457,0)</f>
        <v>NA</v>
      </c>
      <c r="N457" s="46">
        <f>IFERROR(IF(ISNUMBER(Sheet1!N457),Sheet1!N457,0),0)</f>
        <v>1850</v>
      </c>
      <c r="O457" s="46">
        <f>IFERROR(IF(TRIM(F457)="Nhava Sheva",SUMPRODUCT((UPPER(TRIM('Origin Costs'!$A$5:$A$44))=UPPER(TRIM(J457)))*'Origin Costs'!$C$5:$C$44),IF(TRIM(F457)="ICD Tihi",SUMPRODUCT((UPPER(TRIM('Origin Costs'!$A$49:$A$88))=UPPER(TRIM(J457)))*'Origin Costs'!$C$49:$C$88),IF(TRIM(F457)="ICD Dhannad",SUMPRODUCT((UPPER(TRIM('Origin Costs'!$A$93:$A$132))=UPPER(TRIM(J457)))*'Origin Costs'!$C$93:$C$132),0))),0)</f>
        <v>1148.588888888889</v>
      </c>
      <c r="P457" s="46">
        <f t="shared" si="7"/>
        <v>2998.588888888889</v>
      </c>
      <c r="Q457" s="13" t="str">
        <f>IF(OR(Dashboard!$C$4="All Customers",$E457=Dashboard!$C$4),IF($E457="","",$P457+ROW()/10000000),"")</f>
        <v/>
      </c>
    </row>
    <row r="458" spans="1:17" ht="14.25" customHeight="1" x14ac:dyDescent="0.3">
      <c r="A458" s="39" t="str">
        <f>IFERROR("FY"&amp;TEXT(MOD(IF(MONTH(Sheet1!A458)&gt;=4,YEAR(Sheet1!A458),YEAR(Sheet1!A458)-1),100),"00")&amp;"-"&amp;TEXT(MOD(IF(MONTH(Sheet1!A458)&gt;=4,YEAR(Sheet1!A458),YEAR(Sheet1!A458)-1)+1,100),"00"),"")</f>
        <v>FY25-26</v>
      </c>
      <c r="B458" s="40" t="str">
        <f>IFERROR("Q"&amp;IF(MONTH(Sheet1!A458)&gt;=4,IF(MONTH(Sheet1!A458)&lt;=6,1,IF(MONTH(Sheet1!A458)&lt;=9,2,3)),4),"")</f>
        <v>Q4</v>
      </c>
      <c r="C458" s="39" t="str">
        <f>IFERROR(Sheet1!C458,0)</f>
        <v>S.A</v>
      </c>
      <c r="D458" s="39" t="str">
        <f>IFERROR(Sheet1!F458,0)</f>
        <v>Panama</v>
      </c>
      <c r="E458" s="39" t="str">
        <f>IFERROR(Sheet1!E458,0)</f>
        <v>Suministros y Exportaciones Primor</v>
      </c>
      <c r="F458" s="39" t="str">
        <f>IFERROR(IF(UPPER(TRIM(Sheet1!J458))="NH","Nhava Sheva",IF(UPPER(TRIM(Sheet1!J458))="ICD","ICD Dhannad",IF(UPPER(TRIM(Sheet1!J458))="TIHI","ICD Tihi",Sheet1!J458))),0)</f>
        <v>Nhava Sheva</v>
      </c>
      <c r="G458" s="39" t="str">
        <f>IFERROR(Sheet1!M458,0)</f>
        <v>Colon Free Zone</v>
      </c>
      <c r="H458" s="39" t="str">
        <f>IFERROR(Sheet1!H458,0)</f>
        <v>Sanjay Forwarder</v>
      </c>
      <c r="I458" s="39" t="str">
        <f>IFERROR(Sheet1!G458,0)</f>
        <v>CFR</v>
      </c>
      <c r="J458" s="39" t="str">
        <f>IFERROR(Sheet1!K458,0)</f>
        <v>Maersk</v>
      </c>
      <c r="K458" s="41">
        <f>IFERROR(Sheet1!A458,0)</f>
        <v>46090</v>
      </c>
      <c r="L458" s="41">
        <f>IFERROR(Sheet1!I458,0)</f>
        <v>46087</v>
      </c>
      <c r="M458" s="47" t="str">
        <f>IFERROR(Sheet1!P458,0)</f>
        <v>NA</v>
      </c>
      <c r="N458" s="42">
        <f>IFERROR(IF(ISNUMBER(Sheet1!N458),Sheet1!N458,0),0)</f>
        <v>1850</v>
      </c>
      <c r="O458" s="42">
        <f>IFERROR(IF(TRIM(F458)="Nhava Sheva",SUMPRODUCT((UPPER(TRIM('Origin Costs'!$A$5:$A$44))=UPPER(TRIM(J458)))*'Origin Costs'!$C$5:$C$44),IF(TRIM(F458)="ICD Tihi",SUMPRODUCT((UPPER(TRIM('Origin Costs'!$A$49:$A$88))=UPPER(TRIM(J458)))*'Origin Costs'!$C$49:$C$88),IF(TRIM(F458)="ICD Dhannad",SUMPRODUCT((UPPER(TRIM('Origin Costs'!$A$93:$A$132))=UPPER(TRIM(J458)))*'Origin Costs'!$C$93:$C$132),0))),0)</f>
        <v>1148.588888888889</v>
      </c>
      <c r="P458" s="42">
        <f t="shared" si="7"/>
        <v>2998.588888888889</v>
      </c>
      <c r="Q458" s="13" t="str">
        <f>IF(OR(Dashboard!$C$4="All Customers",$E458=Dashboard!$C$4),IF($E458="","",$P458+ROW()/10000000),"")</f>
        <v/>
      </c>
    </row>
    <row r="459" spans="1:17" ht="14.25" customHeight="1" x14ac:dyDescent="0.3">
      <c r="A459" s="43" t="str">
        <f>IFERROR("FY"&amp;TEXT(MOD(IF(MONTH(Sheet1!A459)&gt;=4,YEAR(Sheet1!A459),YEAR(Sheet1!A459)-1),100),"00")&amp;"-"&amp;TEXT(MOD(IF(MONTH(Sheet1!A459)&gt;=4,YEAR(Sheet1!A459),YEAR(Sheet1!A459)-1)+1,100),"00"),"")</f>
        <v>FY25-26</v>
      </c>
      <c r="B459" s="44" t="str">
        <f>IFERROR("Q"&amp;IF(MONTH(Sheet1!A459)&gt;=4,IF(MONTH(Sheet1!A459)&lt;=6,1,IF(MONTH(Sheet1!A459)&lt;=9,2,3)),4),"")</f>
        <v>Q4</v>
      </c>
      <c r="C459" s="43" t="str">
        <f>IFERROR(Sheet1!C459,0)</f>
        <v>Europe</v>
      </c>
      <c r="D459" s="43" t="str">
        <f>IFERROR(Sheet1!F459,0)</f>
        <v>Poland</v>
      </c>
      <c r="E459" s="43" t="str">
        <f>IFERROR(Sheet1!E459,0)</f>
        <v>Inter Cars S.A., Poland</v>
      </c>
      <c r="F459" s="43" t="str">
        <f>IFERROR(IF(UPPER(TRIM(Sheet1!J459))="NH","Nhava Sheva",IF(UPPER(TRIM(Sheet1!J459))="ICD","ICD Dhannad",IF(UPPER(TRIM(Sheet1!J459))="TIHI","ICD Tihi",Sheet1!J459))),0)</f>
        <v>Nhava Sheva</v>
      </c>
      <c r="G459" s="43" t="str">
        <f>IFERROR(Sheet1!M459,0)</f>
        <v>Gdansk</v>
      </c>
      <c r="H459" s="43" t="str">
        <f>IFERROR(Sheet1!H459,0)</f>
        <v>FEI Cargo</v>
      </c>
      <c r="I459" s="43" t="str">
        <f>IFERROR(Sheet1!G459,0)</f>
        <v>FOB</v>
      </c>
      <c r="J459" s="43" t="str">
        <f>IFERROR(Sheet1!K459,0)</f>
        <v>ONE</v>
      </c>
      <c r="K459" s="45">
        <f>IFERROR(Sheet1!A459,0)</f>
        <v>46091</v>
      </c>
      <c r="L459" s="45">
        <f>IFERROR(Sheet1!I459,0)</f>
        <v>46090</v>
      </c>
      <c r="M459" s="47" t="str">
        <f>IFERROR(Sheet1!P459,0)</f>
        <v>NA</v>
      </c>
      <c r="N459" s="46">
        <f>IFERROR(IF(ISNUMBER(Sheet1!N459),Sheet1!N459,0),0)</f>
        <v>0</v>
      </c>
      <c r="O459" s="46">
        <f>IFERROR(IF(TRIM(F459)="Nhava Sheva",SUMPRODUCT((UPPER(TRIM('Origin Costs'!$A$5:$A$44))=UPPER(TRIM(J459)))*'Origin Costs'!$C$5:$C$44),IF(TRIM(F459)="ICD Tihi",SUMPRODUCT((UPPER(TRIM('Origin Costs'!$A$49:$A$88))=UPPER(TRIM(J459)))*'Origin Costs'!$C$49:$C$88),IF(TRIM(F459)="ICD Dhannad",SUMPRODUCT((UPPER(TRIM('Origin Costs'!$A$93:$A$132))=UPPER(TRIM(J459)))*'Origin Costs'!$C$93:$C$132),0))),0)</f>
        <v>1146.5555555555557</v>
      </c>
      <c r="P459" s="46">
        <f t="shared" si="7"/>
        <v>1146.5555555555557</v>
      </c>
      <c r="Q459" s="13" t="str">
        <f>IF(OR(Dashboard!$C$4="All Customers",$E459=Dashboard!$C$4),IF($E459="","",$P459+ROW()/10000000),"")</f>
        <v/>
      </c>
    </row>
    <row r="460" spans="1:17" ht="14.25" customHeight="1" x14ac:dyDescent="0.3">
      <c r="A460" s="39" t="str">
        <f>IFERROR("FY"&amp;TEXT(MOD(IF(MONTH(Sheet1!A460)&gt;=4,YEAR(Sheet1!A460),YEAR(Sheet1!A460)-1),100),"00")&amp;"-"&amp;TEXT(MOD(IF(MONTH(Sheet1!A460)&gt;=4,YEAR(Sheet1!A460),YEAR(Sheet1!A460)-1)+1,100),"00"),"")</f>
        <v>FY25-26</v>
      </c>
      <c r="B460" s="40" t="str">
        <f>IFERROR("Q"&amp;IF(MONTH(Sheet1!A460)&gt;=4,IF(MONTH(Sheet1!A460)&lt;=6,1,IF(MONTH(Sheet1!A460)&lt;=9,2,3)),4),"")</f>
        <v>Q4</v>
      </c>
      <c r="C460" s="39" t="str">
        <f>IFERROR(Sheet1!C460,0)</f>
        <v>Europe</v>
      </c>
      <c r="D460" s="39" t="str">
        <f>IFERROR(Sheet1!F460,0)</f>
        <v>Poland</v>
      </c>
      <c r="E460" s="39" t="str">
        <f>IFERROR(Sheet1!E460,0)</f>
        <v>Inter Cars S.A., Poland</v>
      </c>
      <c r="F460" s="39" t="str">
        <f>IFERROR(IF(UPPER(TRIM(Sheet1!J460))="NH","Nhava Sheva",IF(UPPER(TRIM(Sheet1!J460))="ICD","ICD Dhannad",IF(UPPER(TRIM(Sheet1!J460))="TIHI","ICD Tihi",Sheet1!J460))),0)</f>
        <v>Nhava Sheva</v>
      </c>
      <c r="G460" s="39" t="str">
        <f>IFERROR(Sheet1!M460,0)</f>
        <v>Gdansk</v>
      </c>
      <c r="H460" s="39" t="str">
        <f>IFERROR(Sheet1!H460,0)</f>
        <v>FEI Cargo</v>
      </c>
      <c r="I460" s="39" t="str">
        <f>IFERROR(Sheet1!G460,0)</f>
        <v>FOB</v>
      </c>
      <c r="J460" s="39" t="str">
        <f>IFERROR(Sheet1!K460,0)</f>
        <v>ONE</v>
      </c>
      <c r="K460" s="41">
        <f>IFERROR(Sheet1!A460,0)</f>
        <v>46091</v>
      </c>
      <c r="L460" s="41">
        <f>IFERROR(Sheet1!I460,0)</f>
        <v>46089</v>
      </c>
      <c r="M460" s="47" t="str">
        <f>IFERROR(Sheet1!P460,0)</f>
        <v>NA</v>
      </c>
      <c r="N460" s="42">
        <f>IFERROR(IF(ISNUMBER(Sheet1!N460),Sheet1!N460,0),0)</f>
        <v>0</v>
      </c>
      <c r="O460" s="42">
        <f>IFERROR(IF(TRIM(F460)="Nhava Sheva",SUMPRODUCT((UPPER(TRIM('Origin Costs'!$A$5:$A$44))=UPPER(TRIM(J460)))*'Origin Costs'!$C$5:$C$44),IF(TRIM(F460)="ICD Tihi",SUMPRODUCT((UPPER(TRIM('Origin Costs'!$A$49:$A$88))=UPPER(TRIM(J460)))*'Origin Costs'!$C$49:$C$88),IF(TRIM(F460)="ICD Dhannad",SUMPRODUCT((UPPER(TRIM('Origin Costs'!$A$93:$A$132))=UPPER(TRIM(J460)))*'Origin Costs'!$C$93:$C$132),0))),0)</f>
        <v>1146.5555555555557</v>
      </c>
      <c r="P460" s="42">
        <f t="shared" si="7"/>
        <v>1146.5555555555557</v>
      </c>
      <c r="Q460" s="13" t="str">
        <f>IF(OR(Dashboard!$C$4="All Customers",$E460=Dashboard!$C$4),IF($E460="","",$P460+ROW()/10000000),"")</f>
        <v/>
      </c>
    </row>
    <row r="461" spans="1:17" ht="14.25" customHeight="1" x14ac:dyDescent="0.3">
      <c r="A461" s="43" t="str">
        <f>IFERROR("FY"&amp;TEXT(MOD(IF(MONTH(Sheet1!A461)&gt;=4,YEAR(Sheet1!A461),YEAR(Sheet1!A461)-1),100),"00")&amp;"-"&amp;TEXT(MOD(IF(MONTH(Sheet1!A461)&gt;=4,YEAR(Sheet1!A461),YEAR(Sheet1!A461)-1)+1,100),"00"),"")</f>
        <v>FY25-26</v>
      </c>
      <c r="B461" s="44" t="str">
        <f>IFERROR("Q"&amp;IF(MONTH(Sheet1!A461)&gt;=4,IF(MONTH(Sheet1!A461)&lt;=6,1,IF(MONTH(Sheet1!A461)&lt;=9,2,3)),4),"")</f>
        <v>Q4</v>
      </c>
      <c r="C461" s="43" t="str">
        <f>IFERROR(Sheet1!C461,0)</f>
        <v>Europe</v>
      </c>
      <c r="D461" s="43" t="str">
        <f>IFERROR(Sheet1!F461,0)</f>
        <v>Poland</v>
      </c>
      <c r="E461" s="43" t="str">
        <f>IFERROR(Sheet1!E461,0)</f>
        <v>Inter Cars S.A., Poland</v>
      </c>
      <c r="F461" s="43" t="str">
        <f>IFERROR(IF(UPPER(TRIM(Sheet1!J461))="NH","Nhava Sheva",IF(UPPER(TRIM(Sheet1!J461))="ICD","ICD Dhannad",IF(UPPER(TRIM(Sheet1!J461))="TIHI","ICD Tihi",Sheet1!J461))),0)</f>
        <v>Nhava Sheva</v>
      </c>
      <c r="G461" s="43" t="str">
        <f>IFERROR(Sheet1!M461,0)</f>
        <v>Gdansk</v>
      </c>
      <c r="H461" s="43" t="str">
        <f>IFERROR(Sheet1!H461,0)</f>
        <v>FEI Cargo</v>
      </c>
      <c r="I461" s="43" t="str">
        <f>IFERROR(Sheet1!G461,0)</f>
        <v>FOB</v>
      </c>
      <c r="J461" s="43" t="str">
        <f>IFERROR(Sheet1!K461,0)</f>
        <v>ONE</v>
      </c>
      <c r="K461" s="45">
        <f>IFERROR(Sheet1!A461,0)</f>
        <v>46091</v>
      </c>
      <c r="L461" s="45">
        <f>IFERROR(Sheet1!I461,0)</f>
        <v>46089</v>
      </c>
      <c r="M461" s="47" t="str">
        <f>IFERROR(Sheet1!P461,0)</f>
        <v>NA</v>
      </c>
      <c r="N461" s="46">
        <f>IFERROR(IF(ISNUMBER(Sheet1!N461),Sheet1!N461,0),0)</f>
        <v>0</v>
      </c>
      <c r="O461" s="46">
        <f>IFERROR(IF(TRIM(F461)="Nhava Sheva",SUMPRODUCT((UPPER(TRIM('Origin Costs'!$A$5:$A$44))=UPPER(TRIM(J461)))*'Origin Costs'!$C$5:$C$44),IF(TRIM(F461)="ICD Tihi",SUMPRODUCT((UPPER(TRIM('Origin Costs'!$A$49:$A$88))=UPPER(TRIM(J461)))*'Origin Costs'!$C$49:$C$88),IF(TRIM(F461)="ICD Dhannad",SUMPRODUCT((UPPER(TRIM('Origin Costs'!$A$93:$A$132))=UPPER(TRIM(J461)))*'Origin Costs'!$C$93:$C$132),0))),0)</f>
        <v>1146.5555555555557</v>
      </c>
      <c r="P461" s="46">
        <f t="shared" si="7"/>
        <v>1146.5555555555557</v>
      </c>
      <c r="Q461" s="13" t="str">
        <f>IF(OR(Dashboard!$C$4="All Customers",$E461=Dashboard!$C$4),IF($E461="","",$P461+ROW()/10000000),"")</f>
        <v/>
      </c>
    </row>
    <row r="462" spans="1:17" ht="14.25" customHeight="1" x14ac:dyDescent="0.3">
      <c r="A462" s="39" t="str">
        <f>IFERROR("FY"&amp;TEXT(MOD(IF(MONTH(Sheet1!A462)&gt;=4,YEAR(Sheet1!A462),YEAR(Sheet1!A462)-1),100),"00")&amp;"-"&amp;TEXT(MOD(IF(MONTH(Sheet1!A462)&gt;=4,YEAR(Sheet1!A462),YEAR(Sheet1!A462)-1)+1,100),"00"),"")</f>
        <v>FY25-26</v>
      </c>
      <c r="B462" s="40" t="str">
        <f>IFERROR("Q"&amp;IF(MONTH(Sheet1!A462)&gt;=4,IF(MONTH(Sheet1!A462)&lt;=6,1,IF(MONTH(Sheet1!A462)&lt;=9,2,3)),4),"")</f>
        <v>Q4</v>
      </c>
      <c r="C462" s="39" t="str">
        <f>IFERROR(Sheet1!C462,0)</f>
        <v>Europe</v>
      </c>
      <c r="D462" s="39" t="str">
        <f>IFERROR(Sheet1!F462,0)</f>
        <v>Poland</v>
      </c>
      <c r="E462" s="39" t="str">
        <f>IFERROR(Sheet1!E462,0)</f>
        <v>Inter Cars S.A., Poland</v>
      </c>
      <c r="F462" s="39" t="str">
        <f>IFERROR(IF(UPPER(TRIM(Sheet1!J462))="NH","Nhava Sheva",IF(UPPER(TRIM(Sheet1!J462))="ICD","ICD Dhannad",IF(UPPER(TRIM(Sheet1!J462))="TIHI","ICD Tihi",Sheet1!J462))),0)</f>
        <v>Nhava Sheva</v>
      </c>
      <c r="G462" s="39" t="str">
        <f>IFERROR(Sheet1!M462,0)</f>
        <v>Gdansk</v>
      </c>
      <c r="H462" s="39" t="str">
        <f>IFERROR(Sheet1!H462,0)</f>
        <v>FEI Cargo</v>
      </c>
      <c r="I462" s="39" t="str">
        <f>IFERROR(Sheet1!G462,0)</f>
        <v>FOB</v>
      </c>
      <c r="J462" s="39" t="str">
        <f>IFERROR(Sheet1!K462,0)</f>
        <v>ONE</v>
      </c>
      <c r="K462" s="41">
        <f>IFERROR(Sheet1!A462,0)</f>
        <v>46091</v>
      </c>
      <c r="L462" s="41">
        <f>IFERROR(Sheet1!I462,0)</f>
        <v>46089</v>
      </c>
      <c r="M462" s="47" t="str">
        <f>IFERROR(Sheet1!P462,0)</f>
        <v>NA</v>
      </c>
      <c r="N462" s="42">
        <f>IFERROR(IF(ISNUMBER(Sheet1!N462),Sheet1!N462,0),0)</f>
        <v>0</v>
      </c>
      <c r="O462" s="42">
        <f>IFERROR(IF(TRIM(F462)="Nhava Sheva",SUMPRODUCT((UPPER(TRIM('Origin Costs'!$A$5:$A$44))=UPPER(TRIM(J462)))*'Origin Costs'!$C$5:$C$44),IF(TRIM(F462)="ICD Tihi",SUMPRODUCT((UPPER(TRIM('Origin Costs'!$A$49:$A$88))=UPPER(TRIM(J462)))*'Origin Costs'!$C$49:$C$88),IF(TRIM(F462)="ICD Dhannad",SUMPRODUCT((UPPER(TRIM('Origin Costs'!$A$93:$A$132))=UPPER(TRIM(J462)))*'Origin Costs'!$C$93:$C$132),0))),0)</f>
        <v>1146.5555555555557</v>
      </c>
      <c r="P462" s="42">
        <f t="shared" si="7"/>
        <v>1146.5555555555557</v>
      </c>
      <c r="Q462" s="13" t="str">
        <f>IF(OR(Dashboard!$C$4="All Customers",$E462=Dashboard!$C$4),IF($E462="","",$P462+ROW()/10000000),"")</f>
        <v/>
      </c>
    </row>
    <row r="463" spans="1:17" ht="14.25" customHeight="1" x14ac:dyDescent="0.3">
      <c r="A463" s="43" t="str">
        <f>IFERROR("FY"&amp;TEXT(MOD(IF(MONTH(Sheet1!A463)&gt;=4,YEAR(Sheet1!A463),YEAR(Sheet1!A463)-1),100),"00")&amp;"-"&amp;TEXT(MOD(IF(MONTH(Sheet1!A463)&gt;=4,YEAR(Sheet1!A463),YEAR(Sheet1!A463)-1)+1,100),"00"),"")</f>
        <v>FY25-26</v>
      </c>
      <c r="B463" s="44" t="str">
        <f>IFERROR("Q"&amp;IF(MONTH(Sheet1!A463)&gt;=4,IF(MONTH(Sheet1!A463)&lt;=6,1,IF(MONTH(Sheet1!A463)&lt;=9,2,3)),4),"")</f>
        <v>Q4</v>
      </c>
      <c r="C463" s="43" t="str">
        <f>IFERROR(Sheet1!C463,0)</f>
        <v>Europe</v>
      </c>
      <c r="D463" s="43" t="str">
        <f>IFERROR(Sheet1!F463,0)</f>
        <v>Poland</v>
      </c>
      <c r="E463" s="43" t="str">
        <f>IFERROR(Sheet1!E463,0)</f>
        <v>Inter Cars S.A., Poland</v>
      </c>
      <c r="F463" s="43" t="str">
        <f>IFERROR(IF(UPPER(TRIM(Sheet1!J463))="NH","Nhava Sheva",IF(UPPER(TRIM(Sheet1!J463))="ICD","ICD Dhannad",IF(UPPER(TRIM(Sheet1!J463))="TIHI","ICD Tihi",Sheet1!J463))),0)</f>
        <v>Nhava Sheva</v>
      </c>
      <c r="G463" s="43" t="str">
        <f>IFERROR(Sheet1!M463,0)</f>
        <v>Gdansk</v>
      </c>
      <c r="H463" s="43" t="str">
        <f>IFERROR(Sheet1!H463,0)</f>
        <v>FEI Cargo</v>
      </c>
      <c r="I463" s="43" t="str">
        <f>IFERROR(Sheet1!G463,0)</f>
        <v>FOB</v>
      </c>
      <c r="J463" s="43" t="str">
        <f>IFERROR(Sheet1!K463,0)</f>
        <v>ONE</v>
      </c>
      <c r="K463" s="45">
        <f>IFERROR(Sheet1!A463,0)</f>
        <v>46091</v>
      </c>
      <c r="L463" s="45">
        <f>IFERROR(Sheet1!I463,0)</f>
        <v>46089</v>
      </c>
      <c r="M463" s="47" t="str">
        <f>IFERROR(Sheet1!P463,0)</f>
        <v>NA</v>
      </c>
      <c r="N463" s="46">
        <f>IFERROR(IF(ISNUMBER(Sheet1!N463),Sheet1!N463,0),0)</f>
        <v>0</v>
      </c>
      <c r="O463" s="46">
        <f>IFERROR(IF(TRIM(F463)="Nhava Sheva",SUMPRODUCT((UPPER(TRIM('Origin Costs'!$A$5:$A$44))=UPPER(TRIM(J463)))*'Origin Costs'!$C$5:$C$44),IF(TRIM(F463)="ICD Tihi",SUMPRODUCT((UPPER(TRIM('Origin Costs'!$A$49:$A$88))=UPPER(TRIM(J463)))*'Origin Costs'!$C$49:$C$88),IF(TRIM(F463)="ICD Dhannad",SUMPRODUCT((UPPER(TRIM('Origin Costs'!$A$93:$A$132))=UPPER(TRIM(J463)))*'Origin Costs'!$C$93:$C$132),0))),0)</f>
        <v>1146.5555555555557</v>
      </c>
      <c r="P463" s="46">
        <f t="shared" si="7"/>
        <v>1146.5555555555557</v>
      </c>
      <c r="Q463" s="13" t="str">
        <f>IF(OR(Dashboard!$C$4="All Customers",$E463=Dashboard!$C$4),IF($E463="","",$P463+ROW()/10000000),"")</f>
        <v/>
      </c>
    </row>
    <row r="464" spans="1:17" ht="14.25" customHeight="1" x14ac:dyDescent="0.3">
      <c r="A464" s="39" t="str">
        <f>IFERROR("FY"&amp;TEXT(MOD(IF(MONTH(Sheet1!A464)&gt;=4,YEAR(Sheet1!A464),YEAR(Sheet1!A464)-1),100),"00")&amp;"-"&amp;TEXT(MOD(IF(MONTH(Sheet1!A464)&gt;=4,YEAR(Sheet1!A464),YEAR(Sheet1!A464)-1)+1,100),"00"),"")</f>
        <v>FY25-26</v>
      </c>
      <c r="B464" s="40" t="str">
        <f>IFERROR("Q"&amp;IF(MONTH(Sheet1!A464)&gt;=4,IF(MONTH(Sheet1!A464)&lt;=6,1,IF(MONTH(Sheet1!A464)&lt;=9,2,3)),4),"")</f>
        <v>Q4</v>
      </c>
      <c r="C464" s="39" t="str">
        <f>IFERROR(Sheet1!C464,0)</f>
        <v>Europe</v>
      </c>
      <c r="D464" s="39" t="str">
        <f>IFERROR(Sheet1!F464,0)</f>
        <v>Poland</v>
      </c>
      <c r="E464" s="39" t="str">
        <f>IFERROR(Sheet1!E464,0)</f>
        <v>Inter Cars S.A., Poland</v>
      </c>
      <c r="F464" s="39" t="str">
        <f>IFERROR(IF(UPPER(TRIM(Sheet1!J464))="NH","Nhava Sheva",IF(UPPER(TRIM(Sheet1!J464))="ICD","ICD Dhannad",IF(UPPER(TRIM(Sheet1!J464))="TIHI","ICD Tihi",Sheet1!J464))),0)</f>
        <v>Nhava Sheva</v>
      </c>
      <c r="G464" s="39" t="str">
        <f>IFERROR(Sheet1!M464,0)</f>
        <v>Gdansk</v>
      </c>
      <c r="H464" s="39" t="str">
        <f>IFERROR(Sheet1!H464,0)</f>
        <v>FEI Cargo</v>
      </c>
      <c r="I464" s="39" t="str">
        <f>IFERROR(Sheet1!G464,0)</f>
        <v>FOB</v>
      </c>
      <c r="J464" s="39" t="str">
        <f>IFERROR(Sheet1!K464,0)</f>
        <v>ONE</v>
      </c>
      <c r="K464" s="41">
        <f>IFERROR(Sheet1!A464,0)</f>
        <v>46091</v>
      </c>
      <c r="L464" s="41">
        <f>IFERROR(Sheet1!I464,0)</f>
        <v>46089</v>
      </c>
      <c r="M464" s="47" t="str">
        <f>IFERROR(Sheet1!P464,0)</f>
        <v>NA</v>
      </c>
      <c r="N464" s="42">
        <f>IFERROR(IF(ISNUMBER(Sheet1!N464),Sheet1!N464,0),0)</f>
        <v>0</v>
      </c>
      <c r="O464" s="42">
        <f>IFERROR(IF(TRIM(F464)="Nhava Sheva",SUMPRODUCT((UPPER(TRIM('Origin Costs'!$A$5:$A$44))=UPPER(TRIM(J464)))*'Origin Costs'!$C$5:$C$44),IF(TRIM(F464)="ICD Tihi",SUMPRODUCT((UPPER(TRIM('Origin Costs'!$A$49:$A$88))=UPPER(TRIM(J464)))*'Origin Costs'!$C$49:$C$88),IF(TRIM(F464)="ICD Dhannad",SUMPRODUCT((UPPER(TRIM('Origin Costs'!$A$93:$A$132))=UPPER(TRIM(J464)))*'Origin Costs'!$C$93:$C$132),0))),0)</f>
        <v>1146.5555555555557</v>
      </c>
      <c r="P464" s="42">
        <f t="shared" si="7"/>
        <v>1146.5555555555557</v>
      </c>
      <c r="Q464" s="13" t="str">
        <f>IF(OR(Dashboard!$C$4="All Customers",$E464=Dashboard!$C$4),IF($E464="","",$P464+ROW()/10000000),"")</f>
        <v/>
      </c>
    </row>
    <row r="465" spans="1:17" ht="14.25" customHeight="1" x14ac:dyDescent="0.3">
      <c r="A465" s="43" t="str">
        <f>IFERROR("FY"&amp;TEXT(MOD(IF(MONTH(Sheet1!A465)&gt;=4,YEAR(Sheet1!A465),YEAR(Sheet1!A465)-1),100),"00")&amp;"-"&amp;TEXT(MOD(IF(MONTH(Sheet1!A465)&gt;=4,YEAR(Sheet1!A465),YEAR(Sheet1!A465)-1)+1,100),"00"),"")</f>
        <v>FY25-26</v>
      </c>
      <c r="B465" s="44" t="str">
        <f>IFERROR("Q"&amp;IF(MONTH(Sheet1!A465)&gt;=4,IF(MONTH(Sheet1!A465)&lt;=6,1,IF(MONTH(Sheet1!A465)&lt;=9,2,3)),4),"")</f>
        <v>Q4</v>
      </c>
      <c r="C465" s="43" t="str">
        <f>IFERROR(Sheet1!C465,0)</f>
        <v>Europe</v>
      </c>
      <c r="D465" s="43" t="str">
        <f>IFERROR(Sheet1!F465,0)</f>
        <v>Poland</v>
      </c>
      <c r="E465" s="43" t="str">
        <f>IFERROR(Sheet1!E465,0)</f>
        <v>Inter Cars S.A., Poland</v>
      </c>
      <c r="F465" s="43" t="str">
        <f>IFERROR(IF(UPPER(TRIM(Sheet1!J465))="NH","Nhava Sheva",IF(UPPER(TRIM(Sheet1!J465))="ICD","ICD Dhannad",IF(UPPER(TRIM(Sheet1!J465))="TIHI","ICD Tihi",Sheet1!J465))),0)</f>
        <v>Nhava Sheva</v>
      </c>
      <c r="G465" s="43" t="str">
        <f>IFERROR(Sheet1!M465,0)</f>
        <v>Gdansk</v>
      </c>
      <c r="H465" s="43" t="str">
        <f>IFERROR(Sheet1!H465,0)</f>
        <v>FEI Cargo</v>
      </c>
      <c r="I465" s="43" t="str">
        <f>IFERROR(Sheet1!G465,0)</f>
        <v>FOB</v>
      </c>
      <c r="J465" s="43" t="str">
        <f>IFERROR(Sheet1!K465,0)</f>
        <v>ONE</v>
      </c>
      <c r="K465" s="45">
        <f>IFERROR(Sheet1!A465,0)</f>
        <v>46091</v>
      </c>
      <c r="L465" s="45">
        <f>IFERROR(Sheet1!I465,0)</f>
        <v>46089</v>
      </c>
      <c r="M465" s="47" t="str">
        <f>IFERROR(Sheet1!P465,0)</f>
        <v>NA</v>
      </c>
      <c r="N465" s="46">
        <f>IFERROR(IF(ISNUMBER(Sheet1!N465),Sheet1!N465,0),0)</f>
        <v>0</v>
      </c>
      <c r="O465" s="46">
        <f>IFERROR(IF(TRIM(F465)="Nhava Sheva",SUMPRODUCT((UPPER(TRIM('Origin Costs'!$A$5:$A$44))=UPPER(TRIM(J465)))*'Origin Costs'!$C$5:$C$44),IF(TRIM(F465)="ICD Tihi",SUMPRODUCT((UPPER(TRIM('Origin Costs'!$A$49:$A$88))=UPPER(TRIM(J465)))*'Origin Costs'!$C$49:$C$88),IF(TRIM(F465)="ICD Dhannad",SUMPRODUCT((UPPER(TRIM('Origin Costs'!$A$93:$A$132))=UPPER(TRIM(J465)))*'Origin Costs'!$C$93:$C$132),0))),0)</f>
        <v>1146.5555555555557</v>
      </c>
      <c r="P465" s="46">
        <f t="shared" si="7"/>
        <v>1146.5555555555557</v>
      </c>
      <c r="Q465" s="13" t="str">
        <f>IF(OR(Dashboard!$C$4="All Customers",$E465=Dashboard!$C$4),IF($E465="","",$P465+ROW()/10000000),"")</f>
        <v/>
      </c>
    </row>
    <row r="466" spans="1:17" ht="14.25" customHeight="1" x14ac:dyDescent="0.3">
      <c r="A466" s="39" t="str">
        <f>IFERROR("FY"&amp;TEXT(MOD(IF(MONTH(Sheet1!A466)&gt;=4,YEAR(Sheet1!A466),YEAR(Sheet1!A466)-1),100),"00")&amp;"-"&amp;TEXT(MOD(IF(MONTH(Sheet1!A466)&gt;=4,YEAR(Sheet1!A466),YEAR(Sheet1!A466)-1)+1,100),"00"),"")</f>
        <v>FY25-26</v>
      </c>
      <c r="B466" s="40" t="str">
        <f>IFERROR("Q"&amp;IF(MONTH(Sheet1!A466)&gt;=4,IF(MONTH(Sheet1!A466)&lt;=6,1,IF(MONTH(Sheet1!A466)&lt;=9,2,3)),4),"")</f>
        <v>Q4</v>
      </c>
      <c r="C466" s="39" t="str">
        <f>IFERROR(Sheet1!C466,0)</f>
        <v>Europe</v>
      </c>
      <c r="D466" s="39" t="str">
        <f>IFERROR(Sheet1!F466,0)</f>
        <v>Poland</v>
      </c>
      <c r="E466" s="39" t="str">
        <f>IFERROR(Sheet1!E466,0)</f>
        <v>Inter Cars S.A., Poland</v>
      </c>
      <c r="F466" s="39" t="str">
        <f>IFERROR(IF(UPPER(TRIM(Sheet1!J466))="NH","Nhava Sheva",IF(UPPER(TRIM(Sheet1!J466))="ICD","ICD Dhannad",IF(UPPER(TRIM(Sheet1!J466))="TIHI","ICD Tihi",Sheet1!J466))),0)</f>
        <v>Nhava Sheva</v>
      </c>
      <c r="G466" s="39" t="str">
        <f>IFERROR(Sheet1!M466,0)</f>
        <v>Gdansk</v>
      </c>
      <c r="H466" s="39" t="str">
        <f>IFERROR(Sheet1!H466,0)</f>
        <v>FEI Cargo</v>
      </c>
      <c r="I466" s="39" t="str">
        <f>IFERROR(Sheet1!G466,0)</f>
        <v>FOB</v>
      </c>
      <c r="J466" s="39" t="str">
        <f>IFERROR(Sheet1!K466,0)</f>
        <v>ONE</v>
      </c>
      <c r="K466" s="41">
        <f>IFERROR(Sheet1!A466,0)</f>
        <v>46092</v>
      </c>
      <c r="L466" s="41">
        <f>IFERROR(Sheet1!I466,0)</f>
        <v>46090</v>
      </c>
      <c r="M466" s="47" t="str">
        <f>IFERROR(Sheet1!P466,0)</f>
        <v>NA</v>
      </c>
      <c r="N466" s="42">
        <f>IFERROR(IF(ISNUMBER(Sheet1!N466),Sheet1!N466,0),0)</f>
        <v>0</v>
      </c>
      <c r="O466" s="42">
        <f>IFERROR(IF(TRIM(F466)="Nhava Sheva",SUMPRODUCT((UPPER(TRIM('Origin Costs'!$A$5:$A$44))=UPPER(TRIM(J466)))*'Origin Costs'!$C$5:$C$44),IF(TRIM(F466)="ICD Tihi",SUMPRODUCT((UPPER(TRIM('Origin Costs'!$A$49:$A$88))=UPPER(TRIM(J466)))*'Origin Costs'!$C$49:$C$88),IF(TRIM(F466)="ICD Dhannad",SUMPRODUCT((UPPER(TRIM('Origin Costs'!$A$93:$A$132))=UPPER(TRIM(J466)))*'Origin Costs'!$C$93:$C$132),0))),0)</f>
        <v>1146.5555555555557</v>
      </c>
      <c r="P466" s="42">
        <f t="shared" si="7"/>
        <v>1146.5555555555557</v>
      </c>
      <c r="Q466" s="13" t="str">
        <f>IF(OR(Dashboard!$C$4="All Customers",$E466=Dashboard!$C$4),IF($E466="","",$P466+ROW()/10000000),"")</f>
        <v/>
      </c>
    </row>
    <row r="467" spans="1:17" ht="14.25" customHeight="1" x14ac:dyDescent="0.3">
      <c r="A467" s="43" t="str">
        <f>IFERROR("FY"&amp;TEXT(MOD(IF(MONTH(Sheet1!A467)&gt;=4,YEAR(Sheet1!A467),YEAR(Sheet1!A467)-1),100),"00")&amp;"-"&amp;TEXT(MOD(IF(MONTH(Sheet1!A467)&gt;=4,YEAR(Sheet1!A467),YEAR(Sheet1!A467)-1)+1,100),"00"),"")</f>
        <v>FY25-26</v>
      </c>
      <c r="B467" s="44" t="str">
        <f>IFERROR("Q"&amp;IF(MONTH(Sheet1!A467)&gt;=4,IF(MONTH(Sheet1!A467)&lt;=6,1,IF(MONTH(Sheet1!A467)&lt;=9,2,3)),4),"")</f>
        <v>Q4</v>
      </c>
      <c r="C467" s="43" t="str">
        <f>IFERROR(Sheet1!C467,0)</f>
        <v>Europe</v>
      </c>
      <c r="D467" s="43" t="str">
        <f>IFERROR(Sheet1!F467,0)</f>
        <v>Poland</v>
      </c>
      <c r="E467" s="43" t="str">
        <f>IFERROR(Sheet1!E467,0)</f>
        <v>Inter Cars S.A., Poland</v>
      </c>
      <c r="F467" s="43" t="str">
        <f>IFERROR(IF(UPPER(TRIM(Sheet1!J467))="NH","Nhava Sheva",IF(UPPER(TRIM(Sheet1!J467))="ICD","ICD Dhannad",IF(UPPER(TRIM(Sheet1!J467))="TIHI","ICD Tihi",Sheet1!J467))),0)</f>
        <v>Nhava Sheva</v>
      </c>
      <c r="G467" s="43" t="str">
        <f>IFERROR(Sheet1!M467,0)</f>
        <v>Gdansk</v>
      </c>
      <c r="H467" s="43" t="str">
        <f>IFERROR(Sheet1!H467,0)</f>
        <v>FEI Cargo</v>
      </c>
      <c r="I467" s="43" t="str">
        <f>IFERROR(Sheet1!G467,0)</f>
        <v>FOB</v>
      </c>
      <c r="J467" s="43" t="str">
        <f>IFERROR(Sheet1!K467,0)</f>
        <v>ONE</v>
      </c>
      <c r="K467" s="45">
        <f>IFERROR(Sheet1!A467,0)</f>
        <v>46092</v>
      </c>
      <c r="L467" s="45">
        <f>IFERROR(Sheet1!I467,0)</f>
        <v>46089</v>
      </c>
      <c r="M467" s="47" t="str">
        <f>IFERROR(Sheet1!P467,0)</f>
        <v>NA</v>
      </c>
      <c r="N467" s="46">
        <f>IFERROR(IF(ISNUMBER(Sheet1!N467),Sheet1!N467,0),0)</f>
        <v>0</v>
      </c>
      <c r="O467" s="46">
        <f>IFERROR(IF(TRIM(F467)="Nhava Sheva",SUMPRODUCT((UPPER(TRIM('Origin Costs'!$A$5:$A$44))=UPPER(TRIM(J467)))*'Origin Costs'!$C$5:$C$44),IF(TRIM(F467)="ICD Tihi",SUMPRODUCT((UPPER(TRIM('Origin Costs'!$A$49:$A$88))=UPPER(TRIM(J467)))*'Origin Costs'!$C$49:$C$88),IF(TRIM(F467)="ICD Dhannad",SUMPRODUCT((UPPER(TRIM('Origin Costs'!$A$93:$A$132))=UPPER(TRIM(J467)))*'Origin Costs'!$C$93:$C$132),0))),0)</f>
        <v>1146.5555555555557</v>
      </c>
      <c r="P467" s="46">
        <f t="shared" si="7"/>
        <v>1146.5555555555557</v>
      </c>
      <c r="Q467" s="13" t="str">
        <f>IF(OR(Dashboard!$C$4="All Customers",$E467=Dashboard!$C$4),IF($E467="","",$P467+ROW()/10000000),"")</f>
        <v/>
      </c>
    </row>
    <row r="468" spans="1:17" ht="14.25" customHeight="1" x14ac:dyDescent="0.3">
      <c r="A468" s="39" t="str">
        <f>IFERROR("FY"&amp;TEXT(MOD(IF(MONTH(Sheet1!A468)&gt;=4,YEAR(Sheet1!A468),YEAR(Sheet1!A468)-1),100),"00")&amp;"-"&amp;TEXT(MOD(IF(MONTH(Sheet1!A468)&gt;=4,YEAR(Sheet1!A468),YEAR(Sheet1!A468)-1)+1,100),"00"),"")</f>
        <v>FY25-26</v>
      </c>
      <c r="B468" s="40" t="str">
        <f>IFERROR("Q"&amp;IF(MONTH(Sheet1!A468)&gt;=4,IF(MONTH(Sheet1!A468)&lt;=6,1,IF(MONTH(Sheet1!A468)&lt;=9,2,3)),4),"")</f>
        <v>Q4</v>
      </c>
      <c r="C468" s="39" t="str">
        <f>IFERROR(Sheet1!C468,0)</f>
        <v>Europe</v>
      </c>
      <c r="D468" s="39" t="str">
        <f>IFERROR(Sheet1!F468,0)</f>
        <v>Poland</v>
      </c>
      <c r="E468" s="39" t="str">
        <f>IFERROR(Sheet1!E468,0)</f>
        <v>Inter Cars S.A., Poland</v>
      </c>
      <c r="F468" s="39" t="str">
        <f>IFERROR(IF(UPPER(TRIM(Sheet1!J468))="NH","Nhava Sheva",IF(UPPER(TRIM(Sheet1!J468))="ICD","ICD Dhannad",IF(UPPER(TRIM(Sheet1!J468))="TIHI","ICD Tihi",Sheet1!J468))),0)</f>
        <v>Nhava Sheva</v>
      </c>
      <c r="G468" s="39" t="str">
        <f>IFERROR(Sheet1!M468,0)</f>
        <v>Gdansk</v>
      </c>
      <c r="H468" s="39" t="str">
        <f>IFERROR(Sheet1!H468,0)</f>
        <v>FEI Cargo</v>
      </c>
      <c r="I468" s="39" t="str">
        <f>IFERROR(Sheet1!G468,0)</f>
        <v>FOB</v>
      </c>
      <c r="J468" s="39" t="str">
        <f>IFERROR(Sheet1!K468,0)</f>
        <v>ONE</v>
      </c>
      <c r="K468" s="41">
        <f>IFERROR(Sheet1!A468,0)</f>
        <v>46092</v>
      </c>
      <c r="L468" s="41">
        <f>IFERROR(Sheet1!I468,0)</f>
        <v>46090</v>
      </c>
      <c r="M468" s="47" t="str">
        <f>IFERROR(Sheet1!P468,0)</f>
        <v>NA</v>
      </c>
      <c r="N468" s="42">
        <f>IFERROR(IF(ISNUMBER(Sheet1!N468),Sheet1!N468,0),0)</f>
        <v>0</v>
      </c>
      <c r="O468" s="42">
        <f>IFERROR(IF(TRIM(F468)="Nhava Sheva",SUMPRODUCT((UPPER(TRIM('Origin Costs'!$A$5:$A$44))=UPPER(TRIM(J468)))*'Origin Costs'!$C$5:$C$44),IF(TRIM(F468)="ICD Tihi",SUMPRODUCT((UPPER(TRIM('Origin Costs'!$A$49:$A$88))=UPPER(TRIM(J468)))*'Origin Costs'!$C$49:$C$88),IF(TRIM(F468)="ICD Dhannad",SUMPRODUCT((UPPER(TRIM('Origin Costs'!$A$93:$A$132))=UPPER(TRIM(J468)))*'Origin Costs'!$C$93:$C$132),0))),0)</f>
        <v>1146.5555555555557</v>
      </c>
      <c r="P468" s="42">
        <f t="shared" si="7"/>
        <v>1146.5555555555557</v>
      </c>
      <c r="Q468" s="13" t="str">
        <f>IF(OR(Dashboard!$C$4="All Customers",$E468=Dashboard!$C$4),IF($E468="","",$P468+ROW()/10000000),"")</f>
        <v/>
      </c>
    </row>
    <row r="469" spans="1:17" ht="14.25" customHeight="1" x14ac:dyDescent="0.3">
      <c r="A469" s="43" t="str">
        <f>IFERROR("FY"&amp;TEXT(MOD(IF(MONTH(Sheet1!A469)&gt;=4,YEAR(Sheet1!A469),YEAR(Sheet1!A469)-1),100),"00")&amp;"-"&amp;TEXT(MOD(IF(MONTH(Sheet1!A469)&gt;=4,YEAR(Sheet1!A469),YEAR(Sheet1!A469)-1)+1,100),"00"),"")</f>
        <v>FY25-26</v>
      </c>
      <c r="B469" s="44" t="str">
        <f>IFERROR("Q"&amp;IF(MONTH(Sheet1!A469)&gt;=4,IF(MONTH(Sheet1!A469)&lt;=6,1,IF(MONTH(Sheet1!A469)&lt;=9,2,3)),4),"")</f>
        <v>Q4</v>
      </c>
      <c r="C469" s="43" t="str">
        <f>IFERROR(Sheet1!C469,0)</f>
        <v>Europe</v>
      </c>
      <c r="D469" s="43" t="str">
        <f>IFERROR(Sheet1!F469,0)</f>
        <v>Poland</v>
      </c>
      <c r="E469" s="43" t="str">
        <f>IFERROR(Sheet1!E469,0)</f>
        <v>Inter Cars S.A., Poland</v>
      </c>
      <c r="F469" s="43" t="str">
        <f>IFERROR(IF(UPPER(TRIM(Sheet1!J469))="NH","Nhava Sheva",IF(UPPER(TRIM(Sheet1!J469))="ICD","ICD Dhannad",IF(UPPER(TRIM(Sheet1!J469))="TIHI","ICD Tihi",Sheet1!J469))),0)</f>
        <v>Nhava Sheva</v>
      </c>
      <c r="G469" s="43" t="str">
        <f>IFERROR(Sheet1!M469,0)</f>
        <v>Gdansk</v>
      </c>
      <c r="H469" s="43" t="str">
        <f>IFERROR(Sheet1!H469,0)</f>
        <v>FEI Cargo</v>
      </c>
      <c r="I469" s="43" t="str">
        <f>IFERROR(Sheet1!G469,0)</f>
        <v>FOB</v>
      </c>
      <c r="J469" s="43" t="str">
        <f>IFERROR(Sheet1!K469,0)</f>
        <v>ONE</v>
      </c>
      <c r="K469" s="45">
        <f>IFERROR(Sheet1!A469,0)</f>
        <v>46092</v>
      </c>
      <c r="L469" s="45">
        <f>IFERROR(Sheet1!I469,0)</f>
        <v>46090</v>
      </c>
      <c r="M469" s="47" t="str">
        <f>IFERROR(Sheet1!P469,0)</f>
        <v>NA</v>
      </c>
      <c r="N469" s="46">
        <f>IFERROR(IF(ISNUMBER(Sheet1!N469),Sheet1!N469,0),0)</f>
        <v>0</v>
      </c>
      <c r="O469" s="46">
        <f>IFERROR(IF(TRIM(F469)="Nhava Sheva",SUMPRODUCT((UPPER(TRIM('Origin Costs'!$A$5:$A$44))=UPPER(TRIM(J469)))*'Origin Costs'!$C$5:$C$44),IF(TRIM(F469)="ICD Tihi",SUMPRODUCT((UPPER(TRIM('Origin Costs'!$A$49:$A$88))=UPPER(TRIM(J469)))*'Origin Costs'!$C$49:$C$88),IF(TRIM(F469)="ICD Dhannad",SUMPRODUCT((UPPER(TRIM('Origin Costs'!$A$93:$A$132))=UPPER(TRIM(J469)))*'Origin Costs'!$C$93:$C$132),0))),0)</f>
        <v>1146.5555555555557</v>
      </c>
      <c r="P469" s="46">
        <f t="shared" si="7"/>
        <v>1146.5555555555557</v>
      </c>
      <c r="Q469" s="13" t="str">
        <f>IF(OR(Dashboard!$C$4="All Customers",$E469=Dashboard!$C$4),IF($E469="","",$P469+ROW()/10000000),"")</f>
        <v/>
      </c>
    </row>
    <row r="470" spans="1:17" ht="14.25" customHeight="1" x14ac:dyDescent="0.3">
      <c r="A470" s="39" t="str">
        <f>IFERROR("FY"&amp;TEXT(MOD(IF(MONTH(Sheet1!A470)&gt;=4,YEAR(Sheet1!A470),YEAR(Sheet1!A470)-1),100),"00")&amp;"-"&amp;TEXT(MOD(IF(MONTH(Sheet1!A470)&gt;=4,YEAR(Sheet1!A470),YEAR(Sheet1!A470)-1)+1,100),"00"),"")</f>
        <v>FY25-26</v>
      </c>
      <c r="B470" s="40" t="str">
        <f>IFERROR("Q"&amp;IF(MONTH(Sheet1!A470)&gt;=4,IF(MONTH(Sheet1!A470)&lt;=6,1,IF(MONTH(Sheet1!A470)&lt;=9,2,3)),4),"")</f>
        <v>Q4</v>
      </c>
      <c r="C470" s="39" t="str">
        <f>IFERROR(Sheet1!C470,0)</f>
        <v>Europe</v>
      </c>
      <c r="D470" s="39" t="str">
        <f>IFERROR(Sheet1!F470,0)</f>
        <v>Poland</v>
      </c>
      <c r="E470" s="39" t="str">
        <f>IFERROR(Sheet1!E470,0)</f>
        <v>Inter Cars S.A., Poland</v>
      </c>
      <c r="F470" s="39" t="str">
        <f>IFERROR(IF(UPPER(TRIM(Sheet1!J470))="NH","Nhava Sheva",IF(UPPER(TRIM(Sheet1!J470))="ICD","ICD Dhannad",IF(UPPER(TRIM(Sheet1!J470))="TIHI","ICD Tihi",Sheet1!J470))),0)</f>
        <v>Nhava Sheva</v>
      </c>
      <c r="G470" s="39" t="str">
        <f>IFERROR(Sheet1!M470,0)</f>
        <v>Gdansk</v>
      </c>
      <c r="H470" s="39" t="str">
        <f>IFERROR(Sheet1!H470,0)</f>
        <v>FEI Cargo</v>
      </c>
      <c r="I470" s="39" t="str">
        <f>IFERROR(Sheet1!G470,0)</f>
        <v>FOB</v>
      </c>
      <c r="J470" s="39" t="str">
        <f>IFERROR(Sheet1!K470,0)</f>
        <v>ONE</v>
      </c>
      <c r="K470" s="41">
        <f>IFERROR(Sheet1!A470,0)</f>
        <v>46092</v>
      </c>
      <c r="L470" s="41">
        <f>IFERROR(Sheet1!I470,0)</f>
        <v>46090</v>
      </c>
      <c r="M470" s="47" t="str">
        <f>IFERROR(Sheet1!P470,0)</f>
        <v>NA</v>
      </c>
      <c r="N470" s="42">
        <f>IFERROR(IF(ISNUMBER(Sheet1!N470),Sheet1!N470,0),0)</f>
        <v>0</v>
      </c>
      <c r="O470" s="42">
        <f>IFERROR(IF(TRIM(F470)="Nhava Sheva",SUMPRODUCT((UPPER(TRIM('Origin Costs'!$A$5:$A$44))=UPPER(TRIM(J470)))*'Origin Costs'!$C$5:$C$44),IF(TRIM(F470)="ICD Tihi",SUMPRODUCT((UPPER(TRIM('Origin Costs'!$A$49:$A$88))=UPPER(TRIM(J470)))*'Origin Costs'!$C$49:$C$88),IF(TRIM(F470)="ICD Dhannad",SUMPRODUCT((UPPER(TRIM('Origin Costs'!$A$93:$A$132))=UPPER(TRIM(J470)))*'Origin Costs'!$C$93:$C$132),0))),0)</f>
        <v>1146.5555555555557</v>
      </c>
      <c r="P470" s="42">
        <f t="shared" si="7"/>
        <v>1146.5555555555557</v>
      </c>
      <c r="Q470" s="13" t="str">
        <f>IF(OR(Dashboard!$C$4="All Customers",$E470=Dashboard!$C$4),IF($E470="","",$P470+ROW()/10000000),"")</f>
        <v/>
      </c>
    </row>
    <row r="471" spans="1:17" ht="14.25" customHeight="1" x14ac:dyDescent="0.3">
      <c r="A471" s="43" t="str">
        <f>IFERROR("FY"&amp;TEXT(MOD(IF(MONTH(Sheet1!A471)&gt;=4,YEAR(Sheet1!A471),YEAR(Sheet1!A471)-1),100),"00")&amp;"-"&amp;TEXT(MOD(IF(MONTH(Sheet1!A471)&gt;=4,YEAR(Sheet1!A471),YEAR(Sheet1!A471)-1)+1,100),"00"),"")</f>
        <v>FY25-26</v>
      </c>
      <c r="B471" s="44" t="str">
        <f>IFERROR("Q"&amp;IF(MONTH(Sheet1!A471)&gt;=4,IF(MONTH(Sheet1!A471)&lt;=6,1,IF(MONTH(Sheet1!A471)&lt;=9,2,3)),4),"")</f>
        <v>Q4</v>
      </c>
      <c r="C471" s="43" t="str">
        <f>IFERROR(Sheet1!C471,0)</f>
        <v>Europe</v>
      </c>
      <c r="D471" s="43" t="str">
        <f>IFERROR(Sheet1!F471,0)</f>
        <v>Poland</v>
      </c>
      <c r="E471" s="43" t="str">
        <f>IFERROR(Sheet1!E471,0)</f>
        <v>Inter Cars S.A., Poland</v>
      </c>
      <c r="F471" s="43" t="str">
        <f>IFERROR(IF(UPPER(TRIM(Sheet1!J471))="NH","Nhava Sheva",IF(UPPER(TRIM(Sheet1!J471))="ICD","ICD Dhannad",IF(UPPER(TRIM(Sheet1!J471))="TIHI","ICD Tihi",Sheet1!J471))),0)</f>
        <v>Nhava Sheva</v>
      </c>
      <c r="G471" s="43" t="str">
        <f>IFERROR(Sheet1!M471,0)</f>
        <v>Gdansk</v>
      </c>
      <c r="H471" s="43" t="str">
        <f>IFERROR(Sheet1!H471,0)</f>
        <v>FEI Cargo</v>
      </c>
      <c r="I471" s="43" t="str">
        <f>IFERROR(Sheet1!G471,0)</f>
        <v>FOB</v>
      </c>
      <c r="J471" s="43" t="str">
        <f>IFERROR(Sheet1!K471,0)</f>
        <v>ONE</v>
      </c>
      <c r="K471" s="45">
        <f>IFERROR(Sheet1!A471,0)</f>
        <v>46092</v>
      </c>
      <c r="L471" s="45">
        <f>IFERROR(Sheet1!I471,0)</f>
        <v>46090</v>
      </c>
      <c r="M471" s="47" t="str">
        <f>IFERROR(Sheet1!P471,0)</f>
        <v>NA</v>
      </c>
      <c r="N471" s="46">
        <f>IFERROR(IF(ISNUMBER(Sheet1!N471),Sheet1!N471,0),0)</f>
        <v>0</v>
      </c>
      <c r="O471" s="46">
        <f>IFERROR(IF(TRIM(F471)="Nhava Sheva",SUMPRODUCT((UPPER(TRIM('Origin Costs'!$A$5:$A$44))=UPPER(TRIM(J471)))*'Origin Costs'!$C$5:$C$44),IF(TRIM(F471)="ICD Tihi",SUMPRODUCT((UPPER(TRIM('Origin Costs'!$A$49:$A$88))=UPPER(TRIM(J471)))*'Origin Costs'!$C$49:$C$88),IF(TRIM(F471)="ICD Dhannad",SUMPRODUCT((UPPER(TRIM('Origin Costs'!$A$93:$A$132))=UPPER(TRIM(J471)))*'Origin Costs'!$C$93:$C$132),0))),0)</f>
        <v>1146.5555555555557</v>
      </c>
      <c r="P471" s="46">
        <f t="shared" si="7"/>
        <v>1146.5555555555557</v>
      </c>
      <c r="Q471" s="13" t="str">
        <f>IF(OR(Dashboard!$C$4="All Customers",$E471=Dashboard!$C$4),IF($E471="","",$P471+ROW()/10000000),"")</f>
        <v/>
      </c>
    </row>
    <row r="472" spans="1:17" ht="14.25" customHeight="1" x14ac:dyDescent="0.3">
      <c r="A472" s="39" t="str">
        <f>IFERROR("FY"&amp;TEXT(MOD(IF(MONTH(Sheet1!A472)&gt;=4,YEAR(Sheet1!A472),YEAR(Sheet1!A472)-1),100),"00")&amp;"-"&amp;TEXT(MOD(IF(MONTH(Sheet1!A472)&gt;=4,YEAR(Sheet1!A472),YEAR(Sheet1!A472)-1)+1,100),"00"),"")</f>
        <v>FY25-26</v>
      </c>
      <c r="B472" s="40" t="str">
        <f>IFERROR("Q"&amp;IF(MONTH(Sheet1!A472)&gt;=4,IF(MONTH(Sheet1!A472)&lt;=6,1,IF(MONTH(Sheet1!A472)&lt;=9,2,3)),4),"")</f>
        <v>Q4</v>
      </c>
      <c r="C472" s="39" t="str">
        <f>IFERROR(Sheet1!C472,0)</f>
        <v>CIS</v>
      </c>
      <c r="D472" s="39" t="str">
        <f>IFERROR(Sheet1!F472,0)</f>
        <v>Russia</v>
      </c>
      <c r="E472" s="39" t="str">
        <f>IFERROR(Sheet1!E472,0)</f>
        <v>STALKER LTD, Russia</v>
      </c>
      <c r="F472" s="39" t="str">
        <f>IFERROR(IF(UPPER(TRIM(Sheet1!J472))="NH","Nhava Sheva",IF(UPPER(TRIM(Sheet1!J472))="ICD","ICD Dhannad",IF(UPPER(TRIM(Sheet1!J472))="TIHI","ICD Tihi",Sheet1!J472))),0)</f>
        <v>Nhava Sheva</v>
      </c>
      <c r="G472" s="39" t="str">
        <f>IFERROR(Sheet1!M472,0)</f>
        <v>NOVOROSSIYSK</v>
      </c>
      <c r="H472" s="39" t="str">
        <f>IFERROR(Sheet1!H472,0)</f>
        <v>Prologis Freight</v>
      </c>
      <c r="I472" s="39" t="str">
        <f>IFERROR(Sheet1!G472,0)</f>
        <v>CFR</v>
      </c>
      <c r="J472" s="39" t="str">
        <f>IFERROR(Sheet1!K472,0)</f>
        <v>Corton</v>
      </c>
      <c r="K472" s="41">
        <f>IFERROR(Sheet1!A472,0)</f>
        <v>46092</v>
      </c>
      <c r="L472" s="41">
        <f>IFERROR(Sheet1!I472,0)</f>
        <v>46090</v>
      </c>
      <c r="M472" s="47" t="str">
        <f>IFERROR(Sheet1!P472,0)</f>
        <v>NA</v>
      </c>
      <c r="N472" s="42">
        <f>IFERROR(IF(ISNUMBER(Sheet1!N472),Sheet1!N472,0),0)</f>
        <v>5000</v>
      </c>
      <c r="O472" s="42">
        <f>IFERROR(IF(TRIM(F472)="Nhava Sheva",SUMPRODUCT((UPPER(TRIM('Origin Costs'!$A$5:$A$44))=UPPER(TRIM(J472)))*'Origin Costs'!$C$5:$C$44),IF(TRIM(F472)="ICD Tihi",SUMPRODUCT((UPPER(TRIM('Origin Costs'!$A$49:$A$88))=UPPER(TRIM(J472)))*'Origin Costs'!$C$49:$C$88),IF(TRIM(F472)="ICD Dhannad",SUMPRODUCT((UPPER(TRIM('Origin Costs'!$A$93:$A$132))=UPPER(TRIM(J472)))*'Origin Costs'!$C$93:$C$132),0))),0)</f>
        <v>0</v>
      </c>
      <c r="P472" s="42">
        <f t="shared" si="7"/>
        <v>5000</v>
      </c>
      <c r="Q472" s="13" t="str">
        <f>IF(OR(Dashboard!$C$4="All Customers",$E472=Dashboard!$C$4),IF($E472="","",$P472+ROW()/10000000),"")</f>
        <v/>
      </c>
    </row>
    <row r="473" spans="1:17" ht="14.25" customHeight="1" x14ac:dyDescent="0.3">
      <c r="A473" s="43" t="str">
        <f>IFERROR("FY"&amp;TEXT(MOD(IF(MONTH(Sheet1!A473)&gt;=4,YEAR(Sheet1!A473),YEAR(Sheet1!A473)-1),100),"00")&amp;"-"&amp;TEXT(MOD(IF(MONTH(Sheet1!A473)&gt;=4,YEAR(Sheet1!A473),YEAR(Sheet1!A473)-1)+1,100),"00"),"")</f>
        <v>FY25-26</v>
      </c>
      <c r="B473" s="44" t="str">
        <f>IFERROR("Q"&amp;IF(MONTH(Sheet1!A473)&gt;=4,IF(MONTH(Sheet1!A473)&lt;=6,1,IF(MONTH(Sheet1!A473)&lt;=9,2,3)),4),"")</f>
        <v>Q4</v>
      </c>
      <c r="C473" s="43" t="str">
        <f>IFERROR(Sheet1!C473,0)</f>
        <v>Europe</v>
      </c>
      <c r="D473" s="43" t="str">
        <f>IFERROR(Sheet1!F473,0)</f>
        <v>Italy</v>
      </c>
      <c r="E473" s="43" t="str">
        <f>IFERROR(Sheet1!E473,0)</f>
        <v>Fintyre Spa, Italy</v>
      </c>
      <c r="F473" s="43" t="str">
        <f>IFERROR(IF(UPPER(TRIM(Sheet1!J473))="NH","Nhava Sheva",IF(UPPER(TRIM(Sheet1!J473))="ICD","ICD Dhannad",IF(UPPER(TRIM(Sheet1!J473))="TIHI","ICD Tihi",Sheet1!J473))),0)</f>
        <v>ICD Tihi</v>
      </c>
      <c r="G473" s="43" t="str">
        <f>IFERROR(Sheet1!M473,0)</f>
        <v xml:space="preserve">CIVITAVECCAHIA </v>
      </c>
      <c r="H473" s="43" t="str">
        <f>IFERROR(Sheet1!H473,0)</f>
        <v>FEI Cargo</v>
      </c>
      <c r="I473" s="43" t="str">
        <f>IFERROR(Sheet1!G473,0)</f>
        <v>FOB</v>
      </c>
      <c r="J473" s="43" t="str">
        <f>IFERROR(Sheet1!K473,0)</f>
        <v>MSC</v>
      </c>
      <c r="K473" s="45">
        <f>IFERROR(Sheet1!A473,0)</f>
        <v>46093</v>
      </c>
      <c r="L473" s="45">
        <f>IFERROR(Sheet1!I473,0)</f>
        <v>46093</v>
      </c>
      <c r="M473" s="47" t="str">
        <f>IFERROR(Sheet1!P473,0)</f>
        <v>NA</v>
      </c>
      <c r="N473" s="46">
        <f>IFERROR(IF(ISNUMBER(Sheet1!N473),Sheet1!N473,0),0)</f>
        <v>0</v>
      </c>
      <c r="O473" s="46">
        <f>IFERROR(IF(TRIM(F473)="Nhava Sheva",SUMPRODUCT((UPPER(TRIM('Origin Costs'!$A$5:$A$44))=UPPER(TRIM(J473)))*'Origin Costs'!$C$5:$C$44),IF(TRIM(F473)="ICD Tihi",SUMPRODUCT((UPPER(TRIM('Origin Costs'!$A$49:$A$88))=UPPER(TRIM(J473)))*'Origin Costs'!$C$49:$C$88),IF(TRIM(F473)="ICD Dhannad",SUMPRODUCT((UPPER(TRIM('Origin Costs'!$A$93:$A$132))=UPPER(TRIM(J473)))*'Origin Costs'!$C$93:$C$132),0))),0)</f>
        <v>1081.3333333333333</v>
      </c>
      <c r="P473" s="46">
        <f t="shared" si="7"/>
        <v>1081.3333333333333</v>
      </c>
      <c r="Q473" s="13" t="str">
        <f>IF(OR(Dashboard!$C$4="All Customers",$E473=Dashboard!$C$4),IF($E473="","",$P473+ROW()/10000000),"")</f>
        <v/>
      </c>
    </row>
    <row r="474" spans="1:17" ht="14.25" customHeight="1" x14ac:dyDescent="0.3">
      <c r="A474" s="39" t="str">
        <f>IFERROR("FY"&amp;TEXT(MOD(IF(MONTH(Sheet1!A474)&gt;=4,YEAR(Sheet1!A474),YEAR(Sheet1!A474)-1),100),"00")&amp;"-"&amp;TEXT(MOD(IF(MONTH(Sheet1!A474)&gt;=4,YEAR(Sheet1!A474),YEAR(Sheet1!A474)-1)+1,100),"00"),"")</f>
        <v>FY25-26</v>
      </c>
      <c r="B474" s="40" t="str">
        <f>IFERROR("Q"&amp;IF(MONTH(Sheet1!A474)&gt;=4,IF(MONTH(Sheet1!A474)&lt;=6,1,IF(MONTH(Sheet1!A474)&lt;=9,2,3)),4),"")</f>
        <v>Q4</v>
      </c>
      <c r="C474" s="39" t="str">
        <f>IFERROR(Sheet1!C474,0)</f>
        <v>Europe</v>
      </c>
      <c r="D474" s="39" t="str">
        <f>IFERROR(Sheet1!F474,0)</f>
        <v>Latvia</v>
      </c>
      <c r="E474" s="39" t="str">
        <f>IFERROR(Sheet1!E474,0)</f>
        <v>SIA Inter Cars Latvija</v>
      </c>
      <c r="F474" s="39" t="str">
        <f>IFERROR(IF(UPPER(TRIM(Sheet1!J474))="NH","Nhava Sheva",IF(UPPER(TRIM(Sheet1!J474))="ICD","ICD Dhannad",IF(UPPER(TRIM(Sheet1!J474))="TIHI","ICD Tihi",Sheet1!J474))),0)</f>
        <v>Nhava Sheva</v>
      </c>
      <c r="G474" s="39" t="str">
        <f>IFERROR(Sheet1!M474,0)</f>
        <v>RIGA</v>
      </c>
      <c r="H474" s="39" t="str">
        <f>IFERROR(Sheet1!H474,0)</f>
        <v>Marinair Cargo</v>
      </c>
      <c r="I474" s="39" t="str">
        <f>IFERROR(Sheet1!G474,0)</f>
        <v>FOB</v>
      </c>
      <c r="J474" s="39" t="str">
        <f>IFERROR(Sheet1!K474,0)</f>
        <v>ONE</v>
      </c>
      <c r="K474" s="41">
        <f>IFERROR(Sheet1!A474,0)</f>
        <v>46093</v>
      </c>
      <c r="L474" s="41">
        <f>IFERROR(Sheet1!I474,0)</f>
        <v>46091</v>
      </c>
      <c r="M474" s="47" t="str">
        <f>IFERROR(Sheet1!P474,0)</f>
        <v>NA</v>
      </c>
      <c r="N474" s="42">
        <f>IFERROR(IF(ISNUMBER(Sheet1!N474),Sheet1!N474,0),0)</f>
        <v>0</v>
      </c>
      <c r="O474" s="42">
        <f>IFERROR(IF(TRIM(F474)="Nhava Sheva",SUMPRODUCT((UPPER(TRIM('Origin Costs'!$A$5:$A$44))=UPPER(TRIM(J474)))*'Origin Costs'!$C$5:$C$44),IF(TRIM(F474)="ICD Tihi",SUMPRODUCT((UPPER(TRIM('Origin Costs'!$A$49:$A$88))=UPPER(TRIM(J474)))*'Origin Costs'!$C$49:$C$88),IF(TRIM(F474)="ICD Dhannad",SUMPRODUCT((UPPER(TRIM('Origin Costs'!$A$93:$A$132))=UPPER(TRIM(J474)))*'Origin Costs'!$C$93:$C$132),0))),0)</f>
        <v>1146.5555555555557</v>
      </c>
      <c r="P474" s="42">
        <f t="shared" si="7"/>
        <v>1146.5555555555557</v>
      </c>
      <c r="Q474" s="13" t="str">
        <f>IF(OR(Dashboard!$C$4="All Customers",$E474=Dashboard!$C$4),IF($E474="","",$P474+ROW()/10000000),"")</f>
        <v/>
      </c>
    </row>
    <row r="475" spans="1:17" ht="14.25" customHeight="1" x14ac:dyDescent="0.3">
      <c r="A475" s="43" t="str">
        <f>IFERROR("FY"&amp;TEXT(MOD(IF(MONTH(Sheet1!A475)&gt;=4,YEAR(Sheet1!A475),YEAR(Sheet1!A475)-1),100),"00")&amp;"-"&amp;TEXT(MOD(IF(MONTH(Sheet1!A475)&gt;=4,YEAR(Sheet1!A475),YEAR(Sheet1!A475)-1)+1,100),"00"),"")</f>
        <v>FY25-26</v>
      </c>
      <c r="B475" s="44" t="str">
        <f>IFERROR("Q"&amp;IF(MONTH(Sheet1!A475)&gt;=4,IF(MONTH(Sheet1!A475)&lt;=6,1,IF(MONTH(Sheet1!A475)&lt;=9,2,3)),4),"")</f>
        <v>Q4</v>
      </c>
      <c r="C475" s="43" t="str">
        <f>IFERROR(Sheet1!C475,0)</f>
        <v>MEA</v>
      </c>
      <c r="D475" s="43" t="str">
        <f>IFERROR(Sheet1!F475,0)</f>
        <v>South Africa</v>
      </c>
      <c r="E475" s="43" t="str">
        <f>IFERROR(Sheet1!E475,0)</f>
        <v>Thomas Tyres, South Africa</v>
      </c>
      <c r="F475" s="43" t="str">
        <f>IFERROR(IF(UPPER(TRIM(Sheet1!J475))="NH","Nhava Sheva",IF(UPPER(TRIM(Sheet1!J475))="ICD","ICD Dhannad",IF(UPPER(TRIM(Sheet1!J475))="TIHI","ICD Tihi",Sheet1!J475))),0)</f>
        <v>ICD Tihi</v>
      </c>
      <c r="G475" s="43" t="str">
        <f>IFERROR(Sheet1!M475,0)</f>
        <v>Durban</v>
      </c>
      <c r="H475" s="43" t="str">
        <f>IFERROR(Sheet1!H475,0)</f>
        <v>Hellmann</v>
      </c>
      <c r="I475" s="43" t="str">
        <f>IFERROR(Sheet1!G475,0)</f>
        <v>CFR</v>
      </c>
      <c r="J475" s="43" t="str">
        <f>IFERROR(Sheet1!K475,0)</f>
        <v>Hapag</v>
      </c>
      <c r="K475" s="45">
        <f>IFERROR(Sheet1!A475,0)</f>
        <v>46093</v>
      </c>
      <c r="L475" s="45">
        <f>IFERROR(Sheet1!I475,0)</f>
        <v>46093</v>
      </c>
      <c r="M475" s="47" t="str">
        <f>IFERROR(Sheet1!P475,0)</f>
        <v>NA</v>
      </c>
      <c r="N475" s="46">
        <f>IFERROR(IF(ISNUMBER(Sheet1!N475),Sheet1!N475,0),0)</f>
        <v>1130</v>
      </c>
      <c r="O475" s="46">
        <f>IFERROR(IF(TRIM(F475)="Nhava Sheva",SUMPRODUCT((UPPER(TRIM('Origin Costs'!$A$5:$A$44))=UPPER(TRIM(J475)))*'Origin Costs'!$C$5:$C$44),IF(TRIM(F475)="ICD Tihi",SUMPRODUCT((UPPER(TRIM('Origin Costs'!$A$49:$A$88))=UPPER(TRIM(J475)))*'Origin Costs'!$C$49:$C$88),IF(TRIM(F475)="ICD Dhannad",SUMPRODUCT((UPPER(TRIM('Origin Costs'!$A$93:$A$132))=UPPER(TRIM(J475)))*'Origin Costs'!$C$93:$C$132),0))),0)</f>
        <v>1027.4444444444443</v>
      </c>
      <c r="P475" s="46">
        <f t="shared" si="7"/>
        <v>2157.4444444444443</v>
      </c>
      <c r="Q475" s="13" t="str">
        <f>IF(OR(Dashboard!$C$4="All Customers",$E475=Dashboard!$C$4),IF($E475="","",$P475+ROW()/10000000),"")</f>
        <v/>
      </c>
    </row>
    <row r="476" spans="1:17" ht="14.25" customHeight="1" x14ac:dyDescent="0.3">
      <c r="A476" s="39" t="str">
        <f>IFERROR("FY"&amp;TEXT(MOD(IF(MONTH(Sheet1!A476)&gt;=4,YEAR(Sheet1!A476),YEAR(Sheet1!A476)-1),100),"00")&amp;"-"&amp;TEXT(MOD(IF(MONTH(Sheet1!A476)&gt;=4,YEAR(Sheet1!A476),YEAR(Sheet1!A476)-1)+1,100),"00"),"")</f>
        <v>FY25-26</v>
      </c>
      <c r="B476" s="40" t="str">
        <f>IFERROR("Q"&amp;IF(MONTH(Sheet1!A476)&gt;=4,IF(MONTH(Sheet1!A476)&lt;=6,1,IF(MONTH(Sheet1!A476)&lt;=9,2,3)),4),"")</f>
        <v>Q4</v>
      </c>
      <c r="C476" s="39" t="str">
        <f>IFERROR(Sheet1!C476,0)</f>
        <v>CIS</v>
      </c>
      <c r="D476" s="39" t="str">
        <f>IFERROR(Sheet1!F476,0)</f>
        <v>Russia</v>
      </c>
      <c r="E476" s="39" t="str">
        <f>IFERROR(Sheet1!E476,0)</f>
        <v>STALKER LTD, Russia</v>
      </c>
      <c r="F476" s="39" t="str">
        <f>IFERROR(IF(UPPER(TRIM(Sheet1!J476))="NH","Nhava Sheva",IF(UPPER(TRIM(Sheet1!J476))="ICD","ICD Dhannad",IF(UPPER(TRIM(Sheet1!J476))="TIHI","ICD Tihi",Sheet1!J476))),0)</f>
        <v>Nhava Sheva</v>
      </c>
      <c r="G476" s="39" t="str">
        <f>IFERROR(Sheet1!M476,0)</f>
        <v>NOVOROSSIYSK</v>
      </c>
      <c r="H476" s="39" t="str">
        <f>IFERROR(Sheet1!H476,0)</f>
        <v>Vaaridhi</v>
      </c>
      <c r="I476" s="39" t="str">
        <f>IFERROR(Sheet1!G476,0)</f>
        <v>CFR</v>
      </c>
      <c r="J476" s="39" t="str">
        <f>IFERROR(Sheet1!K476,0)</f>
        <v>Econship</v>
      </c>
      <c r="K476" s="41">
        <f>IFERROR(Sheet1!A476,0)</f>
        <v>46094</v>
      </c>
      <c r="L476" s="41">
        <f>IFERROR(Sheet1!I476,0)</f>
        <v>46092</v>
      </c>
      <c r="M476" s="47" t="str">
        <f>IFERROR(Sheet1!P476,0)</f>
        <v>NA</v>
      </c>
      <c r="N476" s="42">
        <f>IFERROR(IF(ISNUMBER(Sheet1!N476),Sheet1!N476,0),0)</f>
        <v>5000</v>
      </c>
      <c r="O476" s="42">
        <f>IFERROR(IF(TRIM(F476)="Nhava Sheva",SUMPRODUCT((UPPER(TRIM('Origin Costs'!$A$5:$A$44))=UPPER(TRIM(J476)))*'Origin Costs'!$C$5:$C$44),IF(TRIM(F476)="ICD Tihi",SUMPRODUCT((UPPER(TRIM('Origin Costs'!$A$49:$A$88))=UPPER(TRIM(J476)))*'Origin Costs'!$C$49:$C$88),IF(TRIM(F476)="ICD Dhannad",SUMPRODUCT((UPPER(TRIM('Origin Costs'!$A$93:$A$132))=UPPER(TRIM(J476)))*'Origin Costs'!$C$93:$C$132),0))),0)</f>
        <v>0</v>
      </c>
      <c r="P476" s="42">
        <f t="shared" si="7"/>
        <v>5000</v>
      </c>
      <c r="Q476" s="13" t="str">
        <f>IF(OR(Dashboard!$C$4="All Customers",$E476=Dashboard!$C$4),IF($E476="","",$P476+ROW()/10000000),"")</f>
        <v/>
      </c>
    </row>
    <row r="477" spans="1:17" ht="14.25" customHeight="1" x14ac:dyDescent="0.3">
      <c r="A477" s="43" t="str">
        <f>IFERROR("FY"&amp;TEXT(MOD(IF(MONTH(Sheet1!A477)&gt;=4,YEAR(Sheet1!A477),YEAR(Sheet1!A477)-1),100),"00")&amp;"-"&amp;TEXT(MOD(IF(MONTH(Sheet1!A477)&gt;=4,YEAR(Sheet1!A477),YEAR(Sheet1!A477)-1)+1,100),"00"),"")</f>
        <v>FY25-26</v>
      </c>
      <c r="B477" s="44" t="str">
        <f>IFERROR("Q"&amp;IF(MONTH(Sheet1!A477)&gt;=4,IF(MONTH(Sheet1!A477)&lt;=6,1,IF(MONTH(Sheet1!A477)&lt;=9,2,3)),4),"")</f>
        <v>Q4</v>
      </c>
      <c r="C477" s="43" t="str">
        <f>IFERROR(Sheet1!C477,0)</f>
        <v>S.A</v>
      </c>
      <c r="D477" s="43" t="str">
        <f>IFERROR(Sheet1!F477,0)</f>
        <v>Puerto Rico</v>
      </c>
      <c r="E477" s="43" t="str">
        <f>IFERROR(Sheet1!E477,0)</f>
        <v>Correa Tire Distributor Inc, Puerte Rico</v>
      </c>
      <c r="F477" s="43" t="str">
        <f>IFERROR(IF(UPPER(TRIM(Sheet1!J477))="NH","Nhava Sheva",IF(UPPER(TRIM(Sheet1!J477))="ICD","ICD Dhannad",IF(UPPER(TRIM(Sheet1!J477))="TIHI","ICD Tihi",Sheet1!J477))),0)</f>
        <v>Nhava Sheva</v>
      </c>
      <c r="G477" s="43" t="str">
        <f>IFERROR(Sheet1!M477,0)</f>
        <v>San Juan</v>
      </c>
      <c r="H477" s="43" t="str">
        <f>IFERROR(Sheet1!H477,0)</f>
        <v>Expo Freight</v>
      </c>
      <c r="I477" s="43" t="str">
        <f>IFERROR(Sheet1!G477,0)</f>
        <v>FOB</v>
      </c>
      <c r="J477" s="43" t="str">
        <f>IFERROR(Sheet1!K477,0)</f>
        <v>Hapag</v>
      </c>
      <c r="K477" s="45">
        <f>IFERROR(Sheet1!A477,0)</f>
        <v>46095</v>
      </c>
      <c r="L477" s="45">
        <f>IFERROR(Sheet1!I477,0)</f>
        <v>46093</v>
      </c>
      <c r="M477" s="47" t="str">
        <f>IFERROR(Sheet1!P477,0)</f>
        <v>NA</v>
      </c>
      <c r="N477" s="46">
        <f>IFERROR(IF(ISNUMBER(Sheet1!N477),Sheet1!N477,0),0)</f>
        <v>0</v>
      </c>
      <c r="O477" s="46">
        <f>IFERROR(IF(TRIM(F477)="Nhava Sheva",SUMPRODUCT((UPPER(TRIM('Origin Costs'!$A$5:$A$44))=UPPER(TRIM(J477)))*'Origin Costs'!$C$5:$C$44),IF(TRIM(F477)="ICD Tihi",SUMPRODUCT((UPPER(TRIM('Origin Costs'!$A$49:$A$88))=UPPER(TRIM(J477)))*'Origin Costs'!$C$49:$C$88),IF(TRIM(F477)="ICD Dhannad",SUMPRODUCT((UPPER(TRIM('Origin Costs'!$A$93:$A$132))=UPPER(TRIM(J477)))*'Origin Costs'!$C$93:$C$132),0))),0)</f>
        <v>1192.9777777777779</v>
      </c>
      <c r="P477" s="46">
        <f t="shared" si="7"/>
        <v>1192.9777777777779</v>
      </c>
      <c r="Q477" s="13" t="str">
        <f>IF(OR(Dashboard!$C$4="All Customers",$E477=Dashboard!$C$4),IF($E477="","",$P477+ROW()/10000000),"")</f>
        <v/>
      </c>
    </row>
    <row r="478" spans="1:17" ht="14.25" customHeight="1" x14ac:dyDescent="0.3">
      <c r="A478" s="39" t="str">
        <f>IFERROR("FY"&amp;TEXT(MOD(IF(MONTH(Sheet1!A478)&gt;=4,YEAR(Sheet1!A478),YEAR(Sheet1!A478)-1),100),"00")&amp;"-"&amp;TEXT(MOD(IF(MONTH(Sheet1!A478)&gt;=4,YEAR(Sheet1!A478),YEAR(Sheet1!A478)-1)+1,100),"00"),"")</f>
        <v>FY25-26</v>
      </c>
      <c r="B478" s="40" t="str">
        <f>IFERROR("Q"&amp;IF(MONTH(Sheet1!A478)&gt;=4,IF(MONTH(Sheet1!A478)&lt;=6,1,IF(MONTH(Sheet1!A478)&lt;=9,2,3)),4),"")</f>
        <v>Q4</v>
      </c>
      <c r="C478" s="39" t="str">
        <f>IFERROR(Sheet1!C478,0)</f>
        <v>Europe</v>
      </c>
      <c r="D478" s="39" t="str">
        <f>IFERROR(Sheet1!F478,0)</f>
        <v>Bulgaria</v>
      </c>
      <c r="E478" s="39" t="str">
        <f>IFERROR(Sheet1!E478,0)</f>
        <v>Transcar Vladi EOOD</v>
      </c>
      <c r="F478" s="39" t="str">
        <f>IFERROR(IF(UPPER(TRIM(Sheet1!J478))="NH","Nhava Sheva",IF(UPPER(TRIM(Sheet1!J478))="ICD","ICD Dhannad",IF(UPPER(TRIM(Sheet1!J478))="TIHI","ICD Tihi",Sheet1!J478))),0)</f>
        <v>Nhava Sheva</v>
      </c>
      <c r="G478" s="39" t="str">
        <f>IFERROR(Sheet1!M478,0)</f>
        <v>THESSALONIKI</v>
      </c>
      <c r="H478" s="39" t="str">
        <f>IFERROR(Sheet1!H478,0)</f>
        <v>Fortune GLS</v>
      </c>
      <c r="I478" s="39" t="str">
        <f>IFERROR(Sheet1!G478,0)</f>
        <v>FOB</v>
      </c>
      <c r="J478" s="39" t="str">
        <f>IFERROR(Sheet1!K478,0)</f>
        <v>Maersk</v>
      </c>
      <c r="K478" s="41">
        <f>IFERROR(Sheet1!A478,0)</f>
        <v>46095</v>
      </c>
      <c r="L478" s="41">
        <f>IFERROR(Sheet1!I478,0)</f>
        <v>46093</v>
      </c>
      <c r="M478" s="47" t="str">
        <f>IFERROR(Sheet1!P478,0)</f>
        <v>NA</v>
      </c>
      <c r="N478" s="42">
        <f>IFERROR(IF(ISNUMBER(Sheet1!N478),Sheet1!N478,0),0)</f>
        <v>0</v>
      </c>
      <c r="O478" s="42">
        <f>IFERROR(IF(TRIM(F478)="Nhava Sheva",SUMPRODUCT((UPPER(TRIM('Origin Costs'!$A$5:$A$44))=UPPER(TRIM(J478)))*'Origin Costs'!$C$5:$C$44),IF(TRIM(F478)="ICD Tihi",SUMPRODUCT((UPPER(TRIM('Origin Costs'!$A$49:$A$88))=UPPER(TRIM(J478)))*'Origin Costs'!$C$49:$C$88),IF(TRIM(F478)="ICD Dhannad",SUMPRODUCT((UPPER(TRIM('Origin Costs'!$A$93:$A$132))=UPPER(TRIM(J478)))*'Origin Costs'!$C$93:$C$132),0))),0)</f>
        <v>1148.588888888889</v>
      </c>
      <c r="P478" s="42">
        <f t="shared" si="7"/>
        <v>1148.588888888889</v>
      </c>
      <c r="Q478" s="13" t="str">
        <f>IF(OR(Dashboard!$C$4="All Customers",$E478=Dashboard!$C$4),IF($E478="","",$P478+ROW()/10000000),"")</f>
        <v/>
      </c>
    </row>
    <row r="479" spans="1:17" ht="14.25" customHeight="1" x14ac:dyDescent="0.3">
      <c r="A479" s="43" t="str">
        <f>IFERROR("FY"&amp;TEXT(MOD(IF(MONTH(Sheet1!A479)&gt;=4,YEAR(Sheet1!A479),YEAR(Sheet1!A479)-1),100),"00")&amp;"-"&amp;TEXT(MOD(IF(MONTH(Sheet1!A479)&gt;=4,YEAR(Sheet1!A479),YEAR(Sheet1!A479)-1)+1,100),"00"),"")</f>
        <v>FY25-26</v>
      </c>
      <c r="B479" s="44" t="str">
        <f>IFERROR("Q"&amp;IF(MONTH(Sheet1!A479)&gt;=4,IF(MONTH(Sheet1!A479)&lt;=6,1,IF(MONTH(Sheet1!A479)&lt;=9,2,3)),4),"")</f>
        <v>Q4</v>
      </c>
      <c r="C479" s="43" t="str">
        <f>IFERROR(Sheet1!C479,0)</f>
        <v>Europe</v>
      </c>
      <c r="D479" s="43" t="str">
        <f>IFERROR(Sheet1!F479,0)</f>
        <v>Bulgaria</v>
      </c>
      <c r="E479" s="43" t="str">
        <f>IFERROR(Sheet1!E479,0)</f>
        <v>Transcar Vladi EOOD</v>
      </c>
      <c r="F479" s="43" t="str">
        <f>IFERROR(IF(UPPER(TRIM(Sheet1!J479))="NH","Nhava Sheva",IF(UPPER(TRIM(Sheet1!J479))="ICD","ICD Dhannad",IF(UPPER(TRIM(Sheet1!J479))="TIHI","ICD Tihi",Sheet1!J479))),0)</f>
        <v>Nhava Sheva</v>
      </c>
      <c r="G479" s="43" t="str">
        <f>IFERROR(Sheet1!M479,0)</f>
        <v>THESSALONIKI</v>
      </c>
      <c r="H479" s="43" t="str">
        <f>IFERROR(Sheet1!H479,0)</f>
        <v>Fortune GLS</v>
      </c>
      <c r="I479" s="43" t="str">
        <f>IFERROR(Sheet1!G479,0)</f>
        <v>FOB</v>
      </c>
      <c r="J479" s="43" t="str">
        <f>IFERROR(Sheet1!K479,0)</f>
        <v>Maersk</v>
      </c>
      <c r="K479" s="45">
        <f>IFERROR(Sheet1!A479,0)</f>
        <v>46095</v>
      </c>
      <c r="L479" s="45">
        <f>IFERROR(Sheet1!I479,0)</f>
        <v>46093</v>
      </c>
      <c r="M479" s="47" t="str">
        <f>IFERROR(Sheet1!P479,0)</f>
        <v>NA</v>
      </c>
      <c r="N479" s="46">
        <f>IFERROR(IF(ISNUMBER(Sheet1!N479),Sheet1!N479,0),0)</f>
        <v>0</v>
      </c>
      <c r="O479" s="46">
        <f>IFERROR(IF(TRIM(F479)="Nhava Sheva",SUMPRODUCT((UPPER(TRIM('Origin Costs'!$A$5:$A$44))=UPPER(TRIM(J479)))*'Origin Costs'!$C$5:$C$44),IF(TRIM(F479)="ICD Tihi",SUMPRODUCT((UPPER(TRIM('Origin Costs'!$A$49:$A$88))=UPPER(TRIM(J479)))*'Origin Costs'!$C$49:$C$88),IF(TRIM(F479)="ICD Dhannad",SUMPRODUCT((UPPER(TRIM('Origin Costs'!$A$93:$A$132))=UPPER(TRIM(J479)))*'Origin Costs'!$C$93:$C$132),0))),0)</f>
        <v>1148.588888888889</v>
      </c>
      <c r="P479" s="46">
        <f t="shared" si="7"/>
        <v>1148.588888888889</v>
      </c>
      <c r="Q479" s="13" t="str">
        <f>IF(OR(Dashboard!$C$4="All Customers",$E479=Dashboard!$C$4),IF($E479="","",$P479+ROW()/10000000),"")</f>
        <v/>
      </c>
    </row>
    <row r="480" spans="1:17" ht="14.25" customHeight="1" x14ac:dyDescent="0.3">
      <c r="A480" s="39" t="str">
        <f>IFERROR("FY"&amp;TEXT(MOD(IF(MONTH(Sheet1!A480)&gt;=4,YEAR(Sheet1!A480),YEAR(Sheet1!A480)-1),100),"00")&amp;"-"&amp;TEXT(MOD(IF(MONTH(Sheet1!A480)&gt;=4,YEAR(Sheet1!A480),YEAR(Sheet1!A480)-1)+1,100),"00"),"")</f>
        <v>FY25-26</v>
      </c>
      <c r="B480" s="40" t="str">
        <f>IFERROR("Q"&amp;IF(MONTH(Sheet1!A480)&gt;=4,IF(MONTH(Sheet1!A480)&lt;=6,1,IF(MONTH(Sheet1!A480)&lt;=9,2,3)),4),"")</f>
        <v>Q4</v>
      </c>
      <c r="C480" s="39" t="str">
        <f>IFERROR(Sheet1!C480,0)</f>
        <v>Europe</v>
      </c>
      <c r="D480" s="39" t="str">
        <f>IFERROR(Sheet1!F480,0)</f>
        <v>Bulgaria</v>
      </c>
      <c r="E480" s="39" t="str">
        <f>IFERROR(Sheet1!E480,0)</f>
        <v>Transcar Vladi EOOD</v>
      </c>
      <c r="F480" s="39" t="str">
        <f>IFERROR(IF(UPPER(TRIM(Sheet1!J480))="NH","Nhava Sheva",IF(UPPER(TRIM(Sheet1!J480))="ICD","ICD Dhannad",IF(UPPER(TRIM(Sheet1!J480))="TIHI","ICD Tihi",Sheet1!J480))),0)</f>
        <v>Nhava Sheva</v>
      </c>
      <c r="G480" s="39" t="str">
        <f>IFERROR(Sheet1!M480,0)</f>
        <v>THESSALONIKI</v>
      </c>
      <c r="H480" s="39" t="str">
        <f>IFERROR(Sheet1!H480,0)</f>
        <v>Fortune GLS</v>
      </c>
      <c r="I480" s="39" t="str">
        <f>IFERROR(Sheet1!G480,0)</f>
        <v>FOB</v>
      </c>
      <c r="J480" s="39" t="str">
        <f>IFERROR(Sheet1!K480,0)</f>
        <v>Maersk</v>
      </c>
      <c r="K480" s="41">
        <f>IFERROR(Sheet1!A480,0)</f>
        <v>46095</v>
      </c>
      <c r="L480" s="41">
        <f>IFERROR(Sheet1!I480,0)</f>
        <v>46093</v>
      </c>
      <c r="M480" s="47" t="str">
        <f>IFERROR(Sheet1!P480,0)</f>
        <v>NA</v>
      </c>
      <c r="N480" s="42">
        <f>IFERROR(IF(ISNUMBER(Sheet1!N480),Sheet1!N480,0),0)</f>
        <v>0</v>
      </c>
      <c r="O480" s="42">
        <f>IFERROR(IF(TRIM(F480)="Nhava Sheva",SUMPRODUCT((UPPER(TRIM('Origin Costs'!$A$5:$A$44))=UPPER(TRIM(J480)))*'Origin Costs'!$C$5:$C$44),IF(TRIM(F480)="ICD Tihi",SUMPRODUCT((UPPER(TRIM('Origin Costs'!$A$49:$A$88))=UPPER(TRIM(J480)))*'Origin Costs'!$C$49:$C$88),IF(TRIM(F480)="ICD Dhannad",SUMPRODUCT((UPPER(TRIM('Origin Costs'!$A$93:$A$132))=UPPER(TRIM(J480)))*'Origin Costs'!$C$93:$C$132),0))),0)</f>
        <v>1148.588888888889</v>
      </c>
      <c r="P480" s="42">
        <f t="shared" si="7"/>
        <v>1148.588888888889</v>
      </c>
      <c r="Q480" s="13" t="str">
        <f>IF(OR(Dashboard!$C$4="All Customers",$E480=Dashboard!$C$4),IF($E480="","",$P480+ROW()/10000000),"")</f>
        <v/>
      </c>
    </row>
    <row r="481" spans="1:17" ht="14.25" customHeight="1" x14ac:dyDescent="0.3">
      <c r="A481" s="43" t="str">
        <f>IFERROR("FY"&amp;TEXT(MOD(IF(MONTH(Sheet1!A481)&gt;=4,YEAR(Sheet1!A481),YEAR(Sheet1!A481)-1),100),"00")&amp;"-"&amp;TEXT(MOD(IF(MONTH(Sheet1!A481)&gt;=4,YEAR(Sheet1!A481),YEAR(Sheet1!A481)-1)+1,100),"00"),"")</f>
        <v>FY25-26</v>
      </c>
      <c r="B481" s="44" t="str">
        <f>IFERROR("Q"&amp;IF(MONTH(Sheet1!A481)&gt;=4,IF(MONTH(Sheet1!A481)&lt;=6,1,IF(MONTH(Sheet1!A481)&lt;=9,2,3)),4),"")</f>
        <v>Q4</v>
      </c>
      <c r="C481" s="43" t="str">
        <f>IFERROR(Sheet1!C481,0)</f>
        <v>MEA</v>
      </c>
      <c r="D481" s="43" t="str">
        <f>IFERROR(Sheet1!F481,0)</f>
        <v>South Africa</v>
      </c>
      <c r="E481" s="43" t="str">
        <f>IFERROR(Sheet1!E481,0)</f>
        <v>ROYAL TYRES COMMERCIAL (PTY) LTD</v>
      </c>
      <c r="F481" s="43" t="str">
        <f>IFERROR(IF(UPPER(TRIM(Sheet1!J481))="NH","Nhava Sheva",IF(UPPER(TRIM(Sheet1!J481))="ICD","ICD Dhannad",IF(UPPER(TRIM(Sheet1!J481))="TIHI","ICD Tihi",Sheet1!J481))),0)</f>
        <v>ICD Tihi</v>
      </c>
      <c r="G481" s="43" t="str">
        <f>IFERROR(Sheet1!M481,0)</f>
        <v>Durban</v>
      </c>
      <c r="H481" s="43" t="str">
        <f>IFERROR(Sheet1!H481,0)</f>
        <v>Hellmann</v>
      </c>
      <c r="I481" s="43" t="str">
        <f>IFERROR(Sheet1!G481,0)</f>
        <v>CFR</v>
      </c>
      <c r="J481" s="43" t="str">
        <f>IFERROR(Sheet1!K481,0)</f>
        <v>Hapag</v>
      </c>
      <c r="K481" s="45">
        <f>IFERROR(Sheet1!A481,0)</f>
        <v>46096</v>
      </c>
      <c r="L481" s="45">
        <f>IFERROR(Sheet1!I481,0)</f>
        <v>46094</v>
      </c>
      <c r="M481" s="47" t="str">
        <f>IFERROR(Sheet1!P481,0)</f>
        <v>NA</v>
      </c>
      <c r="N481" s="46">
        <f>IFERROR(IF(ISNUMBER(Sheet1!N481),Sheet1!N481,0),0)</f>
        <v>1130</v>
      </c>
      <c r="O481" s="46">
        <f>IFERROR(IF(TRIM(F481)="Nhava Sheva",SUMPRODUCT((UPPER(TRIM('Origin Costs'!$A$5:$A$44))=UPPER(TRIM(J481)))*'Origin Costs'!$C$5:$C$44),IF(TRIM(F481)="ICD Tihi",SUMPRODUCT((UPPER(TRIM('Origin Costs'!$A$49:$A$88))=UPPER(TRIM(J481)))*'Origin Costs'!$C$49:$C$88),IF(TRIM(F481)="ICD Dhannad",SUMPRODUCT((UPPER(TRIM('Origin Costs'!$A$93:$A$132))=UPPER(TRIM(J481)))*'Origin Costs'!$C$93:$C$132),0))),0)</f>
        <v>1027.4444444444443</v>
      </c>
      <c r="P481" s="46">
        <f t="shared" si="7"/>
        <v>2157.4444444444443</v>
      </c>
      <c r="Q481" s="13" t="str">
        <f>IF(OR(Dashboard!$C$4="All Customers",$E481=Dashboard!$C$4),IF($E481="","",$P481+ROW()/10000000),"")</f>
        <v/>
      </c>
    </row>
    <row r="482" spans="1:17" ht="14.25" customHeight="1" x14ac:dyDescent="0.3">
      <c r="A482" s="39" t="str">
        <f>IFERROR("FY"&amp;TEXT(MOD(IF(MONTH(Sheet1!A482)&gt;=4,YEAR(Sheet1!A482),YEAR(Sheet1!A482)-1),100),"00")&amp;"-"&amp;TEXT(MOD(IF(MONTH(Sheet1!A482)&gt;=4,YEAR(Sheet1!A482),YEAR(Sheet1!A482)-1)+1,100),"00"),"")</f>
        <v>FY25-26</v>
      </c>
      <c r="B482" s="40" t="str">
        <f>IFERROR("Q"&amp;IF(MONTH(Sheet1!A482)&gt;=4,IF(MONTH(Sheet1!A482)&lt;=6,1,IF(MONTH(Sheet1!A482)&lt;=9,2,3)),4),"")</f>
        <v>Q4</v>
      </c>
      <c r="C482" s="39" t="str">
        <f>IFERROR(Sheet1!C482,0)</f>
        <v>MEA</v>
      </c>
      <c r="D482" s="39" t="str">
        <f>IFERROR(Sheet1!F482,0)</f>
        <v>South Africa</v>
      </c>
      <c r="E482" s="39" t="str">
        <f>IFERROR(Sheet1!E482,0)</f>
        <v>ROYAL TYRES COMMERCIAL (PTY) LTD</v>
      </c>
      <c r="F482" s="39" t="str">
        <f>IFERROR(IF(UPPER(TRIM(Sheet1!J482))="NH","Nhava Sheva",IF(UPPER(TRIM(Sheet1!J482))="ICD","ICD Dhannad",IF(UPPER(TRIM(Sheet1!J482))="TIHI","ICD Tihi",Sheet1!J482))),0)</f>
        <v>ICD Tihi</v>
      </c>
      <c r="G482" s="39" t="str">
        <f>IFERROR(Sheet1!M482,0)</f>
        <v>Durban</v>
      </c>
      <c r="H482" s="39" t="str">
        <f>IFERROR(Sheet1!H482,0)</f>
        <v>Hellmann</v>
      </c>
      <c r="I482" s="39" t="str">
        <f>IFERROR(Sheet1!G482,0)</f>
        <v>CFR</v>
      </c>
      <c r="J482" s="39" t="str">
        <f>IFERROR(Sheet1!K482,0)</f>
        <v>Hapag</v>
      </c>
      <c r="K482" s="41">
        <f>IFERROR(Sheet1!A482,0)</f>
        <v>46096</v>
      </c>
      <c r="L482" s="41">
        <f>IFERROR(Sheet1!I482,0)</f>
        <v>46094</v>
      </c>
      <c r="M482" s="47" t="str">
        <f>IFERROR(Sheet1!P482,0)</f>
        <v>NA</v>
      </c>
      <c r="N482" s="42">
        <f>IFERROR(IF(ISNUMBER(Sheet1!N482),Sheet1!N482,0),0)</f>
        <v>1130</v>
      </c>
      <c r="O482" s="42">
        <f>IFERROR(IF(TRIM(F482)="Nhava Sheva",SUMPRODUCT((UPPER(TRIM('Origin Costs'!$A$5:$A$44))=UPPER(TRIM(J482)))*'Origin Costs'!$C$5:$C$44),IF(TRIM(F482)="ICD Tihi",SUMPRODUCT((UPPER(TRIM('Origin Costs'!$A$49:$A$88))=UPPER(TRIM(J482)))*'Origin Costs'!$C$49:$C$88),IF(TRIM(F482)="ICD Dhannad",SUMPRODUCT((UPPER(TRIM('Origin Costs'!$A$93:$A$132))=UPPER(TRIM(J482)))*'Origin Costs'!$C$93:$C$132),0))),0)</f>
        <v>1027.4444444444443</v>
      </c>
      <c r="P482" s="42">
        <f t="shared" si="7"/>
        <v>2157.4444444444443</v>
      </c>
      <c r="Q482" s="13" t="str">
        <f>IF(OR(Dashboard!$C$4="All Customers",$E482=Dashboard!$C$4),IF($E482="","",$P482+ROW()/10000000),"")</f>
        <v/>
      </c>
    </row>
    <row r="483" spans="1:17" ht="14.25" customHeight="1" x14ac:dyDescent="0.3">
      <c r="A483" s="43" t="str">
        <f>IFERROR("FY"&amp;TEXT(MOD(IF(MONTH(Sheet1!A483)&gt;=4,YEAR(Sheet1!A483),YEAR(Sheet1!A483)-1),100),"00")&amp;"-"&amp;TEXT(MOD(IF(MONTH(Sheet1!A483)&gt;=4,YEAR(Sheet1!A483),YEAR(Sheet1!A483)-1)+1,100),"00"),"")</f>
        <v>FY25-26</v>
      </c>
      <c r="B483" s="44" t="str">
        <f>IFERROR("Q"&amp;IF(MONTH(Sheet1!A483)&gt;=4,IF(MONTH(Sheet1!A483)&lt;=6,1,IF(MONTH(Sheet1!A483)&lt;=9,2,3)),4),"")</f>
        <v>Q4</v>
      </c>
      <c r="C483" s="43" t="str">
        <f>IFERROR(Sheet1!C483,0)</f>
        <v>Europe</v>
      </c>
      <c r="D483" s="43" t="str">
        <f>IFERROR(Sheet1!F483,0)</f>
        <v>Croatia</v>
      </c>
      <c r="E483" s="43" t="str">
        <f>IFERROR(Sheet1!E483,0)</f>
        <v>Inter Cars d.o.o., Croatia</v>
      </c>
      <c r="F483" s="43" t="str">
        <f>IFERROR(IF(UPPER(TRIM(Sheet1!J483))="NH","Nhava Sheva",IF(UPPER(TRIM(Sheet1!J483))="ICD","ICD Dhannad",IF(UPPER(TRIM(Sheet1!J483))="TIHI","ICD Tihi",Sheet1!J483))),0)</f>
        <v>Nhava Sheva</v>
      </c>
      <c r="G483" s="43" t="str">
        <f>IFERROR(Sheet1!M483,0)</f>
        <v>Rijeka</v>
      </c>
      <c r="H483" s="43" t="str">
        <f>IFERROR(Sheet1!H483,0)</f>
        <v>Kuehne Nagel</v>
      </c>
      <c r="I483" s="43" t="str">
        <f>IFERROR(Sheet1!G483,0)</f>
        <v>FOB</v>
      </c>
      <c r="J483" s="43" t="str">
        <f>IFERROR(Sheet1!K483,0)</f>
        <v>MSC</v>
      </c>
      <c r="K483" s="45">
        <f>IFERROR(Sheet1!A483,0)</f>
        <v>46098</v>
      </c>
      <c r="L483" s="45">
        <f>IFERROR(Sheet1!I483,0)</f>
        <v>46096</v>
      </c>
      <c r="M483" s="47" t="str">
        <f>IFERROR(Sheet1!P483,0)</f>
        <v>NA</v>
      </c>
      <c r="N483" s="46">
        <f>IFERROR(IF(ISNUMBER(Sheet1!N483),Sheet1!N483,0),0)</f>
        <v>0</v>
      </c>
      <c r="O483" s="46">
        <f>IFERROR(IF(TRIM(F483)="Nhava Sheva",SUMPRODUCT((UPPER(TRIM('Origin Costs'!$A$5:$A$44))=UPPER(TRIM(J483)))*'Origin Costs'!$C$5:$C$44),IF(TRIM(F483)="ICD Tihi",SUMPRODUCT((UPPER(TRIM('Origin Costs'!$A$49:$A$88))=UPPER(TRIM(J483)))*'Origin Costs'!$C$49:$C$88),IF(TRIM(F483)="ICD Dhannad",SUMPRODUCT((UPPER(TRIM('Origin Costs'!$A$93:$A$132))=UPPER(TRIM(J483)))*'Origin Costs'!$C$93:$C$132),0))),0)</f>
        <v>1168.8222222222223</v>
      </c>
      <c r="P483" s="46">
        <f t="shared" si="7"/>
        <v>1168.8222222222223</v>
      </c>
      <c r="Q483" s="13" t="str">
        <f>IF(OR(Dashboard!$C$4="All Customers",$E483=Dashboard!$C$4),IF($E483="","",$P483+ROW()/10000000),"")</f>
        <v/>
      </c>
    </row>
    <row r="484" spans="1:17" ht="14.25" customHeight="1" x14ac:dyDescent="0.3">
      <c r="A484" s="39" t="str">
        <f>IFERROR("FY"&amp;TEXT(MOD(IF(MONTH(Sheet1!A484)&gt;=4,YEAR(Sheet1!A484),YEAR(Sheet1!A484)-1),100),"00")&amp;"-"&amp;TEXT(MOD(IF(MONTH(Sheet1!A484)&gt;=4,YEAR(Sheet1!A484),YEAR(Sheet1!A484)-1)+1,100),"00"),"")</f>
        <v>FY25-26</v>
      </c>
      <c r="B484" s="40" t="str">
        <f>IFERROR("Q"&amp;IF(MONTH(Sheet1!A484)&gt;=4,IF(MONTH(Sheet1!A484)&lt;=6,1,IF(MONTH(Sheet1!A484)&lt;=9,2,3)),4),"")</f>
        <v>Q4</v>
      </c>
      <c r="C484" s="39" t="str">
        <f>IFERROR(Sheet1!C484,0)</f>
        <v>MEA</v>
      </c>
      <c r="D484" s="39" t="str">
        <f>IFERROR(Sheet1!F484,0)</f>
        <v>South Africa</v>
      </c>
      <c r="E484" s="39" t="str">
        <f>IFERROR(Sheet1!E484,0)</f>
        <v>ROYAL TYRES COMMERCIAL (PTY) LTD</v>
      </c>
      <c r="F484" s="39" t="str">
        <f>IFERROR(IF(UPPER(TRIM(Sheet1!J484))="NH","Nhava Sheva",IF(UPPER(TRIM(Sheet1!J484))="ICD","ICD Dhannad",IF(UPPER(TRIM(Sheet1!J484))="TIHI","ICD Tihi",Sheet1!J484))),0)</f>
        <v>ICD Tihi</v>
      </c>
      <c r="G484" s="39" t="str">
        <f>IFERROR(Sheet1!M484,0)</f>
        <v>Durban</v>
      </c>
      <c r="H484" s="39" t="str">
        <f>IFERROR(Sheet1!H484,0)</f>
        <v>Hellmann</v>
      </c>
      <c r="I484" s="39" t="str">
        <f>IFERROR(Sheet1!G484,0)</f>
        <v>CFR</v>
      </c>
      <c r="J484" s="39" t="str">
        <f>IFERROR(Sheet1!K484,0)</f>
        <v>Hapag</v>
      </c>
      <c r="K484" s="41">
        <f>IFERROR(Sheet1!A484,0)</f>
        <v>46098</v>
      </c>
      <c r="L484" s="41">
        <f>IFERROR(Sheet1!I484,0)</f>
        <v>46094</v>
      </c>
      <c r="M484" s="47" t="str">
        <f>IFERROR(Sheet1!P484,0)</f>
        <v>NA</v>
      </c>
      <c r="N484" s="42">
        <f>IFERROR(IF(ISNUMBER(Sheet1!N484),Sheet1!N484,0),0)</f>
        <v>1130</v>
      </c>
      <c r="O484" s="42">
        <f>IFERROR(IF(TRIM(F484)="Nhava Sheva",SUMPRODUCT((UPPER(TRIM('Origin Costs'!$A$5:$A$44))=UPPER(TRIM(J484)))*'Origin Costs'!$C$5:$C$44),IF(TRIM(F484)="ICD Tihi",SUMPRODUCT((UPPER(TRIM('Origin Costs'!$A$49:$A$88))=UPPER(TRIM(J484)))*'Origin Costs'!$C$49:$C$88),IF(TRIM(F484)="ICD Dhannad",SUMPRODUCT((UPPER(TRIM('Origin Costs'!$A$93:$A$132))=UPPER(TRIM(J484)))*'Origin Costs'!$C$93:$C$132),0))),0)</f>
        <v>1027.4444444444443</v>
      </c>
      <c r="P484" s="42">
        <f t="shared" si="7"/>
        <v>2157.4444444444443</v>
      </c>
      <c r="Q484" s="13" t="str">
        <f>IF(OR(Dashboard!$C$4="All Customers",$E484=Dashboard!$C$4),IF($E484="","",$P484+ROW()/10000000),"")</f>
        <v/>
      </c>
    </row>
    <row r="485" spans="1:17" ht="14.25" customHeight="1" x14ac:dyDescent="0.3">
      <c r="A485" s="43" t="str">
        <f>IFERROR("FY"&amp;TEXT(MOD(IF(MONTH(Sheet1!A485)&gt;=4,YEAR(Sheet1!A485),YEAR(Sheet1!A485)-1),100),"00")&amp;"-"&amp;TEXT(MOD(IF(MONTH(Sheet1!A485)&gt;=4,YEAR(Sheet1!A485),YEAR(Sheet1!A485)-1)+1,100),"00"),"")</f>
        <v>FY25-26</v>
      </c>
      <c r="B485" s="44" t="str">
        <f>IFERROR("Q"&amp;IF(MONTH(Sheet1!A485)&gt;=4,IF(MONTH(Sheet1!A485)&lt;=6,1,IF(MONTH(Sheet1!A485)&lt;=9,2,3)),4),"")</f>
        <v>Q4</v>
      </c>
      <c r="C485" s="43" t="str">
        <f>IFERROR(Sheet1!C485,0)</f>
        <v>MEA</v>
      </c>
      <c r="D485" s="43" t="str">
        <f>IFERROR(Sheet1!F485,0)</f>
        <v>South Africa</v>
      </c>
      <c r="E485" s="43" t="str">
        <f>IFERROR(Sheet1!E485,0)</f>
        <v>ROYAL TYRES COMMERCIAL (PTY) LTD</v>
      </c>
      <c r="F485" s="43" t="str">
        <f>IFERROR(IF(UPPER(TRIM(Sheet1!J485))="NH","Nhava Sheva",IF(UPPER(TRIM(Sheet1!J485))="ICD","ICD Dhannad",IF(UPPER(TRIM(Sheet1!J485))="TIHI","ICD Tihi",Sheet1!J485))),0)</f>
        <v>ICD Tihi</v>
      </c>
      <c r="G485" s="43" t="str">
        <f>IFERROR(Sheet1!M485,0)</f>
        <v>Durban</v>
      </c>
      <c r="H485" s="43" t="str">
        <f>IFERROR(Sheet1!H485,0)</f>
        <v>Hellmann</v>
      </c>
      <c r="I485" s="43" t="str">
        <f>IFERROR(Sheet1!G485,0)</f>
        <v>CFR</v>
      </c>
      <c r="J485" s="43" t="str">
        <f>IFERROR(Sheet1!K485,0)</f>
        <v>Hapag</v>
      </c>
      <c r="K485" s="45">
        <f>IFERROR(Sheet1!A485,0)</f>
        <v>46098</v>
      </c>
      <c r="L485" s="45">
        <f>IFERROR(Sheet1!I485,0)</f>
        <v>46094</v>
      </c>
      <c r="M485" s="47" t="str">
        <f>IFERROR(Sheet1!P485,0)</f>
        <v>NA</v>
      </c>
      <c r="N485" s="46">
        <f>IFERROR(IF(ISNUMBER(Sheet1!N485),Sheet1!N485,0),0)</f>
        <v>1130</v>
      </c>
      <c r="O485" s="46">
        <f>IFERROR(IF(TRIM(F485)="Nhava Sheva",SUMPRODUCT((UPPER(TRIM('Origin Costs'!$A$5:$A$44))=UPPER(TRIM(J485)))*'Origin Costs'!$C$5:$C$44),IF(TRIM(F485)="ICD Tihi",SUMPRODUCT((UPPER(TRIM('Origin Costs'!$A$49:$A$88))=UPPER(TRIM(J485)))*'Origin Costs'!$C$49:$C$88),IF(TRIM(F485)="ICD Dhannad",SUMPRODUCT((UPPER(TRIM('Origin Costs'!$A$93:$A$132))=UPPER(TRIM(J485)))*'Origin Costs'!$C$93:$C$132),0))),0)</f>
        <v>1027.4444444444443</v>
      </c>
      <c r="P485" s="46">
        <f t="shared" si="7"/>
        <v>2157.4444444444443</v>
      </c>
      <c r="Q485" s="13" t="str">
        <f>IF(OR(Dashboard!$C$4="All Customers",$E485=Dashboard!$C$4),IF($E485="","",$P485+ROW()/10000000),"")</f>
        <v/>
      </c>
    </row>
    <row r="486" spans="1:17" ht="14.25" customHeight="1" x14ac:dyDescent="0.3">
      <c r="A486" s="39" t="str">
        <f>IFERROR("FY"&amp;TEXT(MOD(IF(MONTH(Sheet1!A486)&gt;=4,YEAR(Sheet1!A486),YEAR(Sheet1!A486)-1),100),"00")&amp;"-"&amp;TEXT(MOD(IF(MONTH(Sheet1!A486)&gt;=4,YEAR(Sheet1!A486),YEAR(Sheet1!A486)-1)+1,100),"00"),"")</f>
        <v>FY25-26</v>
      </c>
      <c r="B486" s="40" t="str">
        <f>IFERROR("Q"&amp;IF(MONTH(Sheet1!A486)&gt;=4,IF(MONTH(Sheet1!A486)&lt;=6,1,IF(MONTH(Sheet1!A486)&lt;=9,2,3)),4),"")</f>
        <v>Q4</v>
      </c>
      <c r="C486" s="39" t="str">
        <f>IFERROR(Sheet1!C486,0)</f>
        <v>ISC</v>
      </c>
      <c r="D486" s="39" t="str">
        <f>IFERROR(Sheet1!F486,0)</f>
        <v>Sri Lanka</v>
      </c>
      <c r="E486" s="39" t="str">
        <f>IFERROR(Sheet1!E486,0)</f>
        <v xml:space="preserve">SUPERGRIP INTERNATIONAL (PVT) LTD </v>
      </c>
      <c r="F486" s="39" t="str">
        <f>IFERROR(IF(UPPER(TRIM(Sheet1!J486))="NH","Nhava Sheva",IF(UPPER(TRIM(Sheet1!J486))="ICD","ICD Dhannad",IF(UPPER(TRIM(Sheet1!J486))="TIHI","ICD Tihi",Sheet1!J486))),0)</f>
        <v>Nhava Sheva</v>
      </c>
      <c r="G486" s="39" t="str">
        <f>IFERROR(Sheet1!M486,0)</f>
        <v>Colombo</v>
      </c>
      <c r="H486" s="39" t="str">
        <f>IFERROR(Sheet1!H486,0)</f>
        <v>Hellmann</v>
      </c>
      <c r="I486" s="39" t="str">
        <f>IFERROR(Sheet1!G486,0)</f>
        <v>CFR</v>
      </c>
      <c r="J486" s="39" t="str">
        <f>IFERROR(Sheet1!K486,0)</f>
        <v>Cosco</v>
      </c>
      <c r="K486" s="41">
        <f>IFERROR(Sheet1!A486,0)</f>
        <v>46099</v>
      </c>
      <c r="L486" s="41">
        <f>IFERROR(Sheet1!I486,0)</f>
        <v>46097</v>
      </c>
      <c r="M486" s="47" t="str">
        <f>IFERROR(Sheet1!P486,0)</f>
        <v>NA</v>
      </c>
      <c r="N486" s="42">
        <f>IFERROR(IF(ISNUMBER(Sheet1!N486),Sheet1!N486,0),0)</f>
        <v>235</v>
      </c>
      <c r="O486" s="42">
        <f>IFERROR(IF(TRIM(F486)="Nhava Sheva",SUMPRODUCT((UPPER(TRIM('Origin Costs'!$A$5:$A$44))=UPPER(TRIM(J486)))*'Origin Costs'!$C$5:$C$44),IF(TRIM(F486)="ICD Tihi",SUMPRODUCT((UPPER(TRIM('Origin Costs'!$A$49:$A$88))=UPPER(TRIM(J486)))*'Origin Costs'!$C$49:$C$88),IF(TRIM(F486)="ICD Dhannad",SUMPRODUCT((UPPER(TRIM('Origin Costs'!$A$93:$A$132))=UPPER(TRIM(J486)))*'Origin Costs'!$C$93:$C$132),0))),0)</f>
        <v>0</v>
      </c>
      <c r="P486" s="42">
        <f t="shared" si="7"/>
        <v>235</v>
      </c>
      <c r="Q486" s="13" t="str">
        <f>IF(OR(Dashboard!$C$4="All Customers",$E486=Dashboard!$C$4),IF($E486="","",$P486+ROW()/10000000),"")</f>
        <v/>
      </c>
    </row>
    <row r="487" spans="1:17" ht="14.25" customHeight="1" x14ac:dyDescent="0.3">
      <c r="A487" s="43" t="str">
        <f>IFERROR("FY"&amp;TEXT(MOD(IF(MONTH(Sheet1!A487)&gt;=4,YEAR(Sheet1!A487),YEAR(Sheet1!A487)-1),100),"00")&amp;"-"&amp;TEXT(MOD(IF(MONTH(Sheet1!A487)&gt;=4,YEAR(Sheet1!A487),YEAR(Sheet1!A487)-1)+1,100),"00"),"")</f>
        <v>FY25-26</v>
      </c>
      <c r="B487" s="44" t="str">
        <f>IFERROR("Q"&amp;IF(MONTH(Sheet1!A487)&gt;=4,IF(MONTH(Sheet1!A487)&lt;=6,1,IF(MONTH(Sheet1!A487)&lt;=9,2,3)),4),"")</f>
        <v>Q4</v>
      </c>
      <c r="C487" s="43" t="str">
        <f>IFERROR(Sheet1!C487,0)</f>
        <v>Europe</v>
      </c>
      <c r="D487" s="43" t="str">
        <f>IFERROR(Sheet1!F487,0)</f>
        <v>Hungary</v>
      </c>
      <c r="E487" s="43" t="str">
        <f>IFERROR(Sheet1!E487,0)</f>
        <v>Inter Cars</v>
      </c>
      <c r="F487" s="43" t="str">
        <f>IFERROR(IF(UPPER(TRIM(Sheet1!J487))="NH","Nhava Sheva",IF(UPPER(TRIM(Sheet1!J487))="ICD","ICD Dhannad",IF(UPPER(TRIM(Sheet1!J487))="TIHI","ICD Tihi",Sheet1!J487))),0)</f>
        <v>Nhava Sheva</v>
      </c>
      <c r="G487" s="43" t="str">
        <f>IFERROR(Sheet1!M487,0)</f>
        <v>Bremerhaven</v>
      </c>
      <c r="H487" s="43" t="str">
        <f>IFERROR(Sheet1!H487,0)</f>
        <v>Affreighter</v>
      </c>
      <c r="I487" s="43" t="str">
        <f>IFERROR(Sheet1!G487,0)</f>
        <v>FOB</v>
      </c>
      <c r="J487" s="43" t="str">
        <f>IFERROR(Sheet1!K487,0)</f>
        <v>Maersk</v>
      </c>
      <c r="K487" s="45">
        <f>IFERROR(Sheet1!A487,0)</f>
        <v>46100</v>
      </c>
      <c r="L487" s="45">
        <f>IFERROR(Sheet1!I487,0)</f>
        <v>46098</v>
      </c>
      <c r="M487" s="47" t="str">
        <f>IFERROR(Sheet1!P487,0)</f>
        <v>NA</v>
      </c>
      <c r="N487" s="46">
        <f>IFERROR(IF(ISNUMBER(Sheet1!N487),Sheet1!N487,0),0)</f>
        <v>0</v>
      </c>
      <c r="O487" s="46">
        <f>IFERROR(IF(TRIM(F487)="Nhava Sheva",SUMPRODUCT((UPPER(TRIM('Origin Costs'!$A$5:$A$44))=UPPER(TRIM(J487)))*'Origin Costs'!$C$5:$C$44),IF(TRIM(F487)="ICD Tihi",SUMPRODUCT((UPPER(TRIM('Origin Costs'!$A$49:$A$88))=UPPER(TRIM(J487)))*'Origin Costs'!$C$49:$C$88),IF(TRIM(F487)="ICD Dhannad",SUMPRODUCT((UPPER(TRIM('Origin Costs'!$A$93:$A$132))=UPPER(TRIM(J487)))*'Origin Costs'!$C$93:$C$132),0))),0)</f>
        <v>1148.588888888889</v>
      </c>
      <c r="P487" s="46">
        <f t="shared" si="7"/>
        <v>1148.588888888889</v>
      </c>
      <c r="Q487" s="13" t="str">
        <f>IF(OR(Dashboard!$C$4="All Customers",$E487=Dashboard!$C$4),IF($E487="","",$P487+ROW()/10000000),"")</f>
        <v/>
      </c>
    </row>
    <row r="488" spans="1:17" ht="14.25" customHeight="1" x14ac:dyDescent="0.3">
      <c r="A488" s="39" t="str">
        <f>IFERROR("FY"&amp;TEXT(MOD(IF(MONTH(Sheet1!A488)&gt;=4,YEAR(Sheet1!A488),YEAR(Sheet1!A488)-1),100),"00")&amp;"-"&amp;TEXT(MOD(IF(MONTH(Sheet1!A488)&gt;=4,YEAR(Sheet1!A488),YEAR(Sheet1!A488)-1)+1,100),"00"),"")</f>
        <v>FY25-26</v>
      </c>
      <c r="B488" s="40" t="str">
        <f>IFERROR("Q"&amp;IF(MONTH(Sheet1!A488)&gt;=4,IF(MONTH(Sheet1!A488)&lt;=6,1,IF(MONTH(Sheet1!A488)&lt;=9,2,3)),4),"")</f>
        <v>Q4</v>
      </c>
      <c r="C488" s="39" t="str">
        <f>IFERROR(Sheet1!C488,0)</f>
        <v>Europe</v>
      </c>
      <c r="D488" s="39" t="str">
        <f>IFERROR(Sheet1!F488,0)</f>
        <v>France</v>
      </c>
      <c r="E488" s="39" t="str">
        <f>IFERROR(Sheet1!E488,0)</f>
        <v>Copadex, France</v>
      </c>
      <c r="F488" s="39" t="str">
        <f>IFERROR(IF(UPPER(TRIM(Sheet1!J488))="NH","Nhava Sheva",IF(UPPER(TRIM(Sheet1!J488))="ICD","ICD Dhannad",IF(UPPER(TRIM(Sheet1!J488))="TIHI","ICD Tihi",Sheet1!J488))),0)</f>
        <v>Nhava Sheva</v>
      </c>
      <c r="G488" s="39" t="str">
        <f>IFERROR(Sheet1!M488,0)</f>
        <v>Le Havre</v>
      </c>
      <c r="H488" s="39" t="str">
        <f>IFERROR(Sheet1!H488,0)</f>
        <v>Jeena &amp; Co</v>
      </c>
      <c r="I488" s="39" t="str">
        <f>IFERROR(Sheet1!G488,0)</f>
        <v>FOB</v>
      </c>
      <c r="J488" s="39" t="str">
        <f>IFERROR(Sheet1!K488,0)</f>
        <v>MSC</v>
      </c>
      <c r="K488" s="41">
        <f>IFERROR(Sheet1!A488,0)</f>
        <v>46101</v>
      </c>
      <c r="L488" s="41">
        <f>IFERROR(Sheet1!I488,0)</f>
        <v>46099</v>
      </c>
      <c r="M488" s="47" t="str">
        <f>IFERROR(Sheet1!P488,0)</f>
        <v>NA</v>
      </c>
      <c r="N488" s="42">
        <f>IFERROR(IF(ISNUMBER(Sheet1!N488),Sheet1!N488,0),0)</f>
        <v>0</v>
      </c>
      <c r="O488" s="42">
        <f>IFERROR(IF(TRIM(F488)="Nhava Sheva",SUMPRODUCT((UPPER(TRIM('Origin Costs'!$A$5:$A$44))=UPPER(TRIM(J488)))*'Origin Costs'!$C$5:$C$44),IF(TRIM(F488)="ICD Tihi",SUMPRODUCT((UPPER(TRIM('Origin Costs'!$A$49:$A$88))=UPPER(TRIM(J488)))*'Origin Costs'!$C$49:$C$88),IF(TRIM(F488)="ICD Dhannad",SUMPRODUCT((UPPER(TRIM('Origin Costs'!$A$93:$A$132))=UPPER(TRIM(J488)))*'Origin Costs'!$C$93:$C$132),0))),0)</f>
        <v>1168.8222222222223</v>
      </c>
      <c r="P488" s="42">
        <f t="shared" si="7"/>
        <v>1168.8222222222223</v>
      </c>
      <c r="Q488" s="13" t="str">
        <f>IF(OR(Dashboard!$C$4="All Customers",$E488=Dashboard!$C$4),IF($E488="","",$P488+ROW()/10000000),"")</f>
        <v/>
      </c>
    </row>
    <row r="489" spans="1:17" ht="14.25" customHeight="1" x14ac:dyDescent="0.3">
      <c r="A489" s="43" t="str">
        <f>IFERROR("FY"&amp;TEXT(MOD(IF(MONTH(Sheet1!A489)&gt;=4,YEAR(Sheet1!A489),YEAR(Sheet1!A489)-1),100),"00")&amp;"-"&amp;TEXT(MOD(IF(MONTH(Sheet1!A489)&gt;=4,YEAR(Sheet1!A489),YEAR(Sheet1!A489)-1)+1,100),"00"),"")</f>
        <v>FY25-26</v>
      </c>
      <c r="B489" s="44" t="str">
        <f>IFERROR("Q"&amp;IF(MONTH(Sheet1!A489)&gt;=4,IF(MONTH(Sheet1!A489)&lt;=6,1,IF(MONTH(Sheet1!A489)&lt;=9,2,3)),4),"")</f>
        <v>Q4</v>
      </c>
      <c r="C489" s="43" t="str">
        <f>IFERROR(Sheet1!C489,0)</f>
        <v>Europe</v>
      </c>
      <c r="D489" s="43" t="str">
        <f>IFERROR(Sheet1!F489,0)</f>
        <v>France</v>
      </c>
      <c r="E489" s="43" t="str">
        <f>IFERROR(Sheet1!E489,0)</f>
        <v>Copadex, France</v>
      </c>
      <c r="F489" s="43" t="str">
        <f>IFERROR(IF(UPPER(TRIM(Sheet1!J489))="NH","Nhava Sheva",IF(UPPER(TRIM(Sheet1!J489))="ICD","ICD Dhannad",IF(UPPER(TRIM(Sheet1!J489))="TIHI","ICD Tihi",Sheet1!J489))),0)</f>
        <v>Nhava Sheva</v>
      </c>
      <c r="G489" s="43" t="str">
        <f>IFERROR(Sheet1!M489,0)</f>
        <v>Le Havre</v>
      </c>
      <c r="H489" s="43" t="str">
        <f>IFERROR(Sheet1!H489,0)</f>
        <v>Jeena &amp; Co</v>
      </c>
      <c r="I489" s="43" t="str">
        <f>IFERROR(Sheet1!G489,0)</f>
        <v>FOB</v>
      </c>
      <c r="J489" s="43" t="str">
        <f>IFERROR(Sheet1!K489,0)</f>
        <v>MSC</v>
      </c>
      <c r="K489" s="45">
        <f>IFERROR(Sheet1!A489,0)</f>
        <v>46101</v>
      </c>
      <c r="L489" s="45">
        <f>IFERROR(Sheet1!I489,0)</f>
        <v>46099</v>
      </c>
      <c r="M489" s="47" t="str">
        <f>IFERROR(Sheet1!P489,0)</f>
        <v>NA</v>
      </c>
      <c r="N489" s="46">
        <f>IFERROR(IF(ISNUMBER(Sheet1!N489),Sheet1!N489,0),0)</f>
        <v>0</v>
      </c>
      <c r="O489" s="46">
        <f>IFERROR(IF(TRIM(F489)="Nhava Sheva",SUMPRODUCT((UPPER(TRIM('Origin Costs'!$A$5:$A$44))=UPPER(TRIM(J489)))*'Origin Costs'!$C$5:$C$44),IF(TRIM(F489)="ICD Tihi",SUMPRODUCT((UPPER(TRIM('Origin Costs'!$A$49:$A$88))=UPPER(TRIM(J489)))*'Origin Costs'!$C$49:$C$88),IF(TRIM(F489)="ICD Dhannad",SUMPRODUCT((UPPER(TRIM('Origin Costs'!$A$93:$A$132))=UPPER(TRIM(J489)))*'Origin Costs'!$C$93:$C$132),0))),0)</f>
        <v>1168.8222222222223</v>
      </c>
      <c r="P489" s="46">
        <f t="shared" si="7"/>
        <v>1168.8222222222223</v>
      </c>
      <c r="Q489" s="13" t="str">
        <f>IF(OR(Dashboard!$C$4="All Customers",$E489=Dashboard!$C$4),IF($E489="","",$P489+ROW()/10000000),"")</f>
        <v/>
      </c>
    </row>
    <row r="490" spans="1:17" ht="14.25" customHeight="1" x14ac:dyDescent="0.3">
      <c r="A490" s="39" t="str">
        <f>IFERROR("FY"&amp;TEXT(MOD(IF(MONTH(Sheet1!A490)&gt;=4,YEAR(Sheet1!A490),YEAR(Sheet1!A490)-1),100),"00")&amp;"-"&amp;TEXT(MOD(IF(MONTH(Sheet1!A490)&gt;=4,YEAR(Sheet1!A490),YEAR(Sheet1!A490)-1)+1,100),"00"),"")</f>
        <v>FY25-26</v>
      </c>
      <c r="B490" s="40" t="str">
        <f>IFERROR("Q"&amp;IF(MONTH(Sheet1!A490)&gt;=4,IF(MONTH(Sheet1!A490)&lt;=6,1,IF(MONTH(Sheet1!A490)&lt;=9,2,3)),4),"")</f>
        <v>Q4</v>
      </c>
      <c r="C490" s="39" t="str">
        <f>IFERROR(Sheet1!C490,0)</f>
        <v>Europe</v>
      </c>
      <c r="D490" s="39" t="str">
        <f>IFERROR(Sheet1!F490,0)</f>
        <v>Romania</v>
      </c>
      <c r="E490" s="39" t="str">
        <f>IFERROR(Sheet1!E490,0)</f>
        <v>INTER CARS ROMANIA SRL</v>
      </c>
      <c r="F490" s="39" t="str">
        <f>IFERROR(IF(UPPER(TRIM(Sheet1!J490))="NH","Nhava Sheva",IF(UPPER(TRIM(Sheet1!J490))="ICD","ICD Dhannad",IF(UPPER(TRIM(Sheet1!J490))="TIHI","ICD Tihi",Sheet1!J490))),0)</f>
        <v>Nhava Sheva</v>
      </c>
      <c r="G490" s="39" t="str">
        <f>IFERROR(Sheet1!M490,0)</f>
        <v>Constanta</v>
      </c>
      <c r="H490" s="39" t="str">
        <f>IFERROR(Sheet1!H490,0)</f>
        <v>DSV</v>
      </c>
      <c r="I490" s="39" t="str">
        <f>IFERROR(Sheet1!G490,0)</f>
        <v>FOB</v>
      </c>
      <c r="J490" s="39" t="str">
        <f>IFERROR(Sheet1!K490,0)</f>
        <v>MSC</v>
      </c>
      <c r="K490" s="41">
        <f>IFERROR(Sheet1!A490,0)</f>
        <v>46103</v>
      </c>
      <c r="L490" s="41">
        <f>IFERROR(Sheet1!I490,0)</f>
        <v>46101</v>
      </c>
      <c r="M490" s="47" t="str">
        <f>IFERROR(Sheet1!P490,0)</f>
        <v>NA</v>
      </c>
      <c r="N490" s="42">
        <f>IFERROR(IF(ISNUMBER(Sheet1!N490),Sheet1!N490,0),0)</f>
        <v>0</v>
      </c>
      <c r="O490" s="42">
        <f>IFERROR(IF(TRIM(F490)="Nhava Sheva",SUMPRODUCT((UPPER(TRIM('Origin Costs'!$A$5:$A$44))=UPPER(TRIM(J490)))*'Origin Costs'!$C$5:$C$44),IF(TRIM(F490)="ICD Tihi",SUMPRODUCT((UPPER(TRIM('Origin Costs'!$A$49:$A$88))=UPPER(TRIM(J490)))*'Origin Costs'!$C$49:$C$88),IF(TRIM(F490)="ICD Dhannad",SUMPRODUCT((UPPER(TRIM('Origin Costs'!$A$93:$A$132))=UPPER(TRIM(J490)))*'Origin Costs'!$C$93:$C$132),0))),0)</f>
        <v>1168.8222222222223</v>
      </c>
      <c r="P490" s="42">
        <f t="shared" si="7"/>
        <v>1168.8222222222223</v>
      </c>
      <c r="Q490" s="13" t="str">
        <f>IF(OR(Dashboard!$C$4="All Customers",$E490=Dashboard!$C$4),IF($E490="","",$P490+ROW()/10000000),"")</f>
        <v/>
      </c>
    </row>
    <row r="491" spans="1:17" ht="14.25" customHeight="1" x14ac:dyDescent="0.3">
      <c r="A491" s="43" t="str">
        <f>IFERROR("FY"&amp;TEXT(MOD(IF(MONTH(Sheet1!A491)&gt;=4,YEAR(Sheet1!A491),YEAR(Sheet1!A491)-1),100),"00")&amp;"-"&amp;TEXT(MOD(IF(MONTH(Sheet1!A491)&gt;=4,YEAR(Sheet1!A491),YEAR(Sheet1!A491)-1)+1,100),"00"),"")</f>
        <v>FY25-26</v>
      </c>
      <c r="B491" s="44" t="str">
        <f>IFERROR("Q"&amp;IF(MONTH(Sheet1!A491)&gt;=4,IF(MONTH(Sheet1!A491)&lt;=6,1,IF(MONTH(Sheet1!A491)&lt;=9,2,3)),4),"")</f>
        <v>Q4</v>
      </c>
      <c r="C491" s="43" t="str">
        <f>IFERROR(Sheet1!C491,0)</f>
        <v>Europe</v>
      </c>
      <c r="D491" s="43" t="str">
        <f>IFERROR(Sheet1!F491,0)</f>
        <v>Bulgaria</v>
      </c>
      <c r="E491" s="43" t="str">
        <f>IFERROR(Sheet1!E491,0)</f>
        <v>Primex EOOD</v>
      </c>
      <c r="F491" s="43" t="str">
        <f>IFERROR(IF(UPPER(TRIM(Sheet1!J491))="NH","Nhava Sheva",IF(UPPER(TRIM(Sheet1!J491))="ICD","ICD Dhannad",IF(UPPER(TRIM(Sheet1!J491))="TIHI","ICD Tihi",Sheet1!J491))),0)</f>
        <v>Nhava Sheva</v>
      </c>
      <c r="G491" s="43" t="str">
        <f>IFERROR(Sheet1!M491,0)</f>
        <v>Varna</v>
      </c>
      <c r="H491" s="43" t="str">
        <f>IFERROR(Sheet1!H491,0)</f>
        <v>SAR Transport</v>
      </c>
      <c r="I491" s="43" t="str">
        <f>IFERROR(Sheet1!G491,0)</f>
        <v>CFR</v>
      </c>
      <c r="J491" s="43" t="str">
        <f>IFERROR(Sheet1!K491,0)</f>
        <v>ONE</v>
      </c>
      <c r="K491" s="45">
        <f>IFERROR(Sheet1!A491,0)</f>
        <v>46103</v>
      </c>
      <c r="L491" s="45">
        <f>IFERROR(Sheet1!I491,0)</f>
        <v>46101</v>
      </c>
      <c r="M491" s="47" t="str">
        <f>IFERROR(Sheet1!P491,0)</f>
        <v>NA</v>
      </c>
      <c r="N491" s="46">
        <f>IFERROR(IF(ISNUMBER(Sheet1!N491),Sheet1!N491,0),0)</f>
        <v>2027</v>
      </c>
      <c r="O491" s="46">
        <f>IFERROR(IF(TRIM(F491)="Nhava Sheva",SUMPRODUCT((UPPER(TRIM('Origin Costs'!$A$5:$A$44))=UPPER(TRIM(J491)))*'Origin Costs'!$C$5:$C$44),IF(TRIM(F491)="ICD Tihi",SUMPRODUCT((UPPER(TRIM('Origin Costs'!$A$49:$A$88))=UPPER(TRIM(J491)))*'Origin Costs'!$C$49:$C$88),IF(TRIM(F491)="ICD Dhannad",SUMPRODUCT((UPPER(TRIM('Origin Costs'!$A$93:$A$132))=UPPER(TRIM(J491)))*'Origin Costs'!$C$93:$C$132),0))),0)</f>
        <v>1146.5555555555557</v>
      </c>
      <c r="P491" s="46">
        <f t="shared" si="7"/>
        <v>3173.5555555555557</v>
      </c>
      <c r="Q491" s="13" t="str">
        <f>IF(OR(Dashboard!$C$4="All Customers",$E491=Dashboard!$C$4),IF($E491="","",$P491+ROW()/10000000),"")</f>
        <v/>
      </c>
    </row>
    <row r="492" spans="1:17" ht="14.25" customHeight="1" x14ac:dyDescent="0.3">
      <c r="A492" s="39" t="str">
        <f>IFERROR("FY"&amp;TEXT(MOD(IF(MONTH(Sheet1!A492)&gt;=4,YEAR(Sheet1!A492),YEAR(Sheet1!A492)-1),100),"00")&amp;"-"&amp;TEXT(MOD(IF(MONTH(Sheet1!A492)&gt;=4,YEAR(Sheet1!A492),YEAR(Sheet1!A492)-1)+1,100),"00"),"")</f>
        <v>FY25-26</v>
      </c>
      <c r="B492" s="40" t="str">
        <f>IFERROR("Q"&amp;IF(MONTH(Sheet1!A492)&gt;=4,IF(MONTH(Sheet1!A492)&lt;=6,1,IF(MONTH(Sheet1!A492)&lt;=9,2,3)),4),"")</f>
        <v>Q4</v>
      </c>
      <c r="C492" s="39" t="str">
        <f>IFERROR(Sheet1!C492,0)</f>
        <v>CIS</v>
      </c>
      <c r="D492" s="39" t="str">
        <f>IFERROR(Sheet1!F492,0)</f>
        <v>Russia</v>
      </c>
      <c r="E492" s="39" t="str">
        <f>IFERROR(Sheet1!E492,0)</f>
        <v>STALKER LTD, Russia</v>
      </c>
      <c r="F492" s="39" t="str">
        <f>IFERROR(IF(UPPER(TRIM(Sheet1!J492))="NH","Nhava Sheva",IF(UPPER(TRIM(Sheet1!J492))="ICD","ICD Dhannad",IF(UPPER(TRIM(Sheet1!J492))="TIHI","ICD Tihi",Sheet1!J492))),0)</f>
        <v>Nhava Sheva</v>
      </c>
      <c r="G492" s="39" t="str">
        <f>IFERROR(Sheet1!M492,0)</f>
        <v>NOVOROSSIYSK</v>
      </c>
      <c r="H492" s="39" t="str">
        <f>IFERROR(Sheet1!H492,0)</f>
        <v>Prologis Freight</v>
      </c>
      <c r="I492" s="39" t="str">
        <f>IFERROR(Sheet1!G492,0)</f>
        <v>CFR</v>
      </c>
      <c r="J492" s="39" t="str">
        <f>IFERROR(Sheet1!K492,0)</f>
        <v>Fesco</v>
      </c>
      <c r="K492" s="41">
        <f>IFERROR(Sheet1!A492,0)</f>
        <v>46104</v>
      </c>
      <c r="L492" s="41">
        <f>IFERROR(Sheet1!I492,0)</f>
        <v>46099</v>
      </c>
      <c r="M492" s="47" t="str">
        <f>IFERROR(Sheet1!P492,0)</f>
        <v>NA</v>
      </c>
      <c r="N492" s="42">
        <f>IFERROR(IF(ISNUMBER(Sheet1!N492),Sheet1!N492,0),0)</f>
        <v>5000</v>
      </c>
      <c r="O492" s="42">
        <f>IFERROR(IF(TRIM(F492)="Nhava Sheva",SUMPRODUCT((UPPER(TRIM('Origin Costs'!$A$5:$A$44))=UPPER(TRIM(J492)))*'Origin Costs'!$C$5:$C$44),IF(TRIM(F492)="ICD Tihi",SUMPRODUCT((UPPER(TRIM('Origin Costs'!$A$49:$A$88))=UPPER(TRIM(J492)))*'Origin Costs'!$C$49:$C$88),IF(TRIM(F492)="ICD Dhannad",SUMPRODUCT((UPPER(TRIM('Origin Costs'!$A$93:$A$132))=UPPER(TRIM(J492)))*'Origin Costs'!$C$93:$C$132),0))),0)</f>
        <v>0</v>
      </c>
      <c r="P492" s="42">
        <f t="shared" si="7"/>
        <v>5000</v>
      </c>
      <c r="Q492" s="13" t="str">
        <f>IF(OR(Dashboard!$C$4="All Customers",$E492=Dashboard!$C$4),IF($E492="","",$P492+ROW()/10000000),"")</f>
        <v/>
      </c>
    </row>
    <row r="493" spans="1:17" ht="14.25" customHeight="1" x14ac:dyDescent="0.3">
      <c r="A493" s="43" t="str">
        <f>IFERROR("FY"&amp;TEXT(MOD(IF(MONTH(Sheet1!A493)&gt;=4,YEAR(Sheet1!A493),YEAR(Sheet1!A493)-1),100),"00")&amp;"-"&amp;TEXT(MOD(IF(MONTH(Sheet1!A493)&gt;=4,YEAR(Sheet1!A493),YEAR(Sheet1!A493)-1)+1,100),"00"),"")</f>
        <v>FY25-26</v>
      </c>
      <c r="B493" s="44" t="str">
        <f>IFERROR("Q"&amp;IF(MONTH(Sheet1!A493)&gt;=4,IF(MONTH(Sheet1!A493)&lt;=6,1,IF(MONTH(Sheet1!A493)&lt;=9,2,3)),4),"")</f>
        <v>Q4</v>
      </c>
      <c r="C493" s="43" t="str">
        <f>IFERROR(Sheet1!C493,0)</f>
        <v>Oceania</v>
      </c>
      <c r="D493" s="43" t="str">
        <f>IFERROR(Sheet1!F493,0)</f>
        <v>Australia</v>
      </c>
      <c r="E493" s="43" t="str">
        <f>IFERROR(Sheet1!E493,0)</f>
        <v>ULTIMATE TYRE SERVICES PTY LTD</v>
      </c>
      <c r="F493" s="43" t="str">
        <f>IFERROR(IF(UPPER(TRIM(Sheet1!J493))="NH","Nhava Sheva",IF(UPPER(TRIM(Sheet1!J493))="ICD","ICD Dhannad",IF(UPPER(TRIM(Sheet1!J493))="TIHI","ICD Tihi",Sheet1!J493))),0)</f>
        <v>Nhava Sheva</v>
      </c>
      <c r="G493" s="43" t="str">
        <f>IFERROR(Sheet1!M493,0)</f>
        <v>BRISBANE</v>
      </c>
      <c r="H493" s="43" t="str">
        <f>IFERROR(Sheet1!H493,0)</f>
        <v>Clearship</v>
      </c>
      <c r="I493" s="43" t="str">
        <f>IFERROR(Sheet1!G493,0)</f>
        <v>CFR</v>
      </c>
      <c r="J493" s="43" t="str">
        <f>IFERROR(Sheet1!K493,0)</f>
        <v>ANL</v>
      </c>
      <c r="K493" s="45">
        <f>IFERROR(Sheet1!A493,0)</f>
        <v>46104</v>
      </c>
      <c r="L493" s="45">
        <f>IFERROR(Sheet1!I493,0)</f>
        <v>46099</v>
      </c>
      <c r="M493" s="47" t="str">
        <f>IFERROR(Sheet1!P493,0)</f>
        <v>NA</v>
      </c>
      <c r="N493" s="46">
        <f>IFERROR(IF(ISNUMBER(Sheet1!N493),Sheet1!N493,0),0)</f>
        <v>1675</v>
      </c>
      <c r="O493" s="46">
        <f>IFERROR(IF(TRIM(F493)="Nhava Sheva",SUMPRODUCT((UPPER(TRIM('Origin Costs'!$A$5:$A$44))=UPPER(TRIM(J493)))*'Origin Costs'!$C$5:$C$44),IF(TRIM(F493)="ICD Tihi",SUMPRODUCT((UPPER(TRIM('Origin Costs'!$A$49:$A$88))=UPPER(TRIM(J493)))*'Origin Costs'!$C$49:$C$88),IF(TRIM(F493)="ICD Dhannad",SUMPRODUCT((UPPER(TRIM('Origin Costs'!$A$93:$A$132))=UPPER(TRIM(J493)))*'Origin Costs'!$C$93:$C$132),0))),0)</f>
        <v>0</v>
      </c>
      <c r="P493" s="46">
        <f t="shared" si="7"/>
        <v>1675</v>
      </c>
      <c r="Q493" s="13" t="str">
        <f>IF(OR(Dashboard!$C$4="All Customers",$E493=Dashboard!$C$4),IF($E493="","",$P493+ROW()/10000000),"")</f>
        <v/>
      </c>
    </row>
    <row r="494" spans="1:17" ht="14.25" customHeight="1" x14ac:dyDescent="0.3">
      <c r="A494" s="39" t="str">
        <f>IFERROR("FY"&amp;TEXT(MOD(IF(MONTH(Sheet1!A494)&gt;=4,YEAR(Sheet1!A494),YEAR(Sheet1!A494)-1),100),"00")&amp;"-"&amp;TEXT(MOD(IF(MONTH(Sheet1!A494)&gt;=4,YEAR(Sheet1!A494),YEAR(Sheet1!A494)-1)+1,100),"00"),"")</f>
        <v>FY25-26</v>
      </c>
      <c r="B494" s="40" t="str">
        <f>IFERROR("Q"&amp;IF(MONTH(Sheet1!A494)&gt;=4,IF(MONTH(Sheet1!A494)&lt;=6,1,IF(MONTH(Sheet1!A494)&lt;=9,2,3)),4),"")</f>
        <v>Q4</v>
      </c>
      <c r="C494" s="39" t="str">
        <f>IFERROR(Sheet1!C494,0)</f>
        <v>Oceania</v>
      </c>
      <c r="D494" s="39" t="str">
        <f>IFERROR(Sheet1!F494,0)</f>
        <v>Australia</v>
      </c>
      <c r="E494" s="39" t="str">
        <f>IFERROR(Sheet1!E494,0)</f>
        <v>ULTIMATE TYRE SERVICES PTY LTD</v>
      </c>
      <c r="F494" s="39" t="str">
        <f>IFERROR(IF(UPPER(TRIM(Sheet1!J494))="NH","Nhava Sheva",IF(UPPER(TRIM(Sheet1!J494))="ICD","ICD Dhannad",IF(UPPER(TRIM(Sheet1!J494))="TIHI","ICD Tihi",Sheet1!J494))),0)</f>
        <v>Nhava Sheva</v>
      </c>
      <c r="G494" s="39" t="str">
        <f>IFERROR(Sheet1!M494,0)</f>
        <v>Melbourne</v>
      </c>
      <c r="H494" s="39" t="str">
        <f>IFERROR(Sheet1!H494,0)</f>
        <v>Clearship</v>
      </c>
      <c r="I494" s="39" t="str">
        <f>IFERROR(Sheet1!G494,0)</f>
        <v>CFR</v>
      </c>
      <c r="J494" s="39" t="str">
        <f>IFERROR(Sheet1!K494,0)</f>
        <v>ANL</v>
      </c>
      <c r="K494" s="41">
        <f>IFERROR(Sheet1!A494,0)</f>
        <v>46104</v>
      </c>
      <c r="L494" s="41">
        <f>IFERROR(Sheet1!I494,0)</f>
        <v>46099</v>
      </c>
      <c r="M494" s="47" t="str">
        <f>IFERROR(Sheet1!P494,0)</f>
        <v>NA</v>
      </c>
      <c r="N494" s="42">
        <f>IFERROR(IF(ISNUMBER(Sheet1!N494),Sheet1!N494,0),0)</f>
        <v>1675</v>
      </c>
      <c r="O494" s="42">
        <f>IFERROR(IF(TRIM(F494)="Nhava Sheva",SUMPRODUCT((UPPER(TRIM('Origin Costs'!$A$5:$A$44))=UPPER(TRIM(J494)))*'Origin Costs'!$C$5:$C$44),IF(TRIM(F494)="ICD Tihi",SUMPRODUCT((UPPER(TRIM('Origin Costs'!$A$49:$A$88))=UPPER(TRIM(J494)))*'Origin Costs'!$C$49:$C$88),IF(TRIM(F494)="ICD Dhannad",SUMPRODUCT((UPPER(TRIM('Origin Costs'!$A$93:$A$132))=UPPER(TRIM(J494)))*'Origin Costs'!$C$93:$C$132),0))),0)</f>
        <v>0</v>
      </c>
      <c r="P494" s="42">
        <f t="shared" si="7"/>
        <v>1675</v>
      </c>
      <c r="Q494" s="13" t="str">
        <f>IF(OR(Dashboard!$C$4="All Customers",$E494=Dashboard!$C$4),IF($E494="","",$P494+ROW()/10000000),"")</f>
        <v/>
      </c>
    </row>
    <row r="495" spans="1:17" ht="14.25" customHeight="1" x14ac:dyDescent="0.3">
      <c r="A495" s="43" t="str">
        <f>IFERROR("FY"&amp;TEXT(MOD(IF(MONTH(Sheet1!A495)&gt;=4,YEAR(Sheet1!A495),YEAR(Sheet1!A495)-1),100),"00")&amp;"-"&amp;TEXT(MOD(IF(MONTH(Sheet1!A495)&gt;=4,YEAR(Sheet1!A495),YEAR(Sheet1!A495)-1)+1,100),"00"),"")</f>
        <v>FY25-26</v>
      </c>
      <c r="B495" s="44" t="str">
        <f>IFERROR("Q"&amp;IF(MONTH(Sheet1!A495)&gt;=4,IF(MONTH(Sheet1!A495)&lt;=6,1,IF(MONTH(Sheet1!A495)&lt;=9,2,3)),4),"")</f>
        <v>Q4</v>
      </c>
      <c r="C495" s="43" t="str">
        <f>IFERROR(Sheet1!C495,0)</f>
        <v>S.A</v>
      </c>
      <c r="D495" s="43" t="str">
        <f>IFERROR(Sheet1!F495,0)</f>
        <v>Mexico</v>
      </c>
      <c r="E495" s="43" t="str">
        <f>IFERROR(Sheet1!E495,0)</f>
        <v>PC Tyres, Mexico</v>
      </c>
      <c r="F495" s="43" t="str">
        <f>IFERROR(IF(UPPER(TRIM(Sheet1!J495))="NH","Nhava Sheva",IF(UPPER(TRIM(Sheet1!J495))="ICD","ICD Dhannad",IF(UPPER(TRIM(Sheet1!J495))="TIHI","ICD Tihi",Sheet1!J495))),0)</f>
        <v>Nhava Sheva</v>
      </c>
      <c r="G495" s="43" t="str">
        <f>IFERROR(Sheet1!M495,0)</f>
        <v>Manzanillo</v>
      </c>
      <c r="H495" s="43" t="str">
        <f>IFERROR(Sheet1!H495,0)</f>
        <v>Sanjay Forwarder</v>
      </c>
      <c r="I495" s="43" t="str">
        <f>IFERROR(Sheet1!G495,0)</f>
        <v>CFR</v>
      </c>
      <c r="J495" s="43" t="str">
        <f>IFERROR(Sheet1!K495,0)</f>
        <v>Maersk</v>
      </c>
      <c r="K495" s="45">
        <f>IFERROR(Sheet1!A495,0)</f>
        <v>46107</v>
      </c>
      <c r="L495" s="45">
        <f>IFERROR(Sheet1!I495,0)</f>
        <v>46105</v>
      </c>
      <c r="M495" s="47" t="str">
        <f>IFERROR(Sheet1!P495,0)</f>
        <v>NA</v>
      </c>
      <c r="N495" s="46">
        <f>IFERROR(IF(ISNUMBER(Sheet1!N495),Sheet1!N495,0),0)</f>
        <v>1850</v>
      </c>
      <c r="O495" s="46">
        <f>IFERROR(IF(TRIM(F495)="Nhava Sheva",SUMPRODUCT((UPPER(TRIM('Origin Costs'!$A$5:$A$44))=UPPER(TRIM(J495)))*'Origin Costs'!$C$5:$C$44),IF(TRIM(F495)="ICD Tihi",SUMPRODUCT((UPPER(TRIM('Origin Costs'!$A$49:$A$88))=UPPER(TRIM(J495)))*'Origin Costs'!$C$49:$C$88),IF(TRIM(F495)="ICD Dhannad",SUMPRODUCT((UPPER(TRIM('Origin Costs'!$A$93:$A$132))=UPPER(TRIM(J495)))*'Origin Costs'!$C$93:$C$132),0))),0)</f>
        <v>1148.588888888889</v>
      </c>
      <c r="P495" s="46">
        <f t="shared" si="7"/>
        <v>2998.588888888889</v>
      </c>
      <c r="Q495" s="13" t="str">
        <f>IF(OR(Dashboard!$C$4="All Customers",$E495=Dashboard!$C$4),IF($E495="","",$P495+ROW()/10000000),"")</f>
        <v/>
      </c>
    </row>
    <row r="496" spans="1:17" ht="14.25" customHeight="1" x14ac:dyDescent="0.3">
      <c r="A496" s="39" t="str">
        <f>IFERROR("FY"&amp;TEXT(MOD(IF(MONTH(Sheet1!A496)&gt;=4,YEAR(Sheet1!A496),YEAR(Sheet1!A496)-1),100),"00")&amp;"-"&amp;TEXT(MOD(IF(MONTH(Sheet1!A496)&gt;=4,YEAR(Sheet1!A496),YEAR(Sheet1!A496)-1)+1,100),"00"),"")</f>
        <v>FY25-26</v>
      </c>
      <c r="B496" s="40" t="str">
        <f>IFERROR("Q"&amp;IF(MONTH(Sheet1!A496)&gt;=4,IF(MONTH(Sheet1!A496)&lt;=6,1,IF(MONTH(Sheet1!A496)&lt;=9,2,3)),4),"")</f>
        <v>Q4</v>
      </c>
      <c r="C496" s="39" t="str">
        <f>IFERROR(Sheet1!C496,0)</f>
        <v>CIS</v>
      </c>
      <c r="D496" s="39" t="str">
        <f>IFERROR(Sheet1!F496,0)</f>
        <v>Russia</v>
      </c>
      <c r="E496" s="39" t="str">
        <f>IFERROR(Sheet1!E496,0)</f>
        <v>West Lake Russia Co. Ltd.</v>
      </c>
      <c r="F496" s="39" t="str">
        <f>IFERROR(IF(UPPER(TRIM(Sheet1!J496))="NH","Nhava Sheva",IF(UPPER(TRIM(Sheet1!J496))="ICD","ICD Dhannad",IF(UPPER(TRIM(Sheet1!J496))="TIHI","ICD Tihi",Sheet1!J496))),0)</f>
        <v>Nhava Sheva</v>
      </c>
      <c r="G496" s="39" t="str">
        <f>IFERROR(Sheet1!M496,0)</f>
        <v>St. Petersburg</v>
      </c>
      <c r="H496" s="39" t="str">
        <f>IFERROR(Sheet1!H496,0)</f>
        <v>Hub &amp; Links</v>
      </c>
      <c r="I496" s="39" t="str">
        <f>IFERROR(Sheet1!G496,0)</f>
        <v>FOB</v>
      </c>
      <c r="J496" s="39" t="str">
        <f>IFERROR(Sheet1!K496,0)</f>
        <v>Hub &amp; Link</v>
      </c>
      <c r="K496" s="41">
        <f>IFERROR(Sheet1!A496,0)</f>
        <v>46108</v>
      </c>
      <c r="L496" s="41">
        <f>IFERROR(Sheet1!I496,0)</f>
        <v>46106</v>
      </c>
      <c r="M496" s="47" t="str">
        <f>IFERROR(Sheet1!P496,0)</f>
        <v>NA</v>
      </c>
      <c r="N496" s="42">
        <f>IFERROR(IF(ISNUMBER(Sheet1!N496),Sheet1!N496,0),0)</f>
        <v>0</v>
      </c>
      <c r="O496" s="42">
        <f>IFERROR(IF(TRIM(F496)="Nhava Sheva",SUMPRODUCT((UPPER(TRIM('Origin Costs'!$A$5:$A$44))=UPPER(TRIM(J496)))*'Origin Costs'!$C$5:$C$44),IF(TRIM(F496)="ICD Tihi",SUMPRODUCT((UPPER(TRIM('Origin Costs'!$A$49:$A$88))=UPPER(TRIM(J496)))*'Origin Costs'!$C$49:$C$88),IF(TRIM(F496)="ICD Dhannad",SUMPRODUCT((UPPER(TRIM('Origin Costs'!$A$93:$A$132))=UPPER(TRIM(J496)))*'Origin Costs'!$C$93:$C$132),0))),0)</f>
        <v>0</v>
      </c>
      <c r="P496" s="42">
        <f t="shared" si="7"/>
        <v>0</v>
      </c>
      <c r="Q496" s="13" t="str">
        <f>IF(OR(Dashboard!$C$4="All Customers",$E496=Dashboard!$C$4),IF($E496="","",$P496+ROW()/10000000),"")</f>
        <v/>
      </c>
    </row>
    <row r="497" spans="1:17" ht="14.25" customHeight="1" x14ac:dyDescent="0.3">
      <c r="A497" s="43" t="str">
        <f>IFERROR("FY"&amp;TEXT(MOD(IF(MONTH(Sheet1!A497)&gt;=4,YEAR(Sheet1!A497),YEAR(Sheet1!A497)-1),100),"00")&amp;"-"&amp;TEXT(MOD(IF(MONTH(Sheet1!A497)&gt;=4,YEAR(Sheet1!A497),YEAR(Sheet1!A497)-1)+1,100),"00"),"")</f>
        <v>FY25-26</v>
      </c>
      <c r="B497" s="44" t="str">
        <f>IFERROR("Q"&amp;IF(MONTH(Sheet1!A497)&gt;=4,IF(MONTH(Sheet1!A497)&lt;=6,1,IF(MONTH(Sheet1!A497)&lt;=9,2,3)),4),"")</f>
        <v>Q4</v>
      </c>
      <c r="C497" s="43" t="str">
        <f>IFERROR(Sheet1!C497,0)</f>
        <v>CIS</v>
      </c>
      <c r="D497" s="43" t="str">
        <f>IFERROR(Sheet1!F497,0)</f>
        <v>Russia</v>
      </c>
      <c r="E497" s="43" t="str">
        <f>IFERROR(Sheet1!E497,0)</f>
        <v>West Lake Russia Co. Ltd.</v>
      </c>
      <c r="F497" s="43" t="str">
        <f>IFERROR(IF(UPPER(TRIM(Sheet1!J497))="NH","Nhava Sheva",IF(UPPER(TRIM(Sheet1!J497))="ICD","ICD Dhannad",IF(UPPER(TRIM(Sheet1!J497))="TIHI","ICD Tihi",Sheet1!J497))),0)</f>
        <v>Nhava Sheva</v>
      </c>
      <c r="G497" s="43" t="str">
        <f>IFERROR(Sheet1!M497,0)</f>
        <v>St. Petersburg</v>
      </c>
      <c r="H497" s="43" t="str">
        <f>IFERROR(Sheet1!H497,0)</f>
        <v>Hub &amp; Links</v>
      </c>
      <c r="I497" s="43" t="str">
        <f>IFERROR(Sheet1!G497,0)</f>
        <v>FOB</v>
      </c>
      <c r="J497" s="43" t="str">
        <f>IFERROR(Sheet1!K497,0)</f>
        <v>Hub &amp; Link</v>
      </c>
      <c r="K497" s="45">
        <f>IFERROR(Sheet1!A497,0)</f>
        <v>46108</v>
      </c>
      <c r="L497" s="45">
        <f>IFERROR(Sheet1!I497,0)</f>
        <v>46106</v>
      </c>
      <c r="M497" s="47" t="str">
        <f>IFERROR(Sheet1!P497,0)</f>
        <v>NA</v>
      </c>
      <c r="N497" s="46">
        <f>IFERROR(IF(ISNUMBER(Sheet1!N497),Sheet1!N497,0),0)</f>
        <v>0</v>
      </c>
      <c r="O497" s="46">
        <f>IFERROR(IF(TRIM(F497)="Nhava Sheva",SUMPRODUCT((UPPER(TRIM('Origin Costs'!$A$5:$A$44))=UPPER(TRIM(J497)))*'Origin Costs'!$C$5:$C$44),IF(TRIM(F497)="ICD Tihi",SUMPRODUCT((UPPER(TRIM('Origin Costs'!$A$49:$A$88))=UPPER(TRIM(J497)))*'Origin Costs'!$C$49:$C$88),IF(TRIM(F497)="ICD Dhannad",SUMPRODUCT((UPPER(TRIM('Origin Costs'!$A$93:$A$132))=UPPER(TRIM(J497)))*'Origin Costs'!$C$93:$C$132),0))),0)</f>
        <v>0</v>
      </c>
      <c r="P497" s="46">
        <f t="shared" si="7"/>
        <v>0</v>
      </c>
      <c r="Q497" s="13" t="str">
        <f>IF(OR(Dashboard!$C$4="All Customers",$E497=Dashboard!$C$4),IF($E497="","",$P497+ROW()/10000000),"")</f>
        <v/>
      </c>
    </row>
    <row r="498" spans="1:17" ht="14.25" customHeight="1" x14ac:dyDescent="0.3">
      <c r="A498" s="39" t="str">
        <f>IFERROR("FY"&amp;TEXT(MOD(IF(MONTH(Sheet1!A498)&gt;=4,YEAR(Sheet1!A498),YEAR(Sheet1!A498)-1),100),"00")&amp;"-"&amp;TEXT(MOD(IF(MONTH(Sheet1!A498)&gt;=4,YEAR(Sheet1!A498),YEAR(Sheet1!A498)-1)+1,100),"00"),"")</f>
        <v>FY25-26</v>
      </c>
      <c r="B498" s="40" t="str">
        <f>IFERROR("Q"&amp;IF(MONTH(Sheet1!A498)&gt;=4,IF(MONTH(Sheet1!A498)&lt;=6,1,IF(MONTH(Sheet1!A498)&lt;=9,2,3)),4),"")</f>
        <v>Q4</v>
      </c>
      <c r="C498" s="39" t="str">
        <f>IFERROR(Sheet1!C498,0)</f>
        <v>S.A</v>
      </c>
      <c r="D498" s="39" t="str">
        <f>IFERROR(Sheet1!F498,0)</f>
        <v>Brazil</v>
      </c>
      <c r="E498" s="39" t="str">
        <f>IFERROR(Sheet1!E498,0)</f>
        <v>CPX DISTRIBUIDORA S/A</v>
      </c>
      <c r="F498" s="39" t="str">
        <f>IFERROR(IF(UPPER(TRIM(Sheet1!J498))="NH","Nhava Sheva",IF(UPPER(TRIM(Sheet1!J498))="ICD","ICD Dhannad",IF(UPPER(TRIM(Sheet1!J498))="TIHI","ICD Tihi",Sheet1!J498))),0)</f>
        <v>Nhava Sheva</v>
      </c>
      <c r="G498" s="39" t="str">
        <f>IFERROR(Sheet1!M498,0)</f>
        <v>Navegantes</v>
      </c>
      <c r="H498" s="39" t="str">
        <f>IFERROR(Sheet1!H498,0)</f>
        <v>Cargo Marketing</v>
      </c>
      <c r="I498" s="39" t="str">
        <f>IFERROR(Sheet1!G498,0)</f>
        <v>FOB</v>
      </c>
      <c r="J498" s="39" t="str">
        <f>IFERROR(Sheet1!K498,0)</f>
        <v>MSC</v>
      </c>
      <c r="K498" s="41">
        <f>IFERROR(Sheet1!A498,0)</f>
        <v>46109</v>
      </c>
      <c r="L498" s="41">
        <f>IFERROR(Sheet1!I498,0)</f>
        <v>46108</v>
      </c>
      <c r="M498" s="47" t="str">
        <f>IFERROR(Sheet1!P498,0)</f>
        <v>NA</v>
      </c>
      <c r="N498" s="42">
        <f>IFERROR(IF(ISNUMBER(Sheet1!N498),Sheet1!N498,0),0)</f>
        <v>0</v>
      </c>
      <c r="O498" s="42">
        <f>IFERROR(IF(TRIM(F498)="Nhava Sheva",SUMPRODUCT((UPPER(TRIM('Origin Costs'!$A$5:$A$44))=UPPER(TRIM(J498)))*'Origin Costs'!$C$5:$C$44),IF(TRIM(F498)="ICD Tihi",SUMPRODUCT((UPPER(TRIM('Origin Costs'!$A$49:$A$88))=UPPER(TRIM(J498)))*'Origin Costs'!$C$49:$C$88),IF(TRIM(F498)="ICD Dhannad",SUMPRODUCT((UPPER(TRIM('Origin Costs'!$A$93:$A$132))=UPPER(TRIM(J498)))*'Origin Costs'!$C$93:$C$132),0))),0)</f>
        <v>1168.8222222222223</v>
      </c>
      <c r="P498" s="42">
        <f t="shared" si="7"/>
        <v>1168.8222222222223</v>
      </c>
      <c r="Q498" s="13" t="str">
        <f>IF(OR(Dashboard!$C$4="All Customers",$E498=Dashboard!$C$4),IF($E498="","",$P498+ROW()/10000000),"")</f>
        <v/>
      </c>
    </row>
    <row r="499" spans="1:17" ht="14.25" customHeight="1" x14ac:dyDescent="0.3">
      <c r="A499" s="43" t="str">
        <f>IFERROR("FY"&amp;TEXT(MOD(IF(MONTH(Sheet1!A499)&gt;=4,YEAR(Sheet1!A499),YEAR(Sheet1!A499)-1),100),"00")&amp;"-"&amp;TEXT(MOD(IF(MONTH(Sheet1!A499)&gt;=4,YEAR(Sheet1!A499),YEAR(Sheet1!A499)-1)+1,100),"00"),"")</f>
        <v>FY25-26</v>
      </c>
      <c r="B499" s="44" t="str">
        <f>IFERROR("Q"&amp;IF(MONTH(Sheet1!A499)&gt;=4,IF(MONTH(Sheet1!A499)&lt;=6,1,IF(MONTH(Sheet1!A499)&lt;=9,2,3)),4),"")</f>
        <v>Q4</v>
      </c>
      <c r="C499" s="43" t="str">
        <f>IFERROR(Sheet1!C499,0)</f>
        <v>S.A</v>
      </c>
      <c r="D499" s="43" t="str">
        <f>IFERROR(Sheet1!F499,0)</f>
        <v>Brazil</v>
      </c>
      <c r="E499" s="43" t="str">
        <f>IFERROR(Sheet1!E499,0)</f>
        <v>CPX DISTRIBUIDORA S/A</v>
      </c>
      <c r="F499" s="43" t="str">
        <f>IFERROR(IF(UPPER(TRIM(Sheet1!J499))="NH","Nhava Sheva",IF(UPPER(TRIM(Sheet1!J499))="ICD","ICD Dhannad",IF(UPPER(TRIM(Sheet1!J499))="TIHI","ICD Tihi",Sheet1!J499))),0)</f>
        <v>Nhava Sheva</v>
      </c>
      <c r="G499" s="43" t="str">
        <f>IFERROR(Sheet1!M499,0)</f>
        <v>Navegantes</v>
      </c>
      <c r="H499" s="43" t="str">
        <f>IFERROR(Sheet1!H499,0)</f>
        <v>Cargo Marketing</v>
      </c>
      <c r="I499" s="43" t="str">
        <f>IFERROR(Sheet1!G499,0)</f>
        <v>FOB</v>
      </c>
      <c r="J499" s="43" t="str">
        <f>IFERROR(Sheet1!K499,0)</f>
        <v>MSC</v>
      </c>
      <c r="K499" s="45">
        <f>IFERROR(Sheet1!A499,0)</f>
        <v>46109</v>
      </c>
      <c r="L499" s="45">
        <f>IFERROR(Sheet1!I499,0)</f>
        <v>46108</v>
      </c>
      <c r="M499" s="47" t="str">
        <f>IFERROR(Sheet1!P499,0)</f>
        <v>NA</v>
      </c>
      <c r="N499" s="46">
        <f>IFERROR(IF(ISNUMBER(Sheet1!N499),Sheet1!N499,0),0)</f>
        <v>0</v>
      </c>
      <c r="O499" s="46">
        <f>IFERROR(IF(TRIM(F499)="Nhava Sheva",SUMPRODUCT((UPPER(TRIM('Origin Costs'!$A$5:$A$44))=UPPER(TRIM(J499)))*'Origin Costs'!$C$5:$C$44),IF(TRIM(F499)="ICD Tihi",SUMPRODUCT((UPPER(TRIM('Origin Costs'!$A$49:$A$88))=UPPER(TRIM(J499)))*'Origin Costs'!$C$49:$C$88),IF(TRIM(F499)="ICD Dhannad",SUMPRODUCT((UPPER(TRIM('Origin Costs'!$A$93:$A$132))=UPPER(TRIM(J499)))*'Origin Costs'!$C$93:$C$132),0))),0)</f>
        <v>1168.8222222222223</v>
      </c>
      <c r="P499" s="46">
        <f t="shared" si="7"/>
        <v>1168.8222222222223</v>
      </c>
      <c r="Q499" s="13" t="str">
        <f>IF(OR(Dashboard!$C$4="All Customers",$E499=Dashboard!$C$4),IF($E499="","",$P499+ROW()/10000000),"")</f>
        <v/>
      </c>
    </row>
    <row r="500" spans="1:17" ht="14.25" customHeight="1" x14ac:dyDescent="0.3">
      <c r="A500" s="39" t="str">
        <f>IFERROR("FY"&amp;TEXT(MOD(IF(MONTH(Sheet1!A500)&gt;=4,YEAR(Sheet1!A500),YEAR(Sheet1!A500)-1),100),"00")&amp;"-"&amp;TEXT(MOD(IF(MONTH(Sheet1!A500)&gt;=4,YEAR(Sheet1!A500),YEAR(Sheet1!A500)-1)+1,100),"00"),"")</f>
        <v>FY25-26</v>
      </c>
      <c r="B500" s="40" t="str">
        <f>IFERROR("Q"&amp;IF(MONTH(Sheet1!A500)&gt;=4,IF(MONTH(Sheet1!A500)&lt;=6,1,IF(MONTH(Sheet1!A500)&lt;=9,2,3)),4),"")</f>
        <v>Q4</v>
      </c>
      <c r="C500" s="39" t="str">
        <f>IFERROR(Sheet1!C500,0)</f>
        <v>S.A</v>
      </c>
      <c r="D500" s="39" t="str">
        <f>IFERROR(Sheet1!F500,0)</f>
        <v>Brazil</v>
      </c>
      <c r="E500" s="39" t="str">
        <f>IFERROR(Sheet1!E500,0)</f>
        <v>CPX DISTRIBUIDORA S/A</v>
      </c>
      <c r="F500" s="39" t="str">
        <f>IFERROR(IF(UPPER(TRIM(Sheet1!J500))="NH","Nhava Sheva",IF(UPPER(TRIM(Sheet1!J500))="ICD","ICD Dhannad",IF(UPPER(TRIM(Sheet1!J500))="TIHI","ICD Tihi",Sheet1!J500))),0)</f>
        <v>Nhava Sheva</v>
      </c>
      <c r="G500" s="39" t="str">
        <f>IFERROR(Sheet1!M500,0)</f>
        <v>Navegantes</v>
      </c>
      <c r="H500" s="39" t="str">
        <f>IFERROR(Sheet1!H500,0)</f>
        <v>Cargo Marketing</v>
      </c>
      <c r="I500" s="39" t="str">
        <f>IFERROR(Sheet1!G500,0)</f>
        <v>FOB</v>
      </c>
      <c r="J500" s="39" t="str">
        <f>IFERROR(Sheet1!K500,0)</f>
        <v>MSC</v>
      </c>
      <c r="K500" s="41">
        <f>IFERROR(Sheet1!A500,0)</f>
        <v>46109</v>
      </c>
      <c r="L500" s="41">
        <f>IFERROR(Sheet1!I500,0)</f>
        <v>46108</v>
      </c>
      <c r="M500" s="47" t="str">
        <f>IFERROR(Sheet1!P500,0)</f>
        <v>NA</v>
      </c>
      <c r="N500" s="42">
        <f>IFERROR(IF(ISNUMBER(Sheet1!N500),Sheet1!N500,0),0)</f>
        <v>0</v>
      </c>
      <c r="O500" s="42">
        <f>IFERROR(IF(TRIM(F500)="Nhava Sheva",SUMPRODUCT((UPPER(TRIM('Origin Costs'!$A$5:$A$44))=UPPER(TRIM(J500)))*'Origin Costs'!$C$5:$C$44),IF(TRIM(F500)="ICD Tihi",SUMPRODUCT((UPPER(TRIM('Origin Costs'!$A$49:$A$88))=UPPER(TRIM(J500)))*'Origin Costs'!$C$49:$C$88),IF(TRIM(F500)="ICD Dhannad",SUMPRODUCT((UPPER(TRIM('Origin Costs'!$A$93:$A$132))=UPPER(TRIM(J500)))*'Origin Costs'!$C$93:$C$132),0))),0)</f>
        <v>1168.8222222222223</v>
      </c>
      <c r="P500" s="42">
        <f t="shared" si="7"/>
        <v>1168.8222222222223</v>
      </c>
      <c r="Q500" s="13" t="str">
        <f>IF(OR(Dashboard!$C$4="All Customers",$E500=Dashboard!$C$4),IF($E500="","",$P500+ROW()/10000000),"")</f>
        <v/>
      </c>
    </row>
    <row r="501" spans="1:17" ht="14.25" customHeight="1" x14ac:dyDescent="0.3">
      <c r="A501" s="43" t="str">
        <f>IFERROR("FY"&amp;TEXT(MOD(IF(MONTH(Sheet1!A501)&gt;=4,YEAR(Sheet1!A501),YEAR(Sheet1!A501)-1),100),"00")&amp;"-"&amp;TEXT(MOD(IF(MONTH(Sheet1!A501)&gt;=4,YEAR(Sheet1!A501),YEAR(Sheet1!A501)-1)+1,100),"00"),"")</f>
        <v>FY25-26</v>
      </c>
      <c r="B501" s="44" t="str">
        <f>IFERROR("Q"&amp;IF(MONTH(Sheet1!A501)&gt;=4,IF(MONTH(Sheet1!A501)&lt;=6,1,IF(MONTH(Sheet1!A501)&lt;=9,2,3)),4),"")</f>
        <v>Q4</v>
      </c>
      <c r="C501" s="43" t="str">
        <f>IFERROR(Sheet1!C501,0)</f>
        <v>S.A</v>
      </c>
      <c r="D501" s="43" t="str">
        <f>IFERROR(Sheet1!F501,0)</f>
        <v>Brazil</v>
      </c>
      <c r="E501" s="43" t="str">
        <f>IFERROR(Sheet1!E501,0)</f>
        <v>CPX DISTRIBUIDORA S/A</v>
      </c>
      <c r="F501" s="43" t="str">
        <f>IFERROR(IF(UPPER(TRIM(Sheet1!J501))="NH","Nhava Sheva",IF(UPPER(TRIM(Sheet1!J501))="ICD","ICD Dhannad",IF(UPPER(TRIM(Sheet1!J501))="TIHI","ICD Tihi",Sheet1!J501))),0)</f>
        <v>Nhava Sheva</v>
      </c>
      <c r="G501" s="43" t="str">
        <f>IFERROR(Sheet1!M501,0)</f>
        <v>Navegantes</v>
      </c>
      <c r="H501" s="43" t="str">
        <f>IFERROR(Sheet1!H501,0)</f>
        <v>Cargo Marketing</v>
      </c>
      <c r="I501" s="43" t="str">
        <f>IFERROR(Sheet1!G501,0)</f>
        <v>FOB</v>
      </c>
      <c r="J501" s="43" t="str">
        <f>IFERROR(Sheet1!K501,0)</f>
        <v>MSC</v>
      </c>
      <c r="K501" s="45">
        <f>IFERROR(Sheet1!A501,0)</f>
        <v>46109</v>
      </c>
      <c r="L501" s="45">
        <f>IFERROR(Sheet1!I501,0)</f>
        <v>46108</v>
      </c>
      <c r="M501" s="47" t="str">
        <f>IFERROR(Sheet1!P501,0)</f>
        <v>NA</v>
      </c>
      <c r="N501" s="46">
        <f>IFERROR(IF(ISNUMBER(Sheet1!N501),Sheet1!N501,0),0)</f>
        <v>0</v>
      </c>
      <c r="O501" s="46">
        <f>IFERROR(IF(TRIM(F501)="Nhava Sheva",SUMPRODUCT((UPPER(TRIM('Origin Costs'!$A$5:$A$44))=UPPER(TRIM(J501)))*'Origin Costs'!$C$5:$C$44),IF(TRIM(F501)="ICD Tihi",SUMPRODUCT((UPPER(TRIM('Origin Costs'!$A$49:$A$88))=UPPER(TRIM(J501)))*'Origin Costs'!$C$49:$C$88),IF(TRIM(F501)="ICD Dhannad",SUMPRODUCT((UPPER(TRIM('Origin Costs'!$A$93:$A$132))=UPPER(TRIM(J501)))*'Origin Costs'!$C$93:$C$132),0))),0)</f>
        <v>1168.8222222222223</v>
      </c>
      <c r="P501" s="46">
        <f t="shared" si="7"/>
        <v>1168.8222222222223</v>
      </c>
      <c r="Q501" s="13" t="str">
        <f>IF(OR(Dashboard!$C$4="All Customers",$E501=Dashboard!$C$4),IF($E501="","",$P501+ROW()/10000000),"")</f>
        <v/>
      </c>
    </row>
    <row r="502" spans="1:17" ht="14.25" customHeight="1" x14ac:dyDescent="0.3">
      <c r="A502" s="39" t="str">
        <f>IFERROR("FY"&amp;TEXT(MOD(IF(MONTH(Sheet1!A502)&gt;=4,YEAR(Sheet1!A502),YEAR(Sheet1!A502)-1),100),"00")&amp;"-"&amp;TEXT(MOD(IF(MONTH(Sheet1!A502)&gt;=4,YEAR(Sheet1!A502),YEAR(Sheet1!A502)-1)+1,100),"00"),"")</f>
        <v>FY25-26</v>
      </c>
      <c r="B502" s="40" t="str">
        <f>IFERROR("Q"&amp;IF(MONTH(Sheet1!A502)&gt;=4,IF(MONTH(Sheet1!A502)&lt;=6,1,IF(MONTH(Sheet1!A502)&lt;=9,2,3)),4),"")</f>
        <v>Q4</v>
      </c>
      <c r="C502" s="39" t="str">
        <f>IFERROR(Sheet1!C502,0)</f>
        <v>S.A</v>
      </c>
      <c r="D502" s="39" t="str">
        <f>IFERROR(Sheet1!F502,0)</f>
        <v>Brazil</v>
      </c>
      <c r="E502" s="39" t="str">
        <f>IFERROR(Sheet1!E502,0)</f>
        <v>CPX DISTRIBUIDORA S/A</v>
      </c>
      <c r="F502" s="39" t="str">
        <f>IFERROR(IF(UPPER(TRIM(Sheet1!J502))="NH","Nhava Sheva",IF(UPPER(TRIM(Sheet1!J502))="ICD","ICD Dhannad",IF(UPPER(TRIM(Sheet1!J502))="TIHI","ICD Tihi",Sheet1!J502))),0)</f>
        <v>Nhava Sheva</v>
      </c>
      <c r="G502" s="39" t="str">
        <f>IFERROR(Sheet1!M502,0)</f>
        <v>Navegantes</v>
      </c>
      <c r="H502" s="39" t="str">
        <f>IFERROR(Sheet1!H502,0)</f>
        <v>Cargo Marketing</v>
      </c>
      <c r="I502" s="39" t="str">
        <f>IFERROR(Sheet1!G502,0)</f>
        <v>FOB</v>
      </c>
      <c r="J502" s="39" t="str">
        <f>IFERROR(Sheet1!K502,0)</f>
        <v>MSC</v>
      </c>
      <c r="K502" s="41">
        <f>IFERROR(Sheet1!A502,0)</f>
        <v>46109</v>
      </c>
      <c r="L502" s="41">
        <f>IFERROR(Sheet1!I502,0)</f>
        <v>46108</v>
      </c>
      <c r="M502" s="47" t="str">
        <f>IFERROR(Sheet1!P502,0)</f>
        <v>NA</v>
      </c>
      <c r="N502" s="42">
        <f>IFERROR(IF(ISNUMBER(Sheet1!N502),Sheet1!N502,0),0)</f>
        <v>0</v>
      </c>
      <c r="O502" s="42">
        <f>IFERROR(IF(TRIM(F502)="Nhava Sheva",SUMPRODUCT((UPPER(TRIM('Origin Costs'!$A$5:$A$44))=UPPER(TRIM(J502)))*'Origin Costs'!$C$5:$C$44),IF(TRIM(F502)="ICD Tihi",SUMPRODUCT((UPPER(TRIM('Origin Costs'!$A$49:$A$88))=UPPER(TRIM(J502)))*'Origin Costs'!$C$49:$C$88),IF(TRIM(F502)="ICD Dhannad",SUMPRODUCT((UPPER(TRIM('Origin Costs'!$A$93:$A$132))=UPPER(TRIM(J502)))*'Origin Costs'!$C$93:$C$132),0))),0)</f>
        <v>1168.8222222222223</v>
      </c>
      <c r="P502" s="42">
        <f t="shared" si="7"/>
        <v>1168.8222222222223</v>
      </c>
      <c r="Q502" s="13" t="str">
        <f>IF(OR(Dashboard!$C$4="All Customers",$E502=Dashboard!$C$4),IF($E502="","",$P502+ROW()/10000000),"")</f>
        <v/>
      </c>
    </row>
    <row r="503" spans="1:17" ht="14.25" customHeight="1" x14ac:dyDescent="0.3">
      <c r="A503" s="43" t="str">
        <f>IFERROR("FY"&amp;TEXT(MOD(IF(MONTH(Sheet1!A503)&gt;=4,YEAR(Sheet1!A503),YEAR(Sheet1!A503)-1),100),"00")&amp;"-"&amp;TEXT(MOD(IF(MONTH(Sheet1!A503)&gt;=4,YEAR(Sheet1!A503),YEAR(Sheet1!A503)-1)+1,100),"00"),"")</f>
        <v>FY25-26</v>
      </c>
      <c r="B503" s="44" t="str">
        <f>IFERROR("Q"&amp;IF(MONTH(Sheet1!A503)&gt;=4,IF(MONTH(Sheet1!A503)&lt;=6,1,IF(MONTH(Sheet1!A503)&lt;=9,2,3)),4),"")</f>
        <v>Q4</v>
      </c>
      <c r="C503" s="43" t="str">
        <f>IFERROR(Sheet1!C503,0)</f>
        <v>Europe</v>
      </c>
      <c r="D503" s="43" t="str">
        <f>IFERROR(Sheet1!F503,0)</f>
        <v>Italy</v>
      </c>
      <c r="E503" s="43" t="str">
        <f>IFERROR(Sheet1!E503,0)</f>
        <v>Fintyre Spa, Italy</v>
      </c>
      <c r="F503" s="43" t="str">
        <f>IFERROR(IF(UPPER(TRIM(Sheet1!J503))="NH","Nhava Sheva",IF(UPPER(TRIM(Sheet1!J503))="ICD","ICD Dhannad",IF(UPPER(TRIM(Sheet1!J503))="TIHI","ICD Tihi",Sheet1!J503))),0)</f>
        <v>ICD Tihi</v>
      </c>
      <c r="G503" s="43" t="str">
        <f>IFERROR(Sheet1!M503,0)</f>
        <v>Genoa</v>
      </c>
      <c r="H503" s="43" t="str">
        <f>IFERROR(Sheet1!H503,0)</f>
        <v>FEI Cargo</v>
      </c>
      <c r="I503" s="43" t="str">
        <f>IFERROR(Sheet1!G503,0)</f>
        <v>FOB</v>
      </c>
      <c r="J503" s="43" t="str">
        <f>IFERROR(Sheet1!K503,0)</f>
        <v>Hapag</v>
      </c>
      <c r="K503" s="45">
        <f>IFERROR(Sheet1!A503,0)</f>
        <v>46109</v>
      </c>
      <c r="L503" s="45">
        <f>IFERROR(Sheet1!I503,0)</f>
        <v>46107</v>
      </c>
      <c r="M503" s="47" t="str">
        <f>IFERROR(Sheet1!P503,0)</f>
        <v>NA</v>
      </c>
      <c r="N503" s="46">
        <f>IFERROR(IF(ISNUMBER(Sheet1!N503),Sheet1!N503,0),0)</f>
        <v>0</v>
      </c>
      <c r="O503" s="46">
        <f>IFERROR(IF(TRIM(F503)="Nhava Sheva",SUMPRODUCT((UPPER(TRIM('Origin Costs'!$A$5:$A$44))=UPPER(TRIM(J503)))*'Origin Costs'!$C$5:$C$44),IF(TRIM(F503)="ICD Tihi",SUMPRODUCT((UPPER(TRIM('Origin Costs'!$A$49:$A$88))=UPPER(TRIM(J503)))*'Origin Costs'!$C$49:$C$88),IF(TRIM(F503)="ICD Dhannad",SUMPRODUCT((UPPER(TRIM('Origin Costs'!$A$93:$A$132))=UPPER(TRIM(J503)))*'Origin Costs'!$C$93:$C$132),0))),0)</f>
        <v>1027.4444444444443</v>
      </c>
      <c r="P503" s="46">
        <f t="shared" si="7"/>
        <v>1027.4444444444443</v>
      </c>
      <c r="Q503" s="13" t="str">
        <f>IF(OR(Dashboard!$C$4="All Customers",$E503=Dashboard!$C$4),IF($E503="","",$P503+ROW()/10000000),"")</f>
        <v/>
      </c>
    </row>
    <row r="504" spans="1:17" ht="14.25" customHeight="1" x14ac:dyDescent="0.3">
      <c r="A504" s="39" t="str">
        <f>IFERROR("FY"&amp;TEXT(MOD(IF(MONTH(Sheet1!A504)&gt;=4,YEAR(Sheet1!A504),YEAR(Sheet1!A504)-1),100),"00")&amp;"-"&amp;TEXT(MOD(IF(MONTH(Sheet1!A504)&gt;=4,YEAR(Sheet1!A504),YEAR(Sheet1!A504)-1)+1,100),"00"),"")</f>
        <v>FY25-26</v>
      </c>
      <c r="B504" s="40" t="str">
        <f>IFERROR("Q"&amp;IF(MONTH(Sheet1!A504)&gt;=4,IF(MONTH(Sheet1!A504)&lt;=6,1,IF(MONTH(Sheet1!A504)&lt;=9,2,3)),4),"")</f>
        <v>Q4</v>
      </c>
      <c r="C504" s="39" t="str">
        <f>IFERROR(Sheet1!C504,0)</f>
        <v>Europe</v>
      </c>
      <c r="D504" s="39" t="str">
        <f>IFERROR(Sheet1!F504,0)</f>
        <v>Italy</v>
      </c>
      <c r="E504" s="39" t="str">
        <f>IFERROR(Sheet1!E504,0)</f>
        <v>Fintyre Spa, Italy</v>
      </c>
      <c r="F504" s="39" t="str">
        <f>IFERROR(IF(UPPER(TRIM(Sheet1!J504))="NH","Nhava Sheva",IF(UPPER(TRIM(Sheet1!J504))="ICD","ICD Dhannad",IF(UPPER(TRIM(Sheet1!J504))="TIHI","ICD Tihi",Sheet1!J504))),0)</f>
        <v>ICD Tihi</v>
      </c>
      <c r="G504" s="39" t="str">
        <f>IFERROR(Sheet1!M504,0)</f>
        <v>Genoa</v>
      </c>
      <c r="H504" s="39" t="str">
        <f>IFERROR(Sheet1!H504,0)</f>
        <v>FEI Cargo</v>
      </c>
      <c r="I504" s="39" t="str">
        <f>IFERROR(Sheet1!G504,0)</f>
        <v>FOB</v>
      </c>
      <c r="J504" s="39" t="str">
        <f>IFERROR(Sheet1!K504,0)</f>
        <v>Hapag</v>
      </c>
      <c r="K504" s="41">
        <f>IFERROR(Sheet1!A504,0)</f>
        <v>46109</v>
      </c>
      <c r="L504" s="41">
        <f>IFERROR(Sheet1!I504,0)</f>
        <v>46107</v>
      </c>
      <c r="M504" s="47" t="str">
        <f>IFERROR(Sheet1!P504,0)</f>
        <v>NA</v>
      </c>
      <c r="N504" s="42">
        <f>IFERROR(IF(ISNUMBER(Sheet1!N504),Sheet1!N504,0),0)</f>
        <v>0</v>
      </c>
      <c r="O504" s="42">
        <f>IFERROR(IF(TRIM(F504)="Nhava Sheva",SUMPRODUCT((UPPER(TRIM('Origin Costs'!$A$5:$A$44))=UPPER(TRIM(J504)))*'Origin Costs'!$C$5:$C$44),IF(TRIM(F504)="ICD Tihi",SUMPRODUCT((UPPER(TRIM('Origin Costs'!$A$49:$A$88))=UPPER(TRIM(J504)))*'Origin Costs'!$C$49:$C$88),IF(TRIM(F504)="ICD Dhannad",SUMPRODUCT((UPPER(TRIM('Origin Costs'!$A$93:$A$132))=UPPER(TRIM(J504)))*'Origin Costs'!$C$93:$C$132),0))),0)</f>
        <v>1027.4444444444443</v>
      </c>
      <c r="P504" s="42">
        <f t="shared" si="7"/>
        <v>1027.4444444444443</v>
      </c>
      <c r="Q504" s="13" t="str">
        <f>IF(OR(Dashboard!$C$4="All Customers",$E504=Dashboard!$C$4),IF($E504="","",$P504+ROW()/10000000),"")</f>
        <v/>
      </c>
    </row>
    <row r="505" spans="1:17" ht="14.25" customHeight="1" x14ac:dyDescent="0.3">
      <c r="A505" s="43" t="str">
        <f>IFERROR("FY"&amp;TEXT(MOD(IF(MONTH(Sheet1!A505)&gt;=4,YEAR(Sheet1!A505),YEAR(Sheet1!A505)-1),100),"00")&amp;"-"&amp;TEXT(MOD(IF(MONTH(Sheet1!A505)&gt;=4,YEAR(Sheet1!A505),YEAR(Sheet1!A505)-1)+1,100),"00"),"")</f>
        <v>FY25-26</v>
      </c>
      <c r="B505" s="44" t="str">
        <f>IFERROR("Q"&amp;IF(MONTH(Sheet1!A505)&gt;=4,IF(MONTH(Sheet1!A505)&lt;=6,1,IF(MONTH(Sheet1!A505)&lt;=9,2,3)),4),"")</f>
        <v>Q4</v>
      </c>
      <c r="C505" s="43" t="str">
        <f>IFERROR(Sheet1!C505,0)</f>
        <v>Europe</v>
      </c>
      <c r="D505" s="43" t="str">
        <f>IFERROR(Sheet1!F505,0)</f>
        <v>Italy</v>
      </c>
      <c r="E505" s="43" t="str">
        <f>IFERROR(Sheet1!E505,0)</f>
        <v>Fintyre Spa, Italy</v>
      </c>
      <c r="F505" s="43" t="str">
        <f>IFERROR(IF(UPPER(TRIM(Sheet1!J505))="NH","Nhava Sheva",IF(UPPER(TRIM(Sheet1!J505))="ICD","ICD Dhannad",IF(UPPER(TRIM(Sheet1!J505))="TIHI","ICD Tihi",Sheet1!J505))),0)</f>
        <v>ICD Tihi</v>
      </c>
      <c r="G505" s="43" t="str">
        <f>IFERROR(Sheet1!M505,0)</f>
        <v>Genoa</v>
      </c>
      <c r="H505" s="43" t="str">
        <f>IFERROR(Sheet1!H505,0)</f>
        <v>FEI Cargo</v>
      </c>
      <c r="I505" s="43" t="str">
        <f>IFERROR(Sheet1!G505,0)</f>
        <v>FOB</v>
      </c>
      <c r="J505" s="43" t="str">
        <f>IFERROR(Sheet1!K505,0)</f>
        <v>Hapag</v>
      </c>
      <c r="K505" s="45">
        <f>IFERROR(Sheet1!A505,0)</f>
        <v>46109</v>
      </c>
      <c r="L505" s="45">
        <f>IFERROR(Sheet1!I505,0)</f>
        <v>46107</v>
      </c>
      <c r="M505" s="47" t="str">
        <f>IFERROR(Sheet1!P505,0)</f>
        <v>NA</v>
      </c>
      <c r="N505" s="46">
        <f>IFERROR(IF(ISNUMBER(Sheet1!N505),Sheet1!N505,0),0)</f>
        <v>0</v>
      </c>
      <c r="O505" s="46">
        <f>IFERROR(IF(TRIM(F505)="Nhava Sheva",SUMPRODUCT((UPPER(TRIM('Origin Costs'!$A$5:$A$44))=UPPER(TRIM(J505)))*'Origin Costs'!$C$5:$C$44),IF(TRIM(F505)="ICD Tihi",SUMPRODUCT((UPPER(TRIM('Origin Costs'!$A$49:$A$88))=UPPER(TRIM(J505)))*'Origin Costs'!$C$49:$C$88),IF(TRIM(F505)="ICD Dhannad",SUMPRODUCT((UPPER(TRIM('Origin Costs'!$A$93:$A$132))=UPPER(TRIM(J505)))*'Origin Costs'!$C$93:$C$132),0))),0)</f>
        <v>1027.4444444444443</v>
      </c>
      <c r="P505" s="46">
        <f t="shared" si="7"/>
        <v>1027.4444444444443</v>
      </c>
      <c r="Q505" s="13" t="str">
        <f>IF(OR(Dashboard!$C$4="All Customers",$E505=Dashboard!$C$4),IF($E505="","",$P505+ROW()/10000000),"")</f>
        <v/>
      </c>
    </row>
    <row r="506" spans="1:17" ht="14.25" customHeight="1" x14ac:dyDescent="0.3">
      <c r="A506" s="39" t="str">
        <f>IFERROR("FY"&amp;TEXT(MOD(IF(MONTH(Sheet1!A506)&gt;=4,YEAR(Sheet1!A506),YEAR(Sheet1!A506)-1),100),"00")&amp;"-"&amp;TEXT(MOD(IF(MONTH(Sheet1!A506)&gt;=4,YEAR(Sheet1!A506),YEAR(Sheet1!A506)-1)+1,100),"00"),"")</f>
        <v>FY25-26</v>
      </c>
      <c r="B506" s="40" t="str">
        <f>IFERROR("Q"&amp;IF(MONTH(Sheet1!A506)&gt;=4,IF(MONTH(Sheet1!A506)&lt;=6,1,IF(MONTH(Sheet1!A506)&lt;=9,2,3)),4),"")</f>
        <v>Q4</v>
      </c>
      <c r="C506" s="39" t="str">
        <f>IFERROR(Sheet1!C506,0)</f>
        <v>ISC</v>
      </c>
      <c r="D506" s="39" t="str">
        <f>IFERROR(Sheet1!F506,0)</f>
        <v>Nepal</v>
      </c>
      <c r="E506" s="39" t="str">
        <f>IFERROR(Sheet1!E506,0)</f>
        <v>Sipradi Autoparts Pvt Ltd</v>
      </c>
      <c r="F506" s="39">
        <f>IFERROR(IF(UPPER(TRIM(Sheet1!J506))="NH","Nhava Sheva",IF(UPPER(TRIM(Sheet1!J506))="ICD","ICD Dhannad",IF(UPPER(TRIM(Sheet1!J506))="TIHI","ICD Tihi",Sheet1!J506))),0)</f>
        <v>0</v>
      </c>
      <c r="G506" s="39" t="str">
        <f>IFERROR(Sheet1!M506,0)</f>
        <v>Birgunj</v>
      </c>
      <c r="H506" s="39" t="str">
        <f>IFERROR(Sheet1!H506,0)</f>
        <v>RKY</v>
      </c>
      <c r="I506" s="39" t="str">
        <f>IFERROR(Sheet1!G506,0)</f>
        <v>CFR</v>
      </c>
      <c r="J506" s="49">
        <f>IFERROR(Sheet1!K506,0)</f>
        <v>0</v>
      </c>
      <c r="K506" s="41">
        <f>IFERROR(Sheet1!A506,0)</f>
        <v>46112</v>
      </c>
      <c r="L506" s="41">
        <f>IFERROR(Sheet1!I506,0)</f>
        <v>46112</v>
      </c>
      <c r="M506" s="47" t="str">
        <f>IFERROR(Sheet1!P506,0)</f>
        <v>NA</v>
      </c>
      <c r="N506" s="42">
        <f>IFERROR(IF(ISNUMBER(Sheet1!N506),Sheet1!N506,0),0)</f>
        <v>120000</v>
      </c>
      <c r="O506" s="42">
        <f>IFERROR(IF(TRIM(F506)="Nhava Sheva",SUMPRODUCT((UPPER(TRIM('Origin Costs'!$A$5:$A$44))=UPPER(TRIM(J506)))*'Origin Costs'!$C$5:$C$44),IF(TRIM(F506)="ICD Tihi",SUMPRODUCT((UPPER(TRIM('Origin Costs'!$A$49:$A$88))=UPPER(TRIM(J506)))*'Origin Costs'!$C$49:$C$88),IF(TRIM(F506)="ICD Dhannad",SUMPRODUCT((UPPER(TRIM('Origin Costs'!$A$93:$A$132))=UPPER(TRIM(J506)))*'Origin Costs'!$C$93:$C$132),0))),0)</f>
        <v>0</v>
      </c>
      <c r="P506" s="42">
        <f t="shared" si="7"/>
        <v>120000</v>
      </c>
      <c r="Q506" s="13" t="str">
        <f>IF(OR(Dashboard!$C$4="All Customers",$E506=Dashboard!$C$4),IF($E506="","",$P506+ROW()/10000000),"")</f>
        <v/>
      </c>
    </row>
    <row r="507" spans="1:17" ht="14.25" customHeight="1" x14ac:dyDescent="0.3">
      <c r="A507" s="43" t="str">
        <f>IFERROR("FY"&amp;TEXT(MOD(IF(MONTH(Sheet1!A507)&gt;=4,YEAR(Sheet1!A507),YEAR(Sheet1!A507)-1),100),"00")&amp;"-"&amp;TEXT(MOD(IF(MONTH(Sheet1!A507)&gt;=4,YEAR(Sheet1!A507),YEAR(Sheet1!A507)-1)+1,100),"00"),"")</f>
        <v>FY25-26</v>
      </c>
      <c r="B507" s="44" t="str">
        <f>IFERROR("Q"&amp;IF(MONTH(Sheet1!A507)&gt;=4,IF(MONTH(Sheet1!A507)&lt;=6,1,IF(MONTH(Sheet1!A507)&lt;=9,2,3)),4),"")</f>
        <v>Q4</v>
      </c>
      <c r="C507" s="43" t="str">
        <f>IFERROR(Sheet1!C507,0)</f>
        <v>ISC</v>
      </c>
      <c r="D507" s="43" t="str">
        <f>IFERROR(Sheet1!F507,0)</f>
        <v>Nepal</v>
      </c>
      <c r="E507" s="43" t="str">
        <f>IFERROR(Sheet1!E507,0)</f>
        <v>Sipradi Autoparts Pvt Ltd</v>
      </c>
      <c r="F507" s="43">
        <f>IFERROR(IF(UPPER(TRIM(Sheet1!J507))="NH","Nhava Sheva",IF(UPPER(TRIM(Sheet1!J507))="ICD","ICD Dhannad",IF(UPPER(TRIM(Sheet1!J507))="TIHI","ICD Tihi",Sheet1!J507))),0)</f>
        <v>0</v>
      </c>
      <c r="G507" s="43" t="str">
        <f>IFERROR(Sheet1!M507,0)</f>
        <v>Birgunj</v>
      </c>
      <c r="H507" s="43" t="str">
        <f>IFERROR(Sheet1!H507,0)</f>
        <v>RKY</v>
      </c>
      <c r="I507" s="43" t="str">
        <f>IFERROR(Sheet1!G507,0)</f>
        <v>CFR</v>
      </c>
      <c r="J507" s="48">
        <f>IFERROR(Sheet1!K507,0)</f>
        <v>0</v>
      </c>
      <c r="K507" s="45">
        <f>IFERROR(Sheet1!A507,0)</f>
        <v>46112</v>
      </c>
      <c r="L507" s="45">
        <f>IFERROR(Sheet1!I507,0)</f>
        <v>46112</v>
      </c>
      <c r="M507" s="47" t="str">
        <f>IFERROR(Sheet1!P507,0)</f>
        <v>NA</v>
      </c>
      <c r="N507" s="46">
        <f>IFERROR(IF(ISNUMBER(Sheet1!N507),Sheet1!N507,0),0)</f>
        <v>120000</v>
      </c>
      <c r="O507" s="46">
        <f>IFERROR(IF(TRIM(F507)="Nhava Sheva",SUMPRODUCT((UPPER(TRIM('Origin Costs'!$A$5:$A$44))=UPPER(TRIM(J507)))*'Origin Costs'!$C$5:$C$44),IF(TRIM(F507)="ICD Tihi",SUMPRODUCT((UPPER(TRIM('Origin Costs'!$A$49:$A$88))=UPPER(TRIM(J507)))*'Origin Costs'!$C$49:$C$88),IF(TRIM(F507)="ICD Dhannad",SUMPRODUCT((UPPER(TRIM('Origin Costs'!$A$93:$A$132))=UPPER(TRIM(J507)))*'Origin Costs'!$C$93:$C$132),0))),0)</f>
        <v>0</v>
      </c>
      <c r="P507" s="46">
        <f t="shared" si="7"/>
        <v>120000</v>
      </c>
      <c r="Q507" s="13" t="str">
        <f>IF(OR(Dashboard!$C$4="All Customers",$E507=Dashboard!$C$4),IF($E507="","",$P507+ROW()/10000000),"")</f>
        <v/>
      </c>
    </row>
    <row r="508" spans="1:17" ht="14.25" customHeight="1" x14ac:dyDescent="0.3">
      <c r="A508" s="39" t="str">
        <f>IFERROR("FY"&amp;TEXT(MOD(IF(MONTH(Sheet1!A508)&gt;=4,YEAR(Sheet1!A508),YEAR(Sheet1!A508)-1),100),"00")&amp;"-"&amp;TEXT(MOD(IF(MONTH(Sheet1!A508)&gt;=4,YEAR(Sheet1!A508),YEAR(Sheet1!A508)-1)+1,100),"00"),"")</f>
        <v>FY26-27</v>
      </c>
      <c r="B508" s="40" t="str">
        <f>IFERROR("Q"&amp;IF(MONTH(Sheet1!A508)&gt;=4,IF(MONTH(Sheet1!A508)&lt;=6,1,IF(MONTH(Sheet1!A508)&lt;=9,2,3)),4),"")</f>
        <v>Q1</v>
      </c>
      <c r="C508" s="39" t="str">
        <f>IFERROR(Sheet1!C508,0)</f>
        <v>Oceania</v>
      </c>
      <c r="D508" s="39" t="str">
        <f>IFERROR(Sheet1!F508,0)</f>
        <v>Australia</v>
      </c>
      <c r="E508" s="39" t="str">
        <f>IFERROR(Sheet1!E508,0)</f>
        <v>ULTIMATE TYRE SERVICES PTY LTD</v>
      </c>
      <c r="F508" s="39" t="str">
        <f>IFERROR(IF(UPPER(TRIM(Sheet1!J508))="NH","Nhava Sheva",IF(UPPER(TRIM(Sheet1!J508))="ICD","ICD Dhannad",IF(UPPER(TRIM(Sheet1!J508))="TIHI","ICD Tihi",Sheet1!J508))),0)</f>
        <v>Nhava Sheva</v>
      </c>
      <c r="G508" s="39" t="str">
        <f>IFERROR(Sheet1!M508,0)</f>
        <v>Brisbane</v>
      </c>
      <c r="H508" s="39" t="str">
        <f>IFERROR(Sheet1!H508,0)</f>
        <v>Clearship</v>
      </c>
      <c r="I508" s="39" t="str">
        <f>IFERROR(Sheet1!G508,0)</f>
        <v>FOB</v>
      </c>
      <c r="J508" s="39" t="str">
        <f>IFERROR(Sheet1!K508,0)</f>
        <v>ANL</v>
      </c>
      <c r="K508" s="41">
        <f>IFERROR(Sheet1!A508,0)</f>
        <v>46123</v>
      </c>
      <c r="L508" s="41">
        <f>IFERROR(Sheet1!I508,0)</f>
        <v>46121</v>
      </c>
      <c r="M508" s="47" t="str">
        <f>IFERROR(Sheet1!P508,0)</f>
        <v>NA</v>
      </c>
      <c r="N508" s="42">
        <f>IFERROR(IF(ISNUMBER(Sheet1!N508),Sheet1!N508,0),0)</f>
        <v>1690</v>
      </c>
      <c r="O508" s="42">
        <f>IFERROR(IF(TRIM(F508)="Nhava Sheva",SUMPRODUCT((UPPER(TRIM('Origin Costs'!$A$5:$A$44))=UPPER(TRIM(J508)))*'Origin Costs'!$C$5:$C$44),IF(TRIM(F508)="ICD Tihi",SUMPRODUCT((UPPER(TRIM('Origin Costs'!$A$49:$A$88))=UPPER(TRIM(J508)))*'Origin Costs'!$C$49:$C$88),IF(TRIM(F508)="ICD Dhannad",SUMPRODUCT((UPPER(TRIM('Origin Costs'!$A$93:$A$132))=UPPER(TRIM(J508)))*'Origin Costs'!$C$93:$C$132),0))),0)</f>
        <v>0</v>
      </c>
      <c r="P508" s="42">
        <f t="shared" si="7"/>
        <v>1690</v>
      </c>
      <c r="Q508" s="13" t="str">
        <f>IF(OR(Dashboard!$C$4="All Customers",$E508=Dashboard!$C$4),IF($E508="","",$P508+ROW()/10000000),"")</f>
        <v/>
      </c>
    </row>
    <row r="509" spans="1:17" ht="14.25" customHeight="1" x14ac:dyDescent="0.3">
      <c r="A509" s="43" t="str">
        <f>IFERROR("FY"&amp;TEXT(MOD(IF(MONTH(Sheet1!A509)&gt;=4,YEAR(Sheet1!A509),YEAR(Sheet1!A509)-1),100),"00")&amp;"-"&amp;TEXT(MOD(IF(MONTH(Sheet1!A509)&gt;=4,YEAR(Sheet1!A509),YEAR(Sheet1!A509)-1)+1,100),"00"),"")</f>
        <v>FY26-27</v>
      </c>
      <c r="B509" s="44" t="str">
        <f>IFERROR("Q"&amp;IF(MONTH(Sheet1!A509)&gt;=4,IF(MONTH(Sheet1!A509)&lt;=6,1,IF(MONTH(Sheet1!A509)&lt;=9,2,3)),4),"")</f>
        <v>Q1</v>
      </c>
      <c r="C509" s="43" t="str">
        <f>IFERROR(Sheet1!C509,0)</f>
        <v>Oceania</v>
      </c>
      <c r="D509" s="43" t="str">
        <f>IFERROR(Sheet1!F509,0)</f>
        <v>Australia</v>
      </c>
      <c r="E509" s="43" t="str">
        <f>IFERROR(Sheet1!E509,0)</f>
        <v>ULTIMATE TYRE SERVICES PTY LTD</v>
      </c>
      <c r="F509" s="43" t="str">
        <f>IFERROR(IF(UPPER(TRIM(Sheet1!J509))="NH","Nhava Sheva",IF(UPPER(TRIM(Sheet1!J509))="ICD","ICD Dhannad",IF(UPPER(TRIM(Sheet1!J509))="TIHI","ICD Tihi",Sheet1!J509))),0)</f>
        <v>Nhava Sheva</v>
      </c>
      <c r="G509" s="43" t="str">
        <f>IFERROR(Sheet1!M509,0)</f>
        <v>Melbourne</v>
      </c>
      <c r="H509" s="43" t="str">
        <f>IFERROR(Sheet1!H509,0)</f>
        <v>Clearship</v>
      </c>
      <c r="I509" s="43" t="str">
        <f>IFERROR(Sheet1!G509,0)</f>
        <v>FOB</v>
      </c>
      <c r="J509" s="43" t="str">
        <f>IFERROR(Sheet1!K509,0)</f>
        <v>ANL</v>
      </c>
      <c r="K509" s="45">
        <f>IFERROR(Sheet1!A509,0)</f>
        <v>46123</v>
      </c>
      <c r="L509" s="45">
        <f>IFERROR(Sheet1!I509,0)</f>
        <v>46121</v>
      </c>
      <c r="M509" s="47" t="str">
        <f>IFERROR(Sheet1!P509,0)</f>
        <v>NA</v>
      </c>
      <c r="N509" s="46">
        <f>IFERROR(IF(ISNUMBER(Sheet1!N509),Sheet1!N509,0),0)</f>
        <v>1690</v>
      </c>
      <c r="O509" s="46">
        <f>IFERROR(IF(TRIM(F509)="Nhava Sheva",SUMPRODUCT((UPPER(TRIM('Origin Costs'!$A$5:$A$44))=UPPER(TRIM(J509)))*'Origin Costs'!$C$5:$C$44),IF(TRIM(F509)="ICD Tihi",SUMPRODUCT((UPPER(TRIM('Origin Costs'!$A$49:$A$88))=UPPER(TRIM(J509)))*'Origin Costs'!$C$49:$C$88),IF(TRIM(F509)="ICD Dhannad",SUMPRODUCT((UPPER(TRIM('Origin Costs'!$A$93:$A$132))=UPPER(TRIM(J509)))*'Origin Costs'!$C$93:$C$132),0))),0)</f>
        <v>0</v>
      </c>
      <c r="P509" s="46">
        <f t="shared" si="7"/>
        <v>1690</v>
      </c>
      <c r="Q509" s="13" t="str">
        <f>IF(OR(Dashboard!$C$4="All Customers",$E509=Dashboard!$C$4),IF($E509="","",$P509+ROW()/10000000),"")</f>
        <v/>
      </c>
    </row>
    <row r="510" spans="1:17" ht="14.25" customHeight="1" x14ac:dyDescent="0.3">
      <c r="A510" s="39" t="str">
        <f>IFERROR("FY"&amp;TEXT(MOD(IF(MONTH(Sheet1!A510)&gt;=4,YEAR(Sheet1!A510),YEAR(Sheet1!A510)-1),100),"00")&amp;"-"&amp;TEXT(MOD(IF(MONTH(Sheet1!A510)&gt;=4,YEAR(Sheet1!A510),YEAR(Sheet1!A510)-1)+1,100),"00"),"")</f>
        <v>FY26-27</v>
      </c>
      <c r="B510" s="40" t="str">
        <f>IFERROR("Q"&amp;IF(MONTH(Sheet1!A510)&gt;=4,IF(MONTH(Sheet1!A510)&lt;=6,1,IF(MONTH(Sheet1!A510)&lt;=9,2,3)),4),"")</f>
        <v>Q1</v>
      </c>
      <c r="C510" s="39" t="str">
        <f>IFERROR(Sheet1!C510,0)</f>
        <v>CIS</v>
      </c>
      <c r="D510" s="39" t="str">
        <f>IFERROR(Sheet1!F510,0)</f>
        <v>Belarus</v>
      </c>
      <c r="E510" s="39" t="str">
        <f>IFERROR(Sheet1!E510,0)</f>
        <v>Joint Limited Liability Company</v>
      </c>
      <c r="F510" s="39" t="str">
        <f>IFERROR(IF(UPPER(TRIM(Sheet1!J510))="NH","Nhava Sheva",IF(UPPER(TRIM(Sheet1!J510))="ICD","ICD Dhannad",IF(UPPER(TRIM(Sheet1!J510))="TIHI","ICD Tihi",Sheet1!J510))),0)</f>
        <v>Nhava Sheva</v>
      </c>
      <c r="G510" s="39" t="str">
        <f>IFERROR(Sheet1!M510,0)</f>
        <v>Novorossiysk</v>
      </c>
      <c r="H510" s="39" t="str">
        <f>IFERROR(Sheet1!H510,0)</f>
        <v>Somnath Shipping</v>
      </c>
      <c r="I510" s="39" t="str">
        <f>IFERROR(Sheet1!G510,0)</f>
        <v>CFR</v>
      </c>
      <c r="J510" s="39" t="str">
        <f>IFERROR(Sheet1!K510,0)</f>
        <v>10 Cubits</v>
      </c>
      <c r="K510" s="41">
        <f>IFERROR(Sheet1!A510,0)</f>
        <v>46127</v>
      </c>
      <c r="L510" s="41">
        <f>IFERROR(Sheet1!I510,0)</f>
        <v>46125</v>
      </c>
      <c r="M510" s="47" t="str">
        <f>IFERROR(Sheet1!P510,0)</f>
        <v>NA</v>
      </c>
      <c r="N510" s="42">
        <f>IFERROR(IF(ISNUMBER(Sheet1!N510),Sheet1!N510,0),0)</f>
        <v>4150</v>
      </c>
      <c r="O510" s="42">
        <f>IFERROR(IF(TRIM(F510)="Nhava Sheva",SUMPRODUCT((UPPER(TRIM('Origin Costs'!$A$5:$A$44))=UPPER(TRIM(J510)))*'Origin Costs'!$C$5:$C$44),IF(TRIM(F510)="ICD Tihi",SUMPRODUCT((UPPER(TRIM('Origin Costs'!$A$49:$A$88))=UPPER(TRIM(J510)))*'Origin Costs'!$C$49:$C$88),IF(TRIM(F510)="ICD Dhannad",SUMPRODUCT((UPPER(TRIM('Origin Costs'!$A$93:$A$132))=UPPER(TRIM(J510)))*'Origin Costs'!$C$93:$C$132),0))),0)</f>
        <v>0</v>
      </c>
      <c r="P510" s="42">
        <f t="shared" si="7"/>
        <v>4150</v>
      </c>
      <c r="Q510" s="13" t="str">
        <f>IF(OR(Dashboard!$C$4="All Customers",$E510=Dashboard!$C$4),IF($E510="","",$P510+ROW()/10000000),"")</f>
        <v/>
      </c>
    </row>
    <row r="511" spans="1:17" ht="14.25" customHeight="1" x14ac:dyDescent="0.3">
      <c r="A511" s="43" t="str">
        <f>IFERROR("FY"&amp;TEXT(MOD(IF(MONTH(Sheet1!A511)&gt;=4,YEAR(Sheet1!A511),YEAR(Sheet1!A511)-1),100),"00")&amp;"-"&amp;TEXT(MOD(IF(MONTH(Sheet1!A511)&gt;=4,YEAR(Sheet1!A511),YEAR(Sheet1!A511)-1)+1,100),"00"),"")</f>
        <v>FY26-27</v>
      </c>
      <c r="B511" s="44" t="str">
        <f>IFERROR("Q"&amp;IF(MONTH(Sheet1!A511)&gt;=4,IF(MONTH(Sheet1!A511)&lt;=6,1,IF(MONTH(Sheet1!A511)&lt;=9,2,3)),4),"")</f>
        <v>Q1</v>
      </c>
      <c r="C511" s="43" t="str">
        <f>IFERROR(Sheet1!C511,0)</f>
        <v>CIS</v>
      </c>
      <c r="D511" s="43" t="str">
        <f>IFERROR(Sheet1!F511,0)</f>
        <v>Belarus</v>
      </c>
      <c r="E511" s="43" t="str">
        <f>IFERROR(Sheet1!E511,0)</f>
        <v>Joint Limited Liability Company</v>
      </c>
      <c r="F511" s="43" t="str">
        <f>IFERROR(IF(UPPER(TRIM(Sheet1!J511))="NH","Nhava Sheva",IF(UPPER(TRIM(Sheet1!J511))="ICD","ICD Dhannad",IF(UPPER(TRIM(Sheet1!J511))="TIHI","ICD Tihi",Sheet1!J511))),0)</f>
        <v>Nhava Sheva</v>
      </c>
      <c r="G511" s="43" t="str">
        <f>IFERROR(Sheet1!M511,0)</f>
        <v>Novorossiysk</v>
      </c>
      <c r="H511" s="43" t="str">
        <f>IFERROR(Sheet1!H511,0)</f>
        <v>Somnath Shipping</v>
      </c>
      <c r="I511" s="43" t="str">
        <f>IFERROR(Sheet1!G511,0)</f>
        <v>CFR</v>
      </c>
      <c r="J511" s="43" t="str">
        <f>IFERROR(Sheet1!K511,0)</f>
        <v>10 Cubits</v>
      </c>
      <c r="K511" s="45">
        <f>IFERROR(Sheet1!A511,0)</f>
        <v>46127</v>
      </c>
      <c r="L511" s="45">
        <f>IFERROR(Sheet1!I511,0)</f>
        <v>46125</v>
      </c>
      <c r="M511" s="47" t="str">
        <f>IFERROR(Sheet1!P511,0)</f>
        <v>NA</v>
      </c>
      <c r="N511" s="46">
        <f>IFERROR(IF(ISNUMBER(Sheet1!N511),Sheet1!N511,0),0)</f>
        <v>4150</v>
      </c>
      <c r="O511" s="46">
        <f>IFERROR(IF(TRIM(F511)="Nhava Sheva",SUMPRODUCT((UPPER(TRIM('Origin Costs'!$A$5:$A$44))=UPPER(TRIM(J511)))*'Origin Costs'!$C$5:$C$44),IF(TRIM(F511)="ICD Tihi",SUMPRODUCT((UPPER(TRIM('Origin Costs'!$A$49:$A$88))=UPPER(TRIM(J511)))*'Origin Costs'!$C$49:$C$88),IF(TRIM(F511)="ICD Dhannad",SUMPRODUCT((UPPER(TRIM('Origin Costs'!$A$93:$A$132))=UPPER(TRIM(J511)))*'Origin Costs'!$C$93:$C$132),0))),0)</f>
        <v>0</v>
      </c>
      <c r="P511" s="46">
        <f t="shared" si="7"/>
        <v>4150</v>
      </c>
      <c r="Q511" s="13" t="str">
        <f>IF(OR(Dashboard!$C$4="All Customers",$E511=Dashboard!$C$4),IF($E511="","",$P511+ROW()/10000000),"")</f>
        <v/>
      </c>
    </row>
    <row r="512" spans="1:17" ht="14.25" customHeight="1" x14ac:dyDescent="0.3">
      <c r="A512" s="39" t="str">
        <f>IFERROR("FY"&amp;TEXT(MOD(IF(MONTH(Sheet1!A512)&gt;=4,YEAR(Sheet1!A512),YEAR(Sheet1!A512)-1),100),"00")&amp;"-"&amp;TEXT(MOD(IF(MONTH(Sheet1!A512)&gt;=4,YEAR(Sheet1!A512),YEAR(Sheet1!A512)-1)+1,100),"00"),"")</f>
        <v>FY26-27</v>
      </c>
      <c r="B512" s="40" t="str">
        <f>IFERROR("Q"&amp;IF(MONTH(Sheet1!A512)&gt;=4,IF(MONTH(Sheet1!A512)&lt;=6,1,IF(MONTH(Sheet1!A512)&lt;=9,2,3)),4),"")</f>
        <v>Q1</v>
      </c>
      <c r="C512" s="39" t="str">
        <f>IFERROR(Sheet1!C512,0)</f>
        <v>CIS</v>
      </c>
      <c r="D512" s="39" t="str">
        <f>IFERROR(Sheet1!F512,0)</f>
        <v>Belarus</v>
      </c>
      <c r="E512" s="39" t="str">
        <f>IFERROR(Sheet1!E512,0)</f>
        <v>Joint Limited Liability Company</v>
      </c>
      <c r="F512" s="39" t="str">
        <f>IFERROR(IF(UPPER(TRIM(Sheet1!J512))="NH","Nhava Sheva",IF(UPPER(TRIM(Sheet1!J512))="ICD","ICD Dhannad",IF(UPPER(TRIM(Sheet1!J512))="TIHI","ICD Tihi",Sheet1!J512))),0)</f>
        <v>Nhava Sheva</v>
      </c>
      <c r="G512" s="39" t="str">
        <f>IFERROR(Sheet1!M512,0)</f>
        <v>Novorossiysk</v>
      </c>
      <c r="H512" s="39" t="str">
        <f>IFERROR(Sheet1!H512,0)</f>
        <v>Somnath Shipping</v>
      </c>
      <c r="I512" s="39" t="str">
        <f>IFERROR(Sheet1!G512,0)</f>
        <v>CFR</v>
      </c>
      <c r="J512" s="39" t="str">
        <f>IFERROR(Sheet1!K512,0)</f>
        <v>10 Cubits</v>
      </c>
      <c r="K512" s="41">
        <f>IFERROR(Sheet1!A512,0)</f>
        <v>46127</v>
      </c>
      <c r="L512" s="41">
        <f>IFERROR(Sheet1!I512,0)</f>
        <v>46125</v>
      </c>
      <c r="M512" s="47" t="str">
        <f>IFERROR(Sheet1!P512,0)</f>
        <v>NA</v>
      </c>
      <c r="N512" s="42">
        <f>IFERROR(IF(ISNUMBER(Sheet1!N512),Sheet1!N512,0),0)</f>
        <v>4150</v>
      </c>
      <c r="O512" s="42">
        <f>IFERROR(IF(TRIM(F512)="Nhava Sheva",SUMPRODUCT((UPPER(TRIM('Origin Costs'!$A$5:$A$44))=UPPER(TRIM(J512)))*'Origin Costs'!$C$5:$C$44),IF(TRIM(F512)="ICD Tihi",SUMPRODUCT((UPPER(TRIM('Origin Costs'!$A$49:$A$88))=UPPER(TRIM(J512)))*'Origin Costs'!$C$49:$C$88),IF(TRIM(F512)="ICD Dhannad",SUMPRODUCT((UPPER(TRIM('Origin Costs'!$A$93:$A$132))=UPPER(TRIM(J512)))*'Origin Costs'!$C$93:$C$132),0))),0)</f>
        <v>0</v>
      </c>
      <c r="P512" s="42">
        <f t="shared" si="7"/>
        <v>4150</v>
      </c>
      <c r="Q512" s="13" t="str">
        <f>IF(OR(Dashboard!$C$4="All Customers",$E512=Dashboard!$C$4),IF($E512="","",$P512+ROW()/10000000),"")</f>
        <v/>
      </c>
    </row>
    <row r="513" spans="1:17" ht="14.25" customHeight="1" x14ac:dyDescent="0.3">
      <c r="A513" s="43" t="str">
        <f>IFERROR("FY"&amp;TEXT(MOD(IF(MONTH(Sheet1!A513)&gt;=4,YEAR(Sheet1!A513),YEAR(Sheet1!A513)-1),100),"00")&amp;"-"&amp;TEXT(MOD(IF(MONTH(Sheet1!A513)&gt;=4,YEAR(Sheet1!A513),YEAR(Sheet1!A513)-1)+1,100),"00"),"")</f>
        <v>FY26-27</v>
      </c>
      <c r="B513" s="44" t="str">
        <f>IFERROR("Q"&amp;IF(MONTH(Sheet1!A513)&gt;=4,IF(MONTH(Sheet1!A513)&lt;=6,1,IF(MONTH(Sheet1!A513)&lt;=9,2,3)),4),"")</f>
        <v>Q1</v>
      </c>
      <c r="C513" s="43" t="str">
        <f>IFERROR(Sheet1!C513,0)</f>
        <v>CIS</v>
      </c>
      <c r="D513" s="43" t="str">
        <f>IFERROR(Sheet1!F513,0)</f>
        <v>Belarus</v>
      </c>
      <c r="E513" s="43" t="str">
        <f>IFERROR(Sheet1!E513,0)</f>
        <v>Joint Limited Liability Company</v>
      </c>
      <c r="F513" s="43" t="str">
        <f>IFERROR(IF(UPPER(TRIM(Sheet1!J513))="NH","Nhava Sheva",IF(UPPER(TRIM(Sheet1!J513))="ICD","ICD Dhannad",IF(UPPER(TRIM(Sheet1!J513))="TIHI","ICD Tihi",Sheet1!J513))),0)</f>
        <v>Nhava Sheva</v>
      </c>
      <c r="G513" s="43" t="str">
        <f>IFERROR(Sheet1!M513,0)</f>
        <v>Novorossiysk</v>
      </c>
      <c r="H513" s="43" t="str">
        <f>IFERROR(Sheet1!H513,0)</f>
        <v>Somnath Shipping</v>
      </c>
      <c r="I513" s="43" t="str">
        <f>IFERROR(Sheet1!G513,0)</f>
        <v>CFR</v>
      </c>
      <c r="J513" s="43" t="str">
        <f>IFERROR(Sheet1!K513,0)</f>
        <v>10 Cubits</v>
      </c>
      <c r="K513" s="45">
        <f>IFERROR(Sheet1!A513,0)</f>
        <v>46127</v>
      </c>
      <c r="L513" s="45">
        <f>IFERROR(Sheet1!I513,0)</f>
        <v>46126</v>
      </c>
      <c r="M513" s="47" t="str">
        <f>IFERROR(Sheet1!P513,0)</f>
        <v>NA</v>
      </c>
      <c r="N513" s="46">
        <f>IFERROR(IF(ISNUMBER(Sheet1!N513),Sheet1!N513,0),0)</f>
        <v>4150</v>
      </c>
      <c r="O513" s="46">
        <f>IFERROR(IF(TRIM(F513)="Nhava Sheva",SUMPRODUCT((UPPER(TRIM('Origin Costs'!$A$5:$A$44))=UPPER(TRIM(J513)))*'Origin Costs'!$C$5:$C$44),IF(TRIM(F513)="ICD Tihi",SUMPRODUCT((UPPER(TRIM('Origin Costs'!$A$49:$A$88))=UPPER(TRIM(J513)))*'Origin Costs'!$C$49:$C$88),IF(TRIM(F513)="ICD Dhannad",SUMPRODUCT((UPPER(TRIM('Origin Costs'!$A$93:$A$132))=UPPER(TRIM(J513)))*'Origin Costs'!$C$93:$C$132),0))),0)</f>
        <v>0</v>
      </c>
      <c r="P513" s="46">
        <f t="shared" si="7"/>
        <v>4150</v>
      </c>
      <c r="Q513" s="13" t="str">
        <f>IF(OR(Dashboard!$C$4="All Customers",$E513=Dashboard!$C$4),IF($E513="","",$P513+ROW()/10000000),"")</f>
        <v/>
      </c>
    </row>
    <row r="514" spans="1:17" ht="14.25" customHeight="1" x14ac:dyDescent="0.3">
      <c r="A514" s="39" t="str">
        <f>IFERROR("FY"&amp;TEXT(MOD(IF(MONTH(Sheet1!A514)&gt;=4,YEAR(Sheet1!A514),YEAR(Sheet1!A514)-1),100),"00")&amp;"-"&amp;TEXT(MOD(IF(MONTH(Sheet1!A514)&gt;=4,YEAR(Sheet1!A514),YEAR(Sheet1!A514)-1)+1,100),"00"),"")</f>
        <v>FY26-27</v>
      </c>
      <c r="B514" s="40" t="str">
        <f>IFERROR("Q"&amp;IF(MONTH(Sheet1!A514)&gt;=4,IF(MONTH(Sheet1!A514)&lt;=6,1,IF(MONTH(Sheet1!A514)&lt;=9,2,3)),4),"")</f>
        <v>Q1</v>
      </c>
      <c r="C514" s="39" t="str">
        <f>IFERROR(Sheet1!C514,0)</f>
        <v>CIS</v>
      </c>
      <c r="D514" s="39" t="str">
        <f>IFERROR(Sheet1!F514,0)</f>
        <v>Belarus</v>
      </c>
      <c r="E514" s="39" t="str">
        <f>IFERROR(Sheet1!E514,0)</f>
        <v>Joint Limited Liability Company</v>
      </c>
      <c r="F514" s="39" t="str">
        <f>IFERROR(IF(UPPER(TRIM(Sheet1!J514))="NH","Nhava Sheva",IF(UPPER(TRIM(Sheet1!J514))="ICD","ICD Dhannad",IF(UPPER(TRIM(Sheet1!J514))="TIHI","ICD Tihi",Sheet1!J514))),0)</f>
        <v>Nhava Sheva</v>
      </c>
      <c r="G514" s="39" t="str">
        <f>IFERROR(Sheet1!M514,0)</f>
        <v>Novorossiysk</v>
      </c>
      <c r="H514" s="39" t="str">
        <f>IFERROR(Sheet1!H514,0)</f>
        <v>Somnath Shipping</v>
      </c>
      <c r="I514" s="39" t="str">
        <f>IFERROR(Sheet1!G514,0)</f>
        <v>CFR</v>
      </c>
      <c r="J514" s="39" t="str">
        <f>IFERROR(Sheet1!K514,0)</f>
        <v>10 Cubits</v>
      </c>
      <c r="K514" s="41">
        <f>IFERROR(Sheet1!A514,0)</f>
        <v>46127</v>
      </c>
      <c r="L514" s="41">
        <f>IFERROR(Sheet1!I514,0)</f>
        <v>46126</v>
      </c>
      <c r="M514" s="47" t="str">
        <f>IFERROR(Sheet1!P514,0)</f>
        <v>NA</v>
      </c>
      <c r="N514" s="42">
        <f>IFERROR(IF(ISNUMBER(Sheet1!N514),Sheet1!N514,0),0)</f>
        <v>4150</v>
      </c>
      <c r="O514" s="42">
        <f>IFERROR(IF(TRIM(F514)="Nhava Sheva",SUMPRODUCT((UPPER(TRIM('Origin Costs'!$A$5:$A$44))=UPPER(TRIM(J514)))*'Origin Costs'!$C$5:$C$44),IF(TRIM(F514)="ICD Tihi",SUMPRODUCT((UPPER(TRIM('Origin Costs'!$A$49:$A$88))=UPPER(TRIM(J514)))*'Origin Costs'!$C$49:$C$88),IF(TRIM(F514)="ICD Dhannad",SUMPRODUCT((UPPER(TRIM('Origin Costs'!$A$93:$A$132))=UPPER(TRIM(J514)))*'Origin Costs'!$C$93:$C$132),0))),0)</f>
        <v>0</v>
      </c>
      <c r="P514" s="42">
        <f t="shared" ref="P514:P577" si="8">N514+O514</f>
        <v>4150</v>
      </c>
      <c r="Q514" s="13" t="str">
        <f>IF(OR(Dashboard!$C$4="All Customers",$E514=Dashboard!$C$4),IF($E514="","",$P514+ROW()/10000000),"")</f>
        <v/>
      </c>
    </row>
    <row r="515" spans="1:17" ht="14.25" customHeight="1" x14ac:dyDescent="0.3">
      <c r="A515" s="43" t="str">
        <f>IFERROR("FY"&amp;TEXT(MOD(IF(MONTH(Sheet1!A515)&gt;=4,YEAR(Sheet1!A515),YEAR(Sheet1!A515)-1),100),"00")&amp;"-"&amp;TEXT(MOD(IF(MONTH(Sheet1!A515)&gt;=4,YEAR(Sheet1!A515),YEAR(Sheet1!A515)-1)+1,100),"00"),"")</f>
        <v>FY26-27</v>
      </c>
      <c r="B515" s="44" t="str">
        <f>IFERROR("Q"&amp;IF(MONTH(Sheet1!A515)&gt;=4,IF(MONTH(Sheet1!A515)&lt;=6,1,IF(MONTH(Sheet1!A515)&lt;=9,2,3)),4),"")</f>
        <v>Q1</v>
      </c>
      <c r="C515" s="43" t="str">
        <f>IFERROR(Sheet1!C515,0)</f>
        <v>CIS</v>
      </c>
      <c r="D515" s="43" t="str">
        <f>IFERROR(Sheet1!F515,0)</f>
        <v>Belarus</v>
      </c>
      <c r="E515" s="43" t="str">
        <f>IFERROR(Sheet1!E515,0)</f>
        <v>Joint Limited Liability Company</v>
      </c>
      <c r="F515" s="43" t="str">
        <f>IFERROR(IF(UPPER(TRIM(Sheet1!J515))="NH","Nhava Sheva",IF(UPPER(TRIM(Sheet1!J515))="ICD","ICD Dhannad",IF(UPPER(TRIM(Sheet1!J515))="TIHI","ICD Tihi",Sheet1!J515))),0)</f>
        <v>Nhava Sheva</v>
      </c>
      <c r="G515" s="43" t="str">
        <f>IFERROR(Sheet1!M515,0)</f>
        <v>Novorossiysk</v>
      </c>
      <c r="H515" s="43" t="str">
        <f>IFERROR(Sheet1!H515,0)</f>
        <v>Somnath Shipping</v>
      </c>
      <c r="I515" s="43" t="str">
        <f>IFERROR(Sheet1!G515,0)</f>
        <v>CFR</v>
      </c>
      <c r="J515" s="43" t="str">
        <f>IFERROR(Sheet1!K515,0)</f>
        <v>10 Cubits</v>
      </c>
      <c r="K515" s="45">
        <f>IFERROR(Sheet1!A515,0)</f>
        <v>46128</v>
      </c>
      <c r="L515" s="45">
        <f>IFERROR(Sheet1!I515,0)</f>
        <v>46125</v>
      </c>
      <c r="M515" s="47" t="str">
        <f>IFERROR(Sheet1!P515,0)</f>
        <v>NA</v>
      </c>
      <c r="N515" s="46">
        <f>IFERROR(IF(ISNUMBER(Sheet1!N515),Sheet1!N515,0),0)</f>
        <v>4150</v>
      </c>
      <c r="O515" s="46">
        <f>IFERROR(IF(TRIM(F515)="Nhava Sheva",SUMPRODUCT((UPPER(TRIM('Origin Costs'!$A$5:$A$44))=UPPER(TRIM(J515)))*'Origin Costs'!$C$5:$C$44),IF(TRIM(F515)="ICD Tihi",SUMPRODUCT((UPPER(TRIM('Origin Costs'!$A$49:$A$88))=UPPER(TRIM(J515)))*'Origin Costs'!$C$49:$C$88),IF(TRIM(F515)="ICD Dhannad",SUMPRODUCT((UPPER(TRIM('Origin Costs'!$A$93:$A$132))=UPPER(TRIM(J515)))*'Origin Costs'!$C$93:$C$132),0))),0)</f>
        <v>0</v>
      </c>
      <c r="P515" s="46">
        <f t="shared" si="8"/>
        <v>4150</v>
      </c>
      <c r="Q515" s="13" t="str">
        <f>IF(OR(Dashboard!$C$4="All Customers",$E515=Dashboard!$C$4),IF($E515="","",$P515+ROW()/10000000),"")</f>
        <v/>
      </c>
    </row>
    <row r="516" spans="1:17" ht="14.25" customHeight="1" x14ac:dyDescent="0.3">
      <c r="A516" s="39" t="str">
        <f>IFERROR("FY"&amp;TEXT(MOD(IF(MONTH(Sheet1!A516)&gt;=4,YEAR(Sheet1!A516),YEAR(Sheet1!A516)-1),100),"00")&amp;"-"&amp;TEXT(MOD(IF(MONTH(Sheet1!A516)&gt;=4,YEAR(Sheet1!A516),YEAR(Sheet1!A516)-1)+1,100),"00"),"")</f>
        <v>FY26-27</v>
      </c>
      <c r="B516" s="40" t="str">
        <f>IFERROR("Q"&amp;IF(MONTH(Sheet1!A516)&gt;=4,IF(MONTH(Sheet1!A516)&lt;=6,1,IF(MONTH(Sheet1!A516)&lt;=9,2,3)),4),"")</f>
        <v>Q1</v>
      </c>
      <c r="C516" s="39" t="str">
        <f>IFERROR(Sheet1!C516,0)</f>
        <v>CIS</v>
      </c>
      <c r="D516" s="39" t="str">
        <f>IFERROR(Sheet1!F516,0)</f>
        <v>Belarus</v>
      </c>
      <c r="E516" s="39" t="str">
        <f>IFERROR(Sheet1!E516,0)</f>
        <v>Joint Limited Liability Company</v>
      </c>
      <c r="F516" s="39" t="str">
        <f>IFERROR(IF(UPPER(TRIM(Sheet1!J516))="NH","Nhava Sheva",IF(UPPER(TRIM(Sheet1!J516))="ICD","ICD Dhannad",IF(UPPER(TRIM(Sheet1!J516))="TIHI","ICD Tihi",Sheet1!J516))),0)</f>
        <v>Nhava Sheva</v>
      </c>
      <c r="G516" s="39" t="str">
        <f>IFERROR(Sheet1!M516,0)</f>
        <v>Novorossiysk</v>
      </c>
      <c r="H516" s="39" t="str">
        <f>IFERROR(Sheet1!H516,0)</f>
        <v>Somnath Shipping</v>
      </c>
      <c r="I516" s="39" t="str">
        <f>IFERROR(Sheet1!G516,0)</f>
        <v>CFR</v>
      </c>
      <c r="J516" s="39" t="str">
        <f>IFERROR(Sheet1!K516,0)</f>
        <v>10 Cubits</v>
      </c>
      <c r="K516" s="41">
        <f>IFERROR(Sheet1!A516,0)</f>
        <v>46128</v>
      </c>
      <c r="L516" s="41">
        <f>IFERROR(Sheet1!I516,0)</f>
        <v>46125</v>
      </c>
      <c r="M516" s="47" t="str">
        <f>IFERROR(Sheet1!P516,0)</f>
        <v>NA</v>
      </c>
      <c r="N516" s="42">
        <f>IFERROR(IF(ISNUMBER(Sheet1!N516),Sheet1!N516,0),0)</f>
        <v>4150</v>
      </c>
      <c r="O516" s="42">
        <f>IFERROR(IF(TRIM(F516)="Nhava Sheva",SUMPRODUCT((UPPER(TRIM('Origin Costs'!$A$5:$A$44))=UPPER(TRIM(J516)))*'Origin Costs'!$C$5:$C$44),IF(TRIM(F516)="ICD Tihi",SUMPRODUCT((UPPER(TRIM('Origin Costs'!$A$49:$A$88))=UPPER(TRIM(J516)))*'Origin Costs'!$C$49:$C$88),IF(TRIM(F516)="ICD Dhannad",SUMPRODUCT((UPPER(TRIM('Origin Costs'!$A$93:$A$132))=UPPER(TRIM(J516)))*'Origin Costs'!$C$93:$C$132),0))),0)</f>
        <v>0</v>
      </c>
      <c r="P516" s="42">
        <f t="shared" si="8"/>
        <v>4150</v>
      </c>
      <c r="Q516" s="13" t="str">
        <f>IF(OR(Dashboard!$C$4="All Customers",$E516=Dashboard!$C$4),IF($E516="","",$P516+ROW()/10000000),"")</f>
        <v/>
      </c>
    </row>
    <row r="517" spans="1:17" ht="14.25" customHeight="1" x14ac:dyDescent="0.3">
      <c r="A517" s="43" t="str">
        <f>IFERROR("FY"&amp;TEXT(MOD(IF(MONTH(Sheet1!A517)&gt;=4,YEAR(Sheet1!A517),YEAR(Sheet1!A517)-1),100),"00")&amp;"-"&amp;TEXT(MOD(IF(MONTH(Sheet1!A517)&gt;=4,YEAR(Sheet1!A517),YEAR(Sheet1!A517)-1)+1,100),"00"),"")</f>
        <v>FY26-27</v>
      </c>
      <c r="B517" s="44" t="str">
        <f>IFERROR("Q"&amp;IF(MONTH(Sheet1!A517)&gt;=4,IF(MONTH(Sheet1!A517)&lt;=6,1,IF(MONTH(Sheet1!A517)&lt;=9,2,3)),4),"")</f>
        <v>Q1</v>
      </c>
      <c r="C517" s="43" t="str">
        <f>IFERROR(Sheet1!C517,0)</f>
        <v>CIS</v>
      </c>
      <c r="D517" s="43" t="str">
        <f>IFERROR(Sheet1!F517,0)</f>
        <v>Belarus</v>
      </c>
      <c r="E517" s="43" t="str">
        <f>IFERROR(Sheet1!E517,0)</f>
        <v>Joint Limited Liability Company</v>
      </c>
      <c r="F517" s="43" t="str">
        <f>IFERROR(IF(UPPER(TRIM(Sheet1!J517))="NH","Nhava Sheva",IF(UPPER(TRIM(Sheet1!J517))="ICD","ICD Dhannad",IF(UPPER(TRIM(Sheet1!J517))="TIHI","ICD Tihi",Sheet1!J517))),0)</f>
        <v>Nhava Sheva</v>
      </c>
      <c r="G517" s="43" t="str">
        <f>IFERROR(Sheet1!M517,0)</f>
        <v>Novorossiysk</v>
      </c>
      <c r="H517" s="43" t="str">
        <f>IFERROR(Sheet1!H517,0)</f>
        <v>Somnath Shipping</v>
      </c>
      <c r="I517" s="43" t="str">
        <f>IFERROR(Sheet1!G517,0)</f>
        <v>CFR</v>
      </c>
      <c r="J517" s="43" t="str">
        <f>IFERROR(Sheet1!K517,0)</f>
        <v>10 Cubits</v>
      </c>
      <c r="K517" s="45">
        <f>IFERROR(Sheet1!A517,0)</f>
        <v>46128</v>
      </c>
      <c r="L517" s="45">
        <f>IFERROR(Sheet1!I517,0)</f>
        <v>46126</v>
      </c>
      <c r="M517" s="47" t="str">
        <f>IFERROR(Sheet1!P517,0)</f>
        <v>NA</v>
      </c>
      <c r="N517" s="46">
        <f>IFERROR(IF(ISNUMBER(Sheet1!N517),Sheet1!N517,0),0)</f>
        <v>4150</v>
      </c>
      <c r="O517" s="46">
        <f>IFERROR(IF(TRIM(F517)="Nhava Sheva",SUMPRODUCT((UPPER(TRIM('Origin Costs'!$A$5:$A$44))=UPPER(TRIM(J517)))*'Origin Costs'!$C$5:$C$44),IF(TRIM(F517)="ICD Tihi",SUMPRODUCT((UPPER(TRIM('Origin Costs'!$A$49:$A$88))=UPPER(TRIM(J517)))*'Origin Costs'!$C$49:$C$88),IF(TRIM(F517)="ICD Dhannad",SUMPRODUCT((UPPER(TRIM('Origin Costs'!$A$93:$A$132))=UPPER(TRIM(J517)))*'Origin Costs'!$C$93:$C$132),0))),0)</f>
        <v>0</v>
      </c>
      <c r="P517" s="46">
        <f t="shared" si="8"/>
        <v>4150</v>
      </c>
      <c r="Q517" s="13" t="str">
        <f>IF(OR(Dashboard!$C$4="All Customers",$E517=Dashboard!$C$4),IF($E517="","",$P517+ROW()/10000000),"")</f>
        <v/>
      </c>
    </row>
    <row r="518" spans="1:17" ht="14.25" customHeight="1" x14ac:dyDescent="0.3">
      <c r="A518" s="39" t="str">
        <f>IFERROR("FY"&amp;TEXT(MOD(IF(MONTH(Sheet1!A518)&gt;=4,YEAR(Sheet1!A518),YEAR(Sheet1!A518)-1),100),"00")&amp;"-"&amp;TEXT(MOD(IF(MONTH(Sheet1!A518)&gt;=4,YEAR(Sheet1!A518),YEAR(Sheet1!A518)-1)+1,100),"00"),"")</f>
        <v>FY26-27</v>
      </c>
      <c r="B518" s="40" t="str">
        <f>IFERROR("Q"&amp;IF(MONTH(Sheet1!A518)&gt;=4,IF(MONTH(Sheet1!A518)&lt;=6,1,IF(MONTH(Sheet1!A518)&lt;=9,2,3)),4),"")</f>
        <v>Q1</v>
      </c>
      <c r="C518" s="39" t="str">
        <f>IFERROR(Sheet1!C518,0)</f>
        <v>CIS</v>
      </c>
      <c r="D518" s="39" t="str">
        <f>IFERROR(Sheet1!F518,0)</f>
        <v>Belarus</v>
      </c>
      <c r="E518" s="39" t="str">
        <f>IFERROR(Sheet1!E518,0)</f>
        <v>Joint Limited Liability Company</v>
      </c>
      <c r="F518" s="39" t="str">
        <f>IFERROR(IF(UPPER(TRIM(Sheet1!J518))="NH","Nhava Sheva",IF(UPPER(TRIM(Sheet1!J518))="ICD","ICD Dhannad",IF(UPPER(TRIM(Sheet1!J518))="TIHI","ICD Tihi",Sheet1!J518))),0)</f>
        <v>Nhava Sheva</v>
      </c>
      <c r="G518" s="39" t="str">
        <f>IFERROR(Sheet1!M518,0)</f>
        <v>Novorossiysk</v>
      </c>
      <c r="H518" s="39" t="str">
        <f>IFERROR(Sheet1!H518,0)</f>
        <v>Somnath Shipping</v>
      </c>
      <c r="I518" s="39" t="str">
        <f>IFERROR(Sheet1!G518,0)</f>
        <v>CFR</v>
      </c>
      <c r="J518" s="39" t="str">
        <f>IFERROR(Sheet1!K518,0)</f>
        <v>10 Cubits</v>
      </c>
      <c r="K518" s="41">
        <f>IFERROR(Sheet1!A518,0)</f>
        <v>46128</v>
      </c>
      <c r="L518" s="41">
        <f>IFERROR(Sheet1!I518,0)</f>
        <v>46126</v>
      </c>
      <c r="M518" s="47" t="str">
        <f>IFERROR(Sheet1!P518,0)</f>
        <v>NA</v>
      </c>
      <c r="N518" s="42">
        <f>IFERROR(IF(ISNUMBER(Sheet1!N518),Sheet1!N518,0),0)</f>
        <v>4150</v>
      </c>
      <c r="O518" s="42">
        <f>IFERROR(IF(TRIM(F518)="Nhava Sheva",SUMPRODUCT((UPPER(TRIM('Origin Costs'!$A$5:$A$44))=UPPER(TRIM(J518)))*'Origin Costs'!$C$5:$C$44),IF(TRIM(F518)="ICD Tihi",SUMPRODUCT((UPPER(TRIM('Origin Costs'!$A$49:$A$88))=UPPER(TRIM(J518)))*'Origin Costs'!$C$49:$C$88),IF(TRIM(F518)="ICD Dhannad",SUMPRODUCT((UPPER(TRIM('Origin Costs'!$A$93:$A$132))=UPPER(TRIM(J518)))*'Origin Costs'!$C$93:$C$132),0))),0)</f>
        <v>0</v>
      </c>
      <c r="P518" s="42">
        <f t="shared" si="8"/>
        <v>4150</v>
      </c>
      <c r="Q518" s="13" t="str">
        <f>IF(OR(Dashboard!$C$4="All Customers",$E518=Dashboard!$C$4),IF($E518="","",$P518+ROW()/10000000),"")</f>
        <v/>
      </c>
    </row>
    <row r="519" spans="1:17" ht="14.25" customHeight="1" x14ac:dyDescent="0.3">
      <c r="A519" s="43" t="str">
        <f>IFERROR("FY"&amp;TEXT(MOD(IF(MONTH(Sheet1!A519)&gt;=4,YEAR(Sheet1!A519),YEAR(Sheet1!A519)-1),100),"00")&amp;"-"&amp;TEXT(MOD(IF(MONTH(Sheet1!A519)&gt;=4,YEAR(Sheet1!A519),YEAR(Sheet1!A519)-1)+1,100),"00"),"")</f>
        <v>FY26-27</v>
      </c>
      <c r="B519" s="44" t="str">
        <f>IFERROR("Q"&amp;IF(MONTH(Sheet1!A519)&gt;=4,IF(MONTH(Sheet1!A519)&lt;=6,1,IF(MONTH(Sheet1!A519)&lt;=9,2,3)),4),"")</f>
        <v>Q1</v>
      </c>
      <c r="C519" s="43" t="str">
        <f>IFERROR(Sheet1!C519,0)</f>
        <v>CIS</v>
      </c>
      <c r="D519" s="43" t="str">
        <f>IFERROR(Sheet1!F519,0)</f>
        <v>Belarus</v>
      </c>
      <c r="E519" s="43" t="str">
        <f>IFERROR(Sheet1!E519,0)</f>
        <v>Joint Limited Liability Company</v>
      </c>
      <c r="F519" s="43" t="str">
        <f>IFERROR(IF(UPPER(TRIM(Sheet1!J519))="NH","Nhava Sheva",IF(UPPER(TRIM(Sheet1!J519))="ICD","ICD Dhannad",IF(UPPER(TRIM(Sheet1!J519))="TIHI","ICD Tihi",Sheet1!J519))),0)</f>
        <v>Nhava Sheva</v>
      </c>
      <c r="G519" s="43" t="str">
        <f>IFERROR(Sheet1!M519,0)</f>
        <v>Novorossiysk</v>
      </c>
      <c r="H519" s="43" t="str">
        <f>IFERROR(Sheet1!H519,0)</f>
        <v>Somnath Shipping</v>
      </c>
      <c r="I519" s="43" t="str">
        <f>IFERROR(Sheet1!G519,0)</f>
        <v>CFR</v>
      </c>
      <c r="J519" s="43" t="str">
        <f>IFERROR(Sheet1!K519,0)</f>
        <v>10 Cubits</v>
      </c>
      <c r="K519" s="45">
        <f>IFERROR(Sheet1!A519,0)</f>
        <v>46128</v>
      </c>
      <c r="L519" s="45">
        <f>IFERROR(Sheet1!I519,0)</f>
        <v>46126</v>
      </c>
      <c r="M519" s="47" t="str">
        <f>IFERROR(Sheet1!P519,0)</f>
        <v>NA</v>
      </c>
      <c r="N519" s="46">
        <f>IFERROR(IF(ISNUMBER(Sheet1!N519),Sheet1!N519,0),0)</f>
        <v>4150</v>
      </c>
      <c r="O519" s="46">
        <f>IFERROR(IF(TRIM(F519)="Nhava Sheva",SUMPRODUCT((UPPER(TRIM('Origin Costs'!$A$5:$A$44))=UPPER(TRIM(J519)))*'Origin Costs'!$C$5:$C$44),IF(TRIM(F519)="ICD Tihi",SUMPRODUCT((UPPER(TRIM('Origin Costs'!$A$49:$A$88))=UPPER(TRIM(J519)))*'Origin Costs'!$C$49:$C$88),IF(TRIM(F519)="ICD Dhannad",SUMPRODUCT((UPPER(TRIM('Origin Costs'!$A$93:$A$132))=UPPER(TRIM(J519)))*'Origin Costs'!$C$93:$C$132),0))),0)</f>
        <v>0</v>
      </c>
      <c r="P519" s="46">
        <f t="shared" si="8"/>
        <v>4150</v>
      </c>
      <c r="Q519" s="13" t="str">
        <f>IF(OR(Dashboard!$C$4="All Customers",$E519=Dashboard!$C$4),IF($E519="","",$P519+ROW()/10000000),"")</f>
        <v/>
      </c>
    </row>
    <row r="520" spans="1:17" ht="14.25" customHeight="1" x14ac:dyDescent="0.3">
      <c r="A520" s="39" t="str">
        <f>IFERROR("FY"&amp;TEXT(MOD(IF(MONTH(Sheet1!A520)&gt;=4,YEAR(Sheet1!A520),YEAR(Sheet1!A520)-1),100),"00")&amp;"-"&amp;TEXT(MOD(IF(MONTH(Sheet1!A520)&gt;=4,YEAR(Sheet1!A520),YEAR(Sheet1!A520)-1)+1,100),"00"),"")</f>
        <v>FY26-27</v>
      </c>
      <c r="B520" s="40" t="str">
        <f>IFERROR("Q"&amp;IF(MONTH(Sheet1!A520)&gt;=4,IF(MONTH(Sheet1!A520)&lt;=6,1,IF(MONTH(Sheet1!A520)&lt;=9,2,3)),4),"")</f>
        <v>Q1</v>
      </c>
      <c r="C520" s="39" t="str">
        <f>IFERROR(Sheet1!C520,0)</f>
        <v>Africa</v>
      </c>
      <c r="D520" s="39" t="str">
        <f>IFERROR(Sheet1!F520,0)</f>
        <v>South Africa</v>
      </c>
      <c r="E520" s="39" t="str">
        <f>IFERROR(Sheet1!E520,0)</f>
        <v>Vaal Tyre, South Africa</v>
      </c>
      <c r="F520" s="39" t="str">
        <f>IFERROR(IF(UPPER(TRIM(Sheet1!J520))="NH","Nhava Sheva",IF(UPPER(TRIM(Sheet1!J520))="ICD","ICD Dhannad",IF(UPPER(TRIM(Sheet1!J520))="TIHI","ICD Tihi",Sheet1!J520))),0)</f>
        <v>Nhava Sheva</v>
      </c>
      <c r="G520" s="39" t="str">
        <f>IFERROR(Sheet1!M520,0)</f>
        <v>Durban</v>
      </c>
      <c r="H520" s="39" t="str">
        <f>IFERROR(Sheet1!H520,0)</f>
        <v>Hellmann</v>
      </c>
      <c r="I520" s="39" t="str">
        <f>IFERROR(Sheet1!G520,0)</f>
        <v>CIF</v>
      </c>
      <c r="J520" s="39" t="str">
        <f>IFERROR(Sheet1!K520,0)</f>
        <v>Maersk</v>
      </c>
      <c r="K520" s="41">
        <f>IFERROR(Sheet1!A520,0)</f>
        <v>46128</v>
      </c>
      <c r="L520" s="41">
        <f>IFERROR(Sheet1!I520,0)</f>
        <v>46127</v>
      </c>
      <c r="M520" s="47" t="str">
        <f>IFERROR(Sheet1!P520,0)</f>
        <v>NA</v>
      </c>
      <c r="N520" s="42">
        <f>IFERROR(IF(ISNUMBER(Sheet1!N520),Sheet1!N520,0),0)</f>
        <v>1230</v>
      </c>
      <c r="O520" s="42">
        <f>IFERROR(IF(TRIM(F520)="Nhava Sheva",SUMPRODUCT((UPPER(TRIM('Origin Costs'!$A$5:$A$44))=UPPER(TRIM(J520)))*'Origin Costs'!$C$5:$C$44),IF(TRIM(F520)="ICD Tihi",SUMPRODUCT((UPPER(TRIM('Origin Costs'!$A$49:$A$88))=UPPER(TRIM(J520)))*'Origin Costs'!$C$49:$C$88),IF(TRIM(F520)="ICD Dhannad",SUMPRODUCT((UPPER(TRIM('Origin Costs'!$A$93:$A$132))=UPPER(TRIM(J520)))*'Origin Costs'!$C$93:$C$132),0))),0)</f>
        <v>1148.588888888889</v>
      </c>
      <c r="P520" s="42">
        <f t="shared" si="8"/>
        <v>2378.588888888889</v>
      </c>
      <c r="Q520" s="13" t="str">
        <f>IF(OR(Dashboard!$C$4="All Customers",$E520=Dashboard!$C$4),IF($E520="","",$P520+ROW()/10000000),"")</f>
        <v/>
      </c>
    </row>
    <row r="521" spans="1:17" ht="14.25" customHeight="1" x14ac:dyDescent="0.3">
      <c r="A521" s="43" t="str">
        <f>IFERROR("FY"&amp;TEXT(MOD(IF(MONTH(Sheet1!A521)&gt;=4,YEAR(Sheet1!A521),YEAR(Sheet1!A521)-1),100),"00")&amp;"-"&amp;TEXT(MOD(IF(MONTH(Sheet1!A521)&gt;=4,YEAR(Sheet1!A521),YEAR(Sheet1!A521)-1)+1,100),"00"),"")</f>
        <v>FY26-27</v>
      </c>
      <c r="B521" s="44" t="str">
        <f>IFERROR("Q"&amp;IF(MONTH(Sheet1!A521)&gt;=4,IF(MONTH(Sheet1!A521)&lt;=6,1,IF(MONTH(Sheet1!A521)&lt;=9,2,3)),4),"")</f>
        <v>Q1</v>
      </c>
      <c r="C521" s="43" t="str">
        <f>IFERROR(Sheet1!C521,0)</f>
        <v>Africa</v>
      </c>
      <c r="D521" s="43" t="str">
        <f>IFERROR(Sheet1!F521,0)</f>
        <v>South Africa</v>
      </c>
      <c r="E521" s="43" t="str">
        <f>IFERROR(Sheet1!E521,0)</f>
        <v>Vaal Tyre, South Africa</v>
      </c>
      <c r="F521" s="43" t="str">
        <f>IFERROR(IF(UPPER(TRIM(Sheet1!J521))="NH","Nhava Sheva",IF(UPPER(TRIM(Sheet1!J521))="ICD","ICD Dhannad",IF(UPPER(TRIM(Sheet1!J521))="TIHI","ICD Tihi",Sheet1!J521))),0)</f>
        <v>Nhava Sheva</v>
      </c>
      <c r="G521" s="43" t="str">
        <f>IFERROR(Sheet1!M521,0)</f>
        <v>Durban</v>
      </c>
      <c r="H521" s="43" t="str">
        <f>IFERROR(Sheet1!H521,0)</f>
        <v>Hellmann</v>
      </c>
      <c r="I521" s="43" t="str">
        <f>IFERROR(Sheet1!G521,0)</f>
        <v>CIF</v>
      </c>
      <c r="J521" s="43" t="str">
        <f>IFERROR(Sheet1!K521,0)</f>
        <v>Maersk</v>
      </c>
      <c r="K521" s="45">
        <f>IFERROR(Sheet1!A521,0)</f>
        <v>46128</v>
      </c>
      <c r="L521" s="45">
        <f>IFERROR(Sheet1!I521,0)</f>
        <v>46127</v>
      </c>
      <c r="M521" s="47" t="str">
        <f>IFERROR(Sheet1!P521,0)</f>
        <v>NA</v>
      </c>
      <c r="N521" s="46">
        <f>IFERROR(IF(ISNUMBER(Sheet1!N521),Sheet1!N521,0),0)</f>
        <v>1230</v>
      </c>
      <c r="O521" s="46">
        <f>IFERROR(IF(TRIM(F521)="Nhava Sheva",SUMPRODUCT((UPPER(TRIM('Origin Costs'!$A$5:$A$44))=UPPER(TRIM(J521)))*'Origin Costs'!$C$5:$C$44),IF(TRIM(F521)="ICD Tihi",SUMPRODUCT((UPPER(TRIM('Origin Costs'!$A$49:$A$88))=UPPER(TRIM(J521)))*'Origin Costs'!$C$49:$C$88),IF(TRIM(F521)="ICD Dhannad",SUMPRODUCT((UPPER(TRIM('Origin Costs'!$A$93:$A$132))=UPPER(TRIM(J521)))*'Origin Costs'!$C$93:$C$132),0))),0)</f>
        <v>1148.588888888889</v>
      </c>
      <c r="P521" s="46">
        <f t="shared" si="8"/>
        <v>2378.588888888889</v>
      </c>
      <c r="Q521" s="13" t="str">
        <f>IF(OR(Dashboard!$C$4="All Customers",$E521=Dashboard!$C$4),IF($E521="","",$P521+ROW()/10000000),"")</f>
        <v/>
      </c>
    </row>
    <row r="522" spans="1:17" ht="14.25" customHeight="1" x14ac:dyDescent="0.3">
      <c r="A522" s="39" t="str">
        <f>IFERROR("FY"&amp;TEXT(MOD(IF(MONTH(Sheet1!A522)&gt;=4,YEAR(Sheet1!A522),YEAR(Sheet1!A522)-1),100),"00")&amp;"-"&amp;TEXT(MOD(IF(MONTH(Sheet1!A522)&gt;=4,YEAR(Sheet1!A522),YEAR(Sheet1!A522)-1)+1,100),"00"),"")</f>
        <v>FY26-27</v>
      </c>
      <c r="B522" s="40" t="str">
        <f>IFERROR("Q"&amp;IF(MONTH(Sheet1!A522)&gt;=4,IF(MONTH(Sheet1!A522)&lt;=6,1,IF(MONTH(Sheet1!A522)&lt;=9,2,3)),4),"")</f>
        <v>Q1</v>
      </c>
      <c r="C522" s="39" t="str">
        <f>IFERROR(Sheet1!C522,0)</f>
        <v>S.A.</v>
      </c>
      <c r="D522" s="39" t="str">
        <f>IFERROR(Sheet1!F522,0)</f>
        <v>Columbia</v>
      </c>
      <c r="E522" s="39" t="str">
        <f>IFERROR(Sheet1!E522,0)</f>
        <v>ACOSTALLANTAS S.A</v>
      </c>
      <c r="F522" s="39" t="str">
        <f>IFERROR(IF(UPPER(TRIM(Sheet1!J522))="NH","Nhava Sheva",IF(UPPER(TRIM(Sheet1!J522))="ICD","ICD Dhannad",IF(UPPER(TRIM(Sheet1!J522))="TIHI","ICD Tihi",Sheet1!J522))),0)</f>
        <v>Nhava Sheva</v>
      </c>
      <c r="G522" s="39" t="str">
        <f>IFERROR(Sheet1!M522,0)</f>
        <v>Buenaventura</v>
      </c>
      <c r="H522" s="39" t="str">
        <f>IFERROR(Sheet1!H522,0)</f>
        <v>Varridhi</v>
      </c>
      <c r="I522" s="39" t="str">
        <f>IFERROR(Sheet1!G522,0)</f>
        <v>CFR</v>
      </c>
      <c r="J522" s="39" t="str">
        <f>IFERROR(Sheet1!K522,0)</f>
        <v>Maersk</v>
      </c>
      <c r="K522" s="41">
        <f>IFERROR(Sheet1!A522,0)</f>
        <v>46130</v>
      </c>
      <c r="L522" s="41">
        <f>IFERROR(Sheet1!I522,0)</f>
        <v>46128</v>
      </c>
      <c r="M522" s="47" t="str">
        <f>IFERROR(Sheet1!P522,0)</f>
        <v>NA</v>
      </c>
      <c r="N522" s="42">
        <f>IFERROR(IF(ISNUMBER(Sheet1!N522),Sheet1!N522,0),0)</f>
        <v>2315</v>
      </c>
      <c r="O522" s="42">
        <f>IFERROR(IF(TRIM(F522)="Nhava Sheva",SUMPRODUCT((UPPER(TRIM('Origin Costs'!$A$5:$A$44))=UPPER(TRIM(J522)))*'Origin Costs'!$C$5:$C$44),IF(TRIM(F522)="ICD Tihi",SUMPRODUCT((UPPER(TRIM('Origin Costs'!$A$49:$A$88))=UPPER(TRIM(J522)))*'Origin Costs'!$C$49:$C$88),IF(TRIM(F522)="ICD Dhannad",SUMPRODUCT((UPPER(TRIM('Origin Costs'!$A$93:$A$132))=UPPER(TRIM(J522)))*'Origin Costs'!$C$93:$C$132),0))),0)</f>
        <v>1148.588888888889</v>
      </c>
      <c r="P522" s="42">
        <f t="shared" si="8"/>
        <v>3463.588888888889</v>
      </c>
      <c r="Q522" s="13" t="str">
        <f>IF(OR(Dashboard!$C$4="All Customers",$E522=Dashboard!$C$4),IF($E522="","",$P522+ROW()/10000000),"")</f>
        <v/>
      </c>
    </row>
    <row r="523" spans="1:17" ht="14.25" customHeight="1" x14ac:dyDescent="0.3">
      <c r="A523" s="43" t="str">
        <f>IFERROR("FY"&amp;TEXT(MOD(IF(MONTH(Sheet1!A523)&gt;=4,YEAR(Sheet1!A523),YEAR(Sheet1!A523)-1),100),"00")&amp;"-"&amp;TEXT(MOD(IF(MONTH(Sheet1!A523)&gt;=4,YEAR(Sheet1!A523),YEAR(Sheet1!A523)-1)+1,100),"00"),"")</f>
        <v>FY26-27</v>
      </c>
      <c r="B523" s="44" t="str">
        <f>IFERROR("Q"&amp;IF(MONTH(Sheet1!A523)&gt;=4,IF(MONTH(Sheet1!A523)&lt;=6,1,IF(MONTH(Sheet1!A523)&lt;=9,2,3)),4),"")</f>
        <v>Q1</v>
      </c>
      <c r="C523" s="43" t="str">
        <f>IFERROR(Sheet1!C523,0)</f>
        <v>S.A.</v>
      </c>
      <c r="D523" s="43" t="str">
        <f>IFERROR(Sheet1!F523,0)</f>
        <v>Columbia</v>
      </c>
      <c r="E523" s="43" t="str">
        <f>IFERROR(Sheet1!E523,0)</f>
        <v>LLANTAS NARINO SAS</v>
      </c>
      <c r="F523" s="43" t="str">
        <f>IFERROR(IF(UPPER(TRIM(Sheet1!J523))="NH","Nhava Sheva",IF(UPPER(TRIM(Sheet1!J523))="ICD","ICD Dhannad",IF(UPPER(TRIM(Sheet1!J523))="TIHI","ICD Tihi",Sheet1!J523))),0)</f>
        <v>Nhava Sheva</v>
      </c>
      <c r="G523" s="43" t="str">
        <f>IFERROR(Sheet1!M523,0)</f>
        <v>Buenaventura</v>
      </c>
      <c r="H523" s="43" t="str">
        <f>IFERROR(Sheet1!H523,0)</f>
        <v>Hind Freight</v>
      </c>
      <c r="I523" s="43" t="str">
        <f>IFERROR(Sheet1!G523,0)</f>
        <v>FOB</v>
      </c>
      <c r="J523" s="43" t="str">
        <f>IFERROR(Sheet1!K523,0)</f>
        <v>Evergreen</v>
      </c>
      <c r="K523" s="45">
        <f>IFERROR(Sheet1!A523,0)</f>
        <v>46132</v>
      </c>
      <c r="L523" s="45">
        <f>IFERROR(Sheet1!I523,0)</f>
        <v>46130</v>
      </c>
      <c r="M523" s="47" t="str">
        <f>IFERROR(Sheet1!P523,0)</f>
        <v>NA</v>
      </c>
      <c r="N523" s="46">
        <f>IFERROR(IF(ISNUMBER(Sheet1!N523),Sheet1!N523,0),0)</f>
        <v>0</v>
      </c>
      <c r="O523" s="46">
        <f>IFERROR(IF(TRIM(F523)="Nhava Sheva",SUMPRODUCT((UPPER(TRIM('Origin Costs'!$A$5:$A$44))=UPPER(TRIM(J523)))*'Origin Costs'!$C$5:$C$44),IF(TRIM(F523)="ICD Tihi",SUMPRODUCT((UPPER(TRIM('Origin Costs'!$A$49:$A$88))=UPPER(TRIM(J523)))*'Origin Costs'!$C$49:$C$88),IF(TRIM(F523)="ICD Dhannad",SUMPRODUCT((UPPER(TRIM('Origin Costs'!$A$93:$A$132))=UPPER(TRIM(J523)))*'Origin Costs'!$C$93:$C$132),0))),0)</f>
        <v>0</v>
      </c>
      <c r="P523" s="46">
        <f t="shared" si="8"/>
        <v>0</v>
      </c>
      <c r="Q523" s="13" t="str">
        <f>IF(OR(Dashboard!$C$4="All Customers",$E523=Dashboard!$C$4),IF($E523="","",$P523+ROW()/10000000),"")</f>
        <v/>
      </c>
    </row>
    <row r="524" spans="1:17" ht="14.25" customHeight="1" x14ac:dyDescent="0.3">
      <c r="A524" s="39" t="str">
        <f>IFERROR("FY"&amp;TEXT(MOD(IF(MONTH(Sheet1!A524)&gt;=4,YEAR(Sheet1!A524),YEAR(Sheet1!A524)-1),100),"00")&amp;"-"&amp;TEXT(MOD(IF(MONTH(Sheet1!A524)&gt;=4,YEAR(Sheet1!A524),YEAR(Sheet1!A524)-1)+1,100),"00"),"")</f>
        <v>FY26-27</v>
      </c>
      <c r="B524" s="40" t="str">
        <f>IFERROR("Q"&amp;IF(MONTH(Sheet1!A524)&gt;=4,IF(MONTH(Sheet1!A524)&lt;=6,1,IF(MONTH(Sheet1!A524)&lt;=9,2,3)),4),"")</f>
        <v>Q1</v>
      </c>
      <c r="C524" s="39" t="str">
        <f>IFERROR(Sheet1!C524,0)</f>
        <v>Europe</v>
      </c>
      <c r="D524" s="39" t="str">
        <f>IFERROR(Sheet1!F524,0)</f>
        <v>Bulgaria</v>
      </c>
      <c r="E524" s="39" t="str">
        <f>IFERROR(Sheet1!E524,0)</f>
        <v>Primex EOOD</v>
      </c>
      <c r="F524" s="39" t="str">
        <f>IFERROR(IF(UPPER(TRIM(Sheet1!J524))="NH","Nhava Sheva",IF(UPPER(TRIM(Sheet1!J524))="ICD","ICD Dhannad",IF(UPPER(TRIM(Sheet1!J524))="TIHI","ICD Tihi",Sheet1!J524))),0)</f>
        <v>Nhava Sheva</v>
      </c>
      <c r="G524" s="39" t="str">
        <f>IFERROR(Sheet1!M524,0)</f>
        <v>Varna</v>
      </c>
      <c r="H524" s="39" t="str">
        <f>IFERROR(Sheet1!H524,0)</f>
        <v>Hind Freight</v>
      </c>
      <c r="I524" s="39" t="str">
        <f>IFERROR(Sheet1!G524,0)</f>
        <v>CIF</v>
      </c>
      <c r="J524" s="39" t="str">
        <f>IFERROR(Sheet1!K524,0)</f>
        <v>ONE</v>
      </c>
      <c r="K524" s="41">
        <f>IFERROR(Sheet1!A524,0)</f>
        <v>46132</v>
      </c>
      <c r="L524" s="41">
        <f>IFERROR(Sheet1!I524,0)</f>
        <v>46128</v>
      </c>
      <c r="M524" s="47" t="str">
        <f>IFERROR(Sheet1!P524,0)</f>
        <v>NA</v>
      </c>
      <c r="N524" s="42">
        <f>IFERROR(IF(ISNUMBER(Sheet1!N524),Sheet1!N524,0),0)</f>
        <v>2500</v>
      </c>
      <c r="O524" s="42">
        <f>IFERROR(IF(TRIM(F524)="Nhava Sheva",SUMPRODUCT((UPPER(TRIM('Origin Costs'!$A$5:$A$44))=UPPER(TRIM(J524)))*'Origin Costs'!$C$5:$C$44),IF(TRIM(F524)="ICD Tihi",SUMPRODUCT((UPPER(TRIM('Origin Costs'!$A$49:$A$88))=UPPER(TRIM(J524)))*'Origin Costs'!$C$49:$C$88),IF(TRIM(F524)="ICD Dhannad",SUMPRODUCT((UPPER(TRIM('Origin Costs'!$A$93:$A$132))=UPPER(TRIM(J524)))*'Origin Costs'!$C$93:$C$132),0))),0)</f>
        <v>1146.5555555555557</v>
      </c>
      <c r="P524" s="42">
        <f t="shared" si="8"/>
        <v>3646.5555555555557</v>
      </c>
      <c r="Q524" s="13" t="str">
        <f>IF(OR(Dashboard!$C$4="All Customers",$E524=Dashboard!$C$4),IF($E524="","",$P524+ROW()/10000000),"")</f>
        <v/>
      </c>
    </row>
    <row r="525" spans="1:17" ht="14.25" customHeight="1" x14ac:dyDescent="0.3">
      <c r="A525" s="43" t="str">
        <f>IFERROR("FY"&amp;TEXT(MOD(IF(MONTH(Sheet1!A525)&gt;=4,YEAR(Sheet1!A525),YEAR(Sheet1!A525)-1),100),"00")&amp;"-"&amp;TEXT(MOD(IF(MONTH(Sheet1!A525)&gt;=4,YEAR(Sheet1!A525),YEAR(Sheet1!A525)-1)+1,100),"00"),"")</f>
        <v>FY26-27</v>
      </c>
      <c r="B525" s="44" t="str">
        <f>IFERROR("Q"&amp;IF(MONTH(Sheet1!A525)&gt;=4,IF(MONTH(Sheet1!A525)&lt;=6,1,IF(MONTH(Sheet1!A525)&lt;=9,2,3)),4),"")</f>
        <v>Q1</v>
      </c>
      <c r="C525" s="43" t="str">
        <f>IFERROR(Sheet1!C525,0)</f>
        <v>Europe</v>
      </c>
      <c r="D525" s="43" t="str">
        <f>IFERROR(Sheet1!F525,0)</f>
        <v>Bulgaria</v>
      </c>
      <c r="E525" s="43" t="str">
        <f>IFERROR(Sheet1!E525,0)</f>
        <v>Primex EOOD</v>
      </c>
      <c r="F525" s="43" t="str">
        <f>IFERROR(IF(UPPER(TRIM(Sheet1!J525))="NH","Nhava Sheva",IF(UPPER(TRIM(Sheet1!J525))="ICD","ICD Dhannad",IF(UPPER(TRIM(Sheet1!J525))="TIHI","ICD Tihi",Sheet1!J525))),0)</f>
        <v>Nhava Sheva</v>
      </c>
      <c r="G525" s="43" t="str">
        <f>IFERROR(Sheet1!M525,0)</f>
        <v>Varna</v>
      </c>
      <c r="H525" s="43" t="str">
        <f>IFERROR(Sheet1!H525,0)</f>
        <v>Hind Freight</v>
      </c>
      <c r="I525" s="43" t="str">
        <f>IFERROR(Sheet1!G525,0)</f>
        <v>CIF</v>
      </c>
      <c r="J525" s="43" t="str">
        <f>IFERROR(Sheet1!K525,0)</f>
        <v>ONE</v>
      </c>
      <c r="K525" s="45">
        <f>IFERROR(Sheet1!A525,0)</f>
        <v>46132</v>
      </c>
      <c r="L525" s="45">
        <f>IFERROR(Sheet1!I525,0)</f>
        <v>46128</v>
      </c>
      <c r="M525" s="47" t="str">
        <f>IFERROR(Sheet1!P525,0)</f>
        <v>NA</v>
      </c>
      <c r="N525" s="46">
        <f>IFERROR(IF(ISNUMBER(Sheet1!N525),Sheet1!N525,0),0)</f>
        <v>2500</v>
      </c>
      <c r="O525" s="46">
        <f>IFERROR(IF(TRIM(F525)="Nhava Sheva",SUMPRODUCT((UPPER(TRIM('Origin Costs'!$A$5:$A$44))=UPPER(TRIM(J525)))*'Origin Costs'!$C$5:$C$44),IF(TRIM(F525)="ICD Tihi",SUMPRODUCT((UPPER(TRIM('Origin Costs'!$A$49:$A$88))=UPPER(TRIM(J525)))*'Origin Costs'!$C$49:$C$88),IF(TRIM(F525)="ICD Dhannad",SUMPRODUCT((UPPER(TRIM('Origin Costs'!$A$93:$A$132))=UPPER(TRIM(J525)))*'Origin Costs'!$C$93:$C$132),0))),0)</f>
        <v>1146.5555555555557</v>
      </c>
      <c r="P525" s="46">
        <f t="shared" si="8"/>
        <v>3646.5555555555557</v>
      </c>
      <c r="Q525" s="13" t="str">
        <f>IF(OR(Dashboard!$C$4="All Customers",$E525=Dashboard!$C$4),IF($E525="","",$P525+ROW()/10000000),"")</f>
        <v/>
      </c>
    </row>
    <row r="526" spans="1:17" ht="14.25" customHeight="1" x14ac:dyDescent="0.3">
      <c r="A526" s="39" t="str">
        <f>IFERROR("FY"&amp;TEXT(MOD(IF(MONTH(Sheet1!A526)&gt;=4,YEAR(Sheet1!A526),YEAR(Sheet1!A526)-1),100),"00")&amp;"-"&amp;TEXT(MOD(IF(MONTH(Sheet1!A526)&gt;=4,YEAR(Sheet1!A526),YEAR(Sheet1!A526)-1)+1,100),"00"),"")</f>
        <v>FY26-27</v>
      </c>
      <c r="B526" s="40" t="str">
        <f>IFERROR("Q"&amp;IF(MONTH(Sheet1!A526)&gt;=4,IF(MONTH(Sheet1!A526)&lt;=6,1,IF(MONTH(Sheet1!A526)&lt;=9,2,3)),4),"")</f>
        <v>Q1</v>
      </c>
      <c r="C526" s="39" t="str">
        <f>IFERROR(Sheet1!C526,0)</f>
        <v>S.A.</v>
      </c>
      <c r="D526" s="39" t="str">
        <f>IFERROR(Sheet1!F526,0)</f>
        <v>Columbia</v>
      </c>
      <c r="E526" s="39" t="str">
        <f>IFERROR(Sheet1!E526,0)</f>
        <v>REDLLANTAS S.A</v>
      </c>
      <c r="F526" s="39" t="str">
        <f>IFERROR(IF(UPPER(TRIM(Sheet1!J526))="NH","Nhava Sheva",IF(UPPER(TRIM(Sheet1!J526))="ICD","ICD Dhannad",IF(UPPER(TRIM(Sheet1!J526))="TIHI","ICD Tihi",Sheet1!J526))),0)</f>
        <v>Nhava Sheva</v>
      </c>
      <c r="G526" s="39" t="str">
        <f>IFERROR(Sheet1!M526,0)</f>
        <v>Buenaventura</v>
      </c>
      <c r="H526" s="39" t="str">
        <f>IFERROR(Sheet1!H526,0)</f>
        <v>Mentor Freight</v>
      </c>
      <c r="I526" s="39" t="str">
        <f>IFERROR(Sheet1!G526,0)</f>
        <v>FOB</v>
      </c>
      <c r="J526" s="39" t="str">
        <f>IFERROR(Sheet1!K526,0)</f>
        <v>MSC</v>
      </c>
      <c r="K526" s="41">
        <f>IFERROR(Sheet1!A526,0)</f>
        <v>46133</v>
      </c>
      <c r="L526" s="41">
        <f>IFERROR(Sheet1!I526,0)</f>
        <v>46131</v>
      </c>
      <c r="M526" s="47" t="str">
        <f>IFERROR(Sheet1!P526,0)</f>
        <v>NA</v>
      </c>
      <c r="N526" s="42">
        <f>IFERROR(IF(ISNUMBER(Sheet1!N526),Sheet1!N526,0),0)</f>
        <v>0</v>
      </c>
      <c r="O526" s="42">
        <f>IFERROR(IF(TRIM(F526)="Nhava Sheva",SUMPRODUCT((UPPER(TRIM('Origin Costs'!$A$5:$A$44))=UPPER(TRIM(J526)))*'Origin Costs'!$C$5:$C$44),IF(TRIM(F526)="ICD Tihi",SUMPRODUCT((UPPER(TRIM('Origin Costs'!$A$49:$A$88))=UPPER(TRIM(J526)))*'Origin Costs'!$C$49:$C$88),IF(TRIM(F526)="ICD Dhannad",SUMPRODUCT((UPPER(TRIM('Origin Costs'!$A$93:$A$132))=UPPER(TRIM(J526)))*'Origin Costs'!$C$93:$C$132),0))),0)</f>
        <v>1168.8222222222223</v>
      </c>
      <c r="P526" s="42">
        <f t="shared" si="8"/>
        <v>1168.8222222222223</v>
      </c>
      <c r="Q526" s="13" t="str">
        <f>IF(OR(Dashboard!$C$4="All Customers",$E526=Dashboard!$C$4),IF($E526="","",$P526+ROW()/10000000),"")</f>
        <v/>
      </c>
    </row>
    <row r="527" spans="1:17" ht="14.25" customHeight="1" x14ac:dyDescent="0.3">
      <c r="A527" s="43" t="str">
        <f>IFERROR("FY"&amp;TEXT(MOD(IF(MONTH(Sheet1!A527)&gt;=4,YEAR(Sheet1!A527),YEAR(Sheet1!A527)-1),100),"00")&amp;"-"&amp;TEXT(MOD(IF(MONTH(Sheet1!A527)&gt;=4,YEAR(Sheet1!A527),YEAR(Sheet1!A527)-1)+1,100),"00"),"")</f>
        <v>FY26-27</v>
      </c>
      <c r="B527" s="44" t="str">
        <f>IFERROR("Q"&amp;IF(MONTH(Sheet1!A527)&gt;=4,IF(MONTH(Sheet1!A527)&lt;=6,1,IF(MONTH(Sheet1!A527)&lt;=9,2,3)),4),"")</f>
        <v>Q1</v>
      </c>
      <c r="C527" s="43" t="str">
        <f>IFERROR(Sheet1!C527,0)</f>
        <v>S.A.</v>
      </c>
      <c r="D527" s="43" t="str">
        <f>IFERROR(Sheet1!F527,0)</f>
        <v>Columbia</v>
      </c>
      <c r="E527" s="43" t="str">
        <f>IFERROR(Sheet1!E527,0)</f>
        <v>REDLLANTAS S.A</v>
      </c>
      <c r="F527" s="43" t="str">
        <f>IFERROR(IF(UPPER(TRIM(Sheet1!J527))="NH","Nhava Sheva",IF(UPPER(TRIM(Sheet1!J527))="ICD","ICD Dhannad",IF(UPPER(TRIM(Sheet1!J527))="TIHI","ICD Tihi",Sheet1!J527))),0)</f>
        <v>Nhava Sheva</v>
      </c>
      <c r="G527" s="43" t="str">
        <f>IFERROR(Sheet1!M527,0)</f>
        <v>Buenaventura</v>
      </c>
      <c r="H527" s="43" t="str">
        <f>IFERROR(Sheet1!H527,0)</f>
        <v>Mentor Freight</v>
      </c>
      <c r="I527" s="43" t="str">
        <f>IFERROR(Sheet1!G527,0)</f>
        <v>FOB</v>
      </c>
      <c r="J527" s="43" t="str">
        <f>IFERROR(Sheet1!K527,0)</f>
        <v>MSC</v>
      </c>
      <c r="K527" s="45">
        <f>IFERROR(Sheet1!A527,0)</f>
        <v>46133</v>
      </c>
      <c r="L527" s="45">
        <f>IFERROR(Sheet1!I527,0)</f>
        <v>46131</v>
      </c>
      <c r="M527" s="47" t="str">
        <f>IFERROR(Sheet1!P527,0)</f>
        <v>NA</v>
      </c>
      <c r="N527" s="46">
        <f>IFERROR(IF(ISNUMBER(Sheet1!N527),Sheet1!N527,0),0)</f>
        <v>0</v>
      </c>
      <c r="O527" s="46">
        <f>IFERROR(IF(TRIM(F527)="Nhava Sheva",SUMPRODUCT((UPPER(TRIM('Origin Costs'!$A$5:$A$44))=UPPER(TRIM(J527)))*'Origin Costs'!$C$5:$C$44),IF(TRIM(F527)="ICD Tihi",SUMPRODUCT((UPPER(TRIM('Origin Costs'!$A$49:$A$88))=UPPER(TRIM(J527)))*'Origin Costs'!$C$49:$C$88),IF(TRIM(F527)="ICD Dhannad",SUMPRODUCT((UPPER(TRIM('Origin Costs'!$A$93:$A$132))=UPPER(TRIM(J527)))*'Origin Costs'!$C$93:$C$132),0))),0)</f>
        <v>1168.8222222222223</v>
      </c>
      <c r="P527" s="46">
        <f t="shared" si="8"/>
        <v>1168.8222222222223</v>
      </c>
      <c r="Q527" s="13" t="str">
        <f>IF(OR(Dashboard!$C$4="All Customers",$E527=Dashboard!$C$4),IF($E527="","",$P527+ROW()/10000000),"")</f>
        <v/>
      </c>
    </row>
    <row r="528" spans="1:17" ht="14.25" customHeight="1" x14ac:dyDescent="0.3">
      <c r="A528" s="39" t="str">
        <f>IFERROR("FY"&amp;TEXT(MOD(IF(MONTH(Sheet1!A528)&gt;=4,YEAR(Sheet1!A528),YEAR(Sheet1!A528)-1),100),"00")&amp;"-"&amp;TEXT(MOD(IF(MONTH(Sheet1!A528)&gt;=4,YEAR(Sheet1!A528),YEAR(Sheet1!A528)-1)+1,100),"00"),"")</f>
        <v>FY26-27</v>
      </c>
      <c r="B528" s="40" t="str">
        <f>IFERROR("Q"&amp;IF(MONTH(Sheet1!A528)&gt;=4,IF(MONTH(Sheet1!A528)&lt;=6,1,IF(MONTH(Sheet1!A528)&lt;=9,2,3)),4),"")</f>
        <v>Q1</v>
      </c>
      <c r="C528" s="39" t="str">
        <f>IFERROR(Sheet1!C528,0)</f>
        <v>Africa</v>
      </c>
      <c r="D528" s="39" t="str">
        <f>IFERROR(Sheet1!F528,0)</f>
        <v>Tanzania</v>
      </c>
      <c r="E528" s="39" t="str">
        <f>IFERROR(Sheet1!E528,0)</f>
        <v>SUMERU GLOBAL DMCC-Tanzania</v>
      </c>
      <c r="F528" s="39" t="str">
        <f>IFERROR(IF(UPPER(TRIM(Sheet1!J528))="NH","Nhava Sheva",IF(UPPER(TRIM(Sheet1!J528))="ICD","ICD Dhannad",IF(UPPER(TRIM(Sheet1!J528))="TIHI","ICD Tihi",Sheet1!J528))),0)</f>
        <v>Nhava Sheva</v>
      </c>
      <c r="G528" s="39" t="str">
        <f>IFERROR(Sheet1!M528,0)</f>
        <v>DAR ES SALAAM</v>
      </c>
      <c r="H528" s="39" t="str">
        <f>IFERROR(Sheet1!H528,0)</f>
        <v>Sevenseas</v>
      </c>
      <c r="I528" s="39" t="str">
        <f>IFERROR(Sheet1!G528,0)</f>
        <v>FOB</v>
      </c>
      <c r="J528" s="39" t="str">
        <f>IFERROR(Sheet1!K528,0)</f>
        <v>CMA</v>
      </c>
      <c r="K528" s="41">
        <f>IFERROR(Sheet1!A528,0)</f>
        <v>46134</v>
      </c>
      <c r="L528" s="41">
        <f>IFERROR(Sheet1!I528,0)</f>
        <v>46132</v>
      </c>
      <c r="M528" s="47" t="str">
        <f>IFERROR(Sheet1!P528,0)</f>
        <v>NA</v>
      </c>
      <c r="N528" s="42">
        <f>IFERROR(IF(ISNUMBER(Sheet1!N528),Sheet1!N528,0),0)</f>
        <v>0</v>
      </c>
      <c r="O528" s="42">
        <f>IFERROR(IF(TRIM(F528)="Nhava Sheva",SUMPRODUCT((UPPER(TRIM('Origin Costs'!$A$5:$A$44))=UPPER(TRIM(J528)))*'Origin Costs'!$C$5:$C$44),IF(TRIM(F528)="ICD Tihi",SUMPRODUCT((UPPER(TRIM('Origin Costs'!$A$49:$A$88))=UPPER(TRIM(J528)))*'Origin Costs'!$C$49:$C$88),IF(TRIM(F528)="ICD Dhannad",SUMPRODUCT((UPPER(TRIM('Origin Costs'!$A$93:$A$132))=UPPER(TRIM(J528)))*'Origin Costs'!$C$93:$C$132),0))),0)</f>
        <v>0</v>
      </c>
      <c r="P528" s="42">
        <f t="shared" si="8"/>
        <v>0</v>
      </c>
      <c r="Q528" s="13" t="str">
        <f>IF(OR(Dashboard!$C$4="All Customers",$E528=Dashboard!$C$4),IF($E528="","",$P528+ROW()/10000000),"")</f>
        <v/>
      </c>
    </row>
    <row r="529" spans="1:17" ht="14.25" customHeight="1" x14ac:dyDescent="0.3">
      <c r="A529" s="43" t="str">
        <f>IFERROR("FY"&amp;TEXT(MOD(IF(MONTH(Sheet1!A529)&gt;=4,YEAR(Sheet1!A529),YEAR(Sheet1!A529)-1),100),"00")&amp;"-"&amp;TEXT(MOD(IF(MONTH(Sheet1!A529)&gt;=4,YEAR(Sheet1!A529),YEAR(Sheet1!A529)-1)+1,100),"00"),"")</f>
        <v>FY26-27</v>
      </c>
      <c r="B529" s="44" t="str">
        <f>IFERROR("Q"&amp;IF(MONTH(Sheet1!A529)&gt;=4,IF(MONTH(Sheet1!A529)&lt;=6,1,IF(MONTH(Sheet1!A529)&lt;=9,2,3)),4),"")</f>
        <v>Q1</v>
      </c>
      <c r="C529" s="43" t="str">
        <f>IFERROR(Sheet1!C529,0)</f>
        <v>S.A.</v>
      </c>
      <c r="D529" s="43" t="str">
        <f>IFERROR(Sheet1!F529,0)</f>
        <v>Mexico</v>
      </c>
      <c r="E529" s="43" t="str">
        <f>IFERROR(Sheet1!E529,0)</f>
        <v>PC tyres, Mexico</v>
      </c>
      <c r="F529" s="43" t="str">
        <f>IFERROR(IF(UPPER(TRIM(Sheet1!J529))="NH","Nhava Sheva",IF(UPPER(TRIM(Sheet1!J529))="ICD","ICD Dhannad",IF(UPPER(TRIM(Sheet1!J529))="TIHI","ICD Tihi",Sheet1!J529))),0)</f>
        <v>Nhava Sheva</v>
      </c>
      <c r="G529" s="43" t="str">
        <f>IFERROR(Sheet1!M529,0)</f>
        <v>Manzanillo</v>
      </c>
      <c r="H529" s="43" t="str">
        <f>IFERROR(Sheet1!H529,0)</f>
        <v>Sanjay Forwarder</v>
      </c>
      <c r="I529" s="43" t="str">
        <f>IFERROR(Sheet1!G529,0)</f>
        <v>FOB</v>
      </c>
      <c r="J529" s="43" t="str">
        <f>IFERROR(Sheet1!K529,0)</f>
        <v>Maersk</v>
      </c>
      <c r="K529" s="45">
        <f>IFERROR(Sheet1!A529,0)</f>
        <v>46135</v>
      </c>
      <c r="L529" s="45">
        <f>IFERROR(Sheet1!I529,0)</f>
        <v>46134</v>
      </c>
      <c r="M529" s="47" t="str">
        <f>IFERROR(Sheet1!P529,0)</f>
        <v>NA</v>
      </c>
      <c r="N529" s="46">
        <f>IFERROR(IF(ISNUMBER(Sheet1!N529),Sheet1!N529,0),0)</f>
        <v>2350</v>
      </c>
      <c r="O529" s="46">
        <f>IFERROR(IF(TRIM(F529)="Nhava Sheva",SUMPRODUCT((UPPER(TRIM('Origin Costs'!$A$5:$A$44))=UPPER(TRIM(J529)))*'Origin Costs'!$C$5:$C$44),IF(TRIM(F529)="ICD Tihi",SUMPRODUCT((UPPER(TRIM('Origin Costs'!$A$49:$A$88))=UPPER(TRIM(J529)))*'Origin Costs'!$C$49:$C$88),IF(TRIM(F529)="ICD Dhannad",SUMPRODUCT((UPPER(TRIM('Origin Costs'!$A$93:$A$132))=UPPER(TRIM(J529)))*'Origin Costs'!$C$93:$C$132),0))),0)</f>
        <v>1148.588888888889</v>
      </c>
      <c r="P529" s="46">
        <f t="shared" si="8"/>
        <v>3498.588888888889</v>
      </c>
      <c r="Q529" s="13" t="str">
        <f>IF(OR(Dashboard!$C$4="All Customers",$E529=Dashboard!$C$4),IF($E529="","",$P529+ROW()/10000000),"")</f>
        <v/>
      </c>
    </row>
    <row r="530" spans="1:17" ht="14.25" customHeight="1" x14ac:dyDescent="0.3">
      <c r="A530" s="39" t="str">
        <f>IFERROR("FY"&amp;TEXT(MOD(IF(MONTH(Sheet1!A530)&gt;=4,YEAR(Sheet1!A530),YEAR(Sheet1!A530)-1),100),"00")&amp;"-"&amp;TEXT(MOD(IF(MONTH(Sheet1!A530)&gt;=4,YEAR(Sheet1!A530),YEAR(Sheet1!A530)-1)+1,100),"00"),"")</f>
        <v>FY26-27</v>
      </c>
      <c r="B530" s="40" t="str">
        <f>IFERROR("Q"&amp;IF(MONTH(Sheet1!A530)&gt;=4,IF(MONTH(Sheet1!A530)&lt;=6,1,IF(MONTH(Sheet1!A530)&lt;=9,2,3)),4),"")</f>
        <v>Q1</v>
      </c>
      <c r="C530" s="39" t="str">
        <f>IFERROR(Sheet1!C530,0)</f>
        <v>Africa</v>
      </c>
      <c r="D530" s="39" t="str">
        <f>IFERROR(Sheet1!F530,0)</f>
        <v>Rwanda</v>
      </c>
      <c r="E530" s="39" t="str">
        <f>IFERROR(Sheet1!E530,0)</f>
        <v>SUMERU GLOBAL DMCC-Rwanda</v>
      </c>
      <c r="F530" s="39" t="str">
        <f>IFERROR(IF(UPPER(TRIM(Sheet1!J530))="NH","Nhava Sheva",IF(UPPER(TRIM(Sheet1!J530))="ICD","ICD Dhannad",IF(UPPER(TRIM(Sheet1!J530))="TIHI","ICD Tihi",Sheet1!J530))),0)</f>
        <v>Nhava Sheva</v>
      </c>
      <c r="G530" s="39" t="str">
        <f>IFERROR(Sheet1!M530,0)</f>
        <v>DAR ES SALAAM</v>
      </c>
      <c r="H530" s="39" t="str">
        <f>IFERROR(Sheet1!H530,0)</f>
        <v>Deugro Projects</v>
      </c>
      <c r="I530" s="39" t="str">
        <f>IFERROR(Sheet1!G530,0)</f>
        <v>FOB</v>
      </c>
      <c r="J530" s="39" t="str">
        <f>IFERROR(Sheet1!K530,0)</f>
        <v>Maersk</v>
      </c>
      <c r="K530" s="41">
        <f>IFERROR(Sheet1!A530,0)</f>
        <v>46135</v>
      </c>
      <c r="L530" s="41">
        <f>IFERROR(Sheet1!I530,0)</f>
        <v>46133</v>
      </c>
      <c r="M530" s="47" t="str">
        <f>IFERROR(Sheet1!P530,0)</f>
        <v>NA</v>
      </c>
      <c r="N530" s="42">
        <f>IFERROR(IF(ISNUMBER(Sheet1!N530),Sheet1!N530,0),0)</f>
        <v>0</v>
      </c>
      <c r="O530" s="42">
        <f>IFERROR(IF(TRIM(F530)="Nhava Sheva",SUMPRODUCT((UPPER(TRIM('Origin Costs'!$A$5:$A$44))=UPPER(TRIM(J530)))*'Origin Costs'!$C$5:$C$44),IF(TRIM(F530)="ICD Tihi",SUMPRODUCT((UPPER(TRIM('Origin Costs'!$A$49:$A$88))=UPPER(TRIM(J530)))*'Origin Costs'!$C$49:$C$88),IF(TRIM(F530)="ICD Dhannad",SUMPRODUCT((UPPER(TRIM('Origin Costs'!$A$93:$A$132))=UPPER(TRIM(J530)))*'Origin Costs'!$C$93:$C$132),0))),0)</f>
        <v>1148.588888888889</v>
      </c>
      <c r="P530" s="42">
        <f t="shared" si="8"/>
        <v>1148.588888888889</v>
      </c>
      <c r="Q530" s="13" t="str">
        <f>IF(OR(Dashboard!$C$4="All Customers",$E530=Dashboard!$C$4),IF($E530="","",$P530+ROW()/10000000),"")</f>
        <v/>
      </c>
    </row>
    <row r="531" spans="1:17" ht="14.25" customHeight="1" x14ac:dyDescent="0.3">
      <c r="A531" s="43" t="str">
        <f>IFERROR("FY"&amp;TEXT(MOD(IF(MONTH(Sheet1!A531)&gt;=4,YEAR(Sheet1!A531),YEAR(Sheet1!A531)-1),100),"00")&amp;"-"&amp;TEXT(MOD(IF(MONTH(Sheet1!A531)&gt;=4,YEAR(Sheet1!A531),YEAR(Sheet1!A531)-1)+1,100),"00"),"")</f>
        <v>FY26-27</v>
      </c>
      <c r="B531" s="44" t="str">
        <f>IFERROR("Q"&amp;IF(MONTH(Sheet1!A531)&gt;=4,IF(MONTH(Sheet1!A531)&lt;=6,1,IF(MONTH(Sheet1!A531)&lt;=9,2,3)),4),"")</f>
        <v>Q1</v>
      </c>
      <c r="C531" s="43" t="str">
        <f>IFERROR(Sheet1!C531,0)</f>
        <v>Africa</v>
      </c>
      <c r="D531" s="43" t="str">
        <f>IFERROR(Sheet1!F531,0)</f>
        <v>Zambia</v>
      </c>
      <c r="E531" s="43" t="str">
        <f>IFERROR(Sheet1!E531,0)</f>
        <v>SUMERU GLOBAL DMCC-Zambia</v>
      </c>
      <c r="F531" s="43" t="str">
        <f>IFERROR(IF(UPPER(TRIM(Sheet1!J531))="NH","Nhava Sheva",IF(UPPER(TRIM(Sheet1!J531))="ICD","ICD Dhannad",IF(UPPER(TRIM(Sheet1!J531))="TIHI","ICD Tihi",Sheet1!J531))),0)</f>
        <v>Nhava Sheva</v>
      </c>
      <c r="G531" s="43" t="str">
        <f>IFERROR(Sheet1!M531,0)</f>
        <v>DAR ES SALAAM</v>
      </c>
      <c r="H531" s="43" t="str">
        <f>IFERROR(Sheet1!H531,0)</f>
        <v>Deugro Projects</v>
      </c>
      <c r="I531" s="43" t="str">
        <f>IFERROR(Sheet1!G531,0)</f>
        <v>FOB</v>
      </c>
      <c r="J531" s="43" t="str">
        <f>IFERROR(Sheet1!K531,0)</f>
        <v>Maersk</v>
      </c>
      <c r="K531" s="45">
        <f>IFERROR(Sheet1!A531,0)</f>
        <v>46135</v>
      </c>
      <c r="L531" s="45">
        <f>IFERROR(Sheet1!I531,0)</f>
        <v>46133</v>
      </c>
      <c r="M531" s="47" t="str">
        <f>IFERROR(Sheet1!P531,0)</f>
        <v>NA</v>
      </c>
      <c r="N531" s="46">
        <f>IFERROR(IF(ISNUMBER(Sheet1!N531),Sheet1!N531,0),0)</f>
        <v>0</v>
      </c>
      <c r="O531" s="46">
        <f>IFERROR(IF(TRIM(F531)="Nhava Sheva",SUMPRODUCT((UPPER(TRIM('Origin Costs'!$A$5:$A$44))=UPPER(TRIM(J531)))*'Origin Costs'!$C$5:$C$44),IF(TRIM(F531)="ICD Tihi",SUMPRODUCT((UPPER(TRIM('Origin Costs'!$A$49:$A$88))=UPPER(TRIM(J531)))*'Origin Costs'!$C$49:$C$88),IF(TRIM(F531)="ICD Dhannad",SUMPRODUCT((UPPER(TRIM('Origin Costs'!$A$93:$A$132))=UPPER(TRIM(J531)))*'Origin Costs'!$C$93:$C$132),0))),0)</f>
        <v>1148.588888888889</v>
      </c>
      <c r="P531" s="46">
        <f t="shared" si="8"/>
        <v>1148.588888888889</v>
      </c>
      <c r="Q531" s="13" t="str">
        <f>IF(OR(Dashboard!$C$4="All Customers",$E531=Dashboard!$C$4),IF($E531="","",$P531+ROW()/10000000),"")</f>
        <v/>
      </c>
    </row>
    <row r="532" spans="1:17" ht="14.25" customHeight="1" x14ac:dyDescent="0.3">
      <c r="A532" s="39" t="str">
        <f>IFERROR("FY"&amp;TEXT(MOD(IF(MONTH(Sheet1!A532)&gt;=4,YEAR(Sheet1!A532),YEAR(Sheet1!A532)-1),100),"00")&amp;"-"&amp;TEXT(MOD(IF(MONTH(Sheet1!A532)&gt;=4,YEAR(Sheet1!A532),YEAR(Sheet1!A532)-1)+1,100),"00"),"")</f>
        <v>FY26-27</v>
      </c>
      <c r="B532" s="40" t="str">
        <f>IFERROR("Q"&amp;IF(MONTH(Sheet1!A532)&gt;=4,IF(MONTH(Sheet1!A532)&lt;=6,1,IF(MONTH(Sheet1!A532)&lt;=9,2,3)),4),"")</f>
        <v>Q1</v>
      </c>
      <c r="C532" s="39" t="str">
        <f>IFERROR(Sheet1!C532,0)</f>
        <v>Africa</v>
      </c>
      <c r="D532" s="39" t="str">
        <f>IFERROR(Sheet1!F532,0)</f>
        <v>Zambia</v>
      </c>
      <c r="E532" s="39" t="str">
        <f>IFERROR(Sheet1!E532,0)</f>
        <v>SUMERU GLOBAL DMCC-Zambia</v>
      </c>
      <c r="F532" s="39" t="str">
        <f>IFERROR(IF(UPPER(TRIM(Sheet1!J532))="NH","Nhava Sheva",IF(UPPER(TRIM(Sheet1!J532))="ICD","ICD Dhannad",IF(UPPER(TRIM(Sheet1!J532))="TIHI","ICD Tihi",Sheet1!J532))),0)</f>
        <v>Nhava Sheva</v>
      </c>
      <c r="G532" s="39" t="str">
        <f>IFERROR(Sheet1!M532,0)</f>
        <v>DAR ES SALAAM</v>
      </c>
      <c r="H532" s="39" t="str">
        <f>IFERROR(Sheet1!H532,0)</f>
        <v>Deugro Projects</v>
      </c>
      <c r="I532" s="39" t="str">
        <f>IFERROR(Sheet1!G532,0)</f>
        <v>FOB</v>
      </c>
      <c r="J532" s="39" t="str">
        <f>IFERROR(Sheet1!K532,0)</f>
        <v>Maersk</v>
      </c>
      <c r="K532" s="41">
        <f>IFERROR(Sheet1!A532,0)</f>
        <v>46135</v>
      </c>
      <c r="L532" s="41">
        <f>IFERROR(Sheet1!I532,0)</f>
        <v>46133</v>
      </c>
      <c r="M532" s="47" t="str">
        <f>IFERROR(Sheet1!P532,0)</f>
        <v>NA</v>
      </c>
      <c r="N532" s="42">
        <f>IFERROR(IF(ISNUMBER(Sheet1!N532),Sheet1!N532,0),0)</f>
        <v>0</v>
      </c>
      <c r="O532" s="42">
        <f>IFERROR(IF(TRIM(F532)="Nhava Sheva",SUMPRODUCT((UPPER(TRIM('Origin Costs'!$A$5:$A$44))=UPPER(TRIM(J532)))*'Origin Costs'!$C$5:$C$44),IF(TRIM(F532)="ICD Tihi",SUMPRODUCT((UPPER(TRIM('Origin Costs'!$A$49:$A$88))=UPPER(TRIM(J532)))*'Origin Costs'!$C$49:$C$88),IF(TRIM(F532)="ICD Dhannad",SUMPRODUCT((UPPER(TRIM('Origin Costs'!$A$93:$A$132))=UPPER(TRIM(J532)))*'Origin Costs'!$C$93:$C$132),0))),0)</f>
        <v>1148.588888888889</v>
      </c>
      <c r="P532" s="42">
        <f t="shared" si="8"/>
        <v>1148.588888888889</v>
      </c>
      <c r="Q532" s="13" t="str">
        <f>IF(OR(Dashboard!$C$4="All Customers",$E532=Dashboard!$C$4),IF($E532="","",$P532+ROW()/10000000),"")</f>
        <v/>
      </c>
    </row>
    <row r="533" spans="1:17" ht="14.25" customHeight="1" x14ac:dyDescent="0.3">
      <c r="A533" s="43" t="str">
        <f>IFERROR("FY"&amp;TEXT(MOD(IF(MONTH(Sheet1!A533)&gt;=4,YEAR(Sheet1!A533),YEAR(Sheet1!A533)-1),100),"00")&amp;"-"&amp;TEXT(MOD(IF(MONTH(Sheet1!A533)&gt;=4,YEAR(Sheet1!A533),YEAR(Sheet1!A533)-1)+1,100),"00"),"")</f>
        <v>FY26-27</v>
      </c>
      <c r="B533" s="44" t="str">
        <f>IFERROR("Q"&amp;IF(MONTH(Sheet1!A533)&gt;=4,IF(MONTH(Sheet1!A533)&lt;=6,1,IF(MONTH(Sheet1!A533)&lt;=9,2,3)),4),"")</f>
        <v>Q1</v>
      </c>
      <c r="C533" s="43" t="str">
        <f>IFERROR(Sheet1!C533,0)</f>
        <v>Africa</v>
      </c>
      <c r="D533" s="43" t="str">
        <f>IFERROR(Sheet1!F533,0)</f>
        <v>Zambia</v>
      </c>
      <c r="E533" s="43" t="str">
        <f>IFERROR(Sheet1!E533,0)</f>
        <v>SUMERU GLOBAL DMCC-Zambia</v>
      </c>
      <c r="F533" s="43" t="str">
        <f>IFERROR(IF(UPPER(TRIM(Sheet1!J533))="NH","Nhava Sheva",IF(UPPER(TRIM(Sheet1!J533))="ICD","ICD Dhannad",IF(UPPER(TRIM(Sheet1!J533))="TIHI","ICD Tihi",Sheet1!J533))),0)</f>
        <v>Nhava Sheva</v>
      </c>
      <c r="G533" s="43" t="str">
        <f>IFERROR(Sheet1!M533,0)</f>
        <v>DAR ES SALAAM</v>
      </c>
      <c r="H533" s="43" t="str">
        <f>IFERROR(Sheet1!H533,0)</f>
        <v>Deugro Projects</v>
      </c>
      <c r="I533" s="43" t="str">
        <f>IFERROR(Sheet1!G533,0)</f>
        <v>FOB</v>
      </c>
      <c r="J533" s="43" t="str">
        <f>IFERROR(Sheet1!K533,0)</f>
        <v>Maersk</v>
      </c>
      <c r="K533" s="45">
        <f>IFERROR(Sheet1!A533,0)</f>
        <v>46135</v>
      </c>
      <c r="L533" s="45">
        <f>IFERROR(Sheet1!I533,0)</f>
        <v>46133</v>
      </c>
      <c r="M533" s="47" t="str">
        <f>IFERROR(Sheet1!P533,0)</f>
        <v>NA</v>
      </c>
      <c r="N533" s="46">
        <f>IFERROR(IF(ISNUMBER(Sheet1!N533),Sheet1!N533,0),0)</f>
        <v>0</v>
      </c>
      <c r="O533" s="46">
        <f>IFERROR(IF(TRIM(F533)="Nhava Sheva",SUMPRODUCT((UPPER(TRIM('Origin Costs'!$A$5:$A$44))=UPPER(TRIM(J533)))*'Origin Costs'!$C$5:$C$44),IF(TRIM(F533)="ICD Tihi",SUMPRODUCT((UPPER(TRIM('Origin Costs'!$A$49:$A$88))=UPPER(TRIM(J533)))*'Origin Costs'!$C$49:$C$88),IF(TRIM(F533)="ICD Dhannad",SUMPRODUCT((UPPER(TRIM('Origin Costs'!$A$93:$A$132))=UPPER(TRIM(J533)))*'Origin Costs'!$C$93:$C$132),0))),0)</f>
        <v>1148.588888888889</v>
      </c>
      <c r="P533" s="46">
        <f t="shared" si="8"/>
        <v>1148.588888888889</v>
      </c>
      <c r="Q533" s="13" t="str">
        <f>IF(OR(Dashboard!$C$4="All Customers",$E533=Dashboard!$C$4),IF($E533="","",$P533+ROW()/10000000),"")</f>
        <v/>
      </c>
    </row>
    <row r="534" spans="1:17" ht="14.25" customHeight="1" x14ac:dyDescent="0.3">
      <c r="A534" s="39" t="str">
        <f>IFERROR("FY"&amp;TEXT(MOD(IF(MONTH(Sheet1!A534)&gt;=4,YEAR(Sheet1!A534),YEAR(Sheet1!A534)-1),100),"00")&amp;"-"&amp;TEXT(MOD(IF(MONTH(Sheet1!A534)&gt;=4,YEAR(Sheet1!A534),YEAR(Sheet1!A534)-1)+1,100),"00"),"")</f>
        <v>FY26-27</v>
      </c>
      <c r="B534" s="40" t="str">
        <f>IFERROR("Q"&amp;IF(MONTH(Sheet1!A534)&gt;=4,IF(MONTH(Sheet1!A534)&lt;=6,1,IF(MONTH(Sheet1!A534)&lt;=9,2,3)),4),"")</f>
        <v>Q1</v>
      </c>
      <c r="C534" s="39" t="str">
        <f>IFERROR(Sheet1!C534,0)</f>
        <v>Europe</v>
      </c>
      <c r="D534" s="39" t="str">
        <f>IFERROR(Sheet1!F534,0)</f>
        <v>Bulgaria</v>
      </c>
      <c r="E534" s="39" t="str">
        <f>IFERROR(Sheet1!E534,0)</f>
        <v>Transcar Vladi, Bulgaria</v>
      </c>
      <c r="F534" s="39" t="str">
        <f>IFERROR(IF(UPPER(TRIM(Sheet1!J534))="NH","Nhava Sheva",IF(UPPER(TRIM(Sheet1!J534))="ICD","ICD Dhannad",IF(UPPER(TRIM(Sheet1!J534))="TIHI","ICD Tihi",Sheet1!J534))),0)</f>
        <v>Nhava Sheva</v>
      </c>
      <c r="G534" s="39" t="str">
        <f>IFERROR(Sheet1!M534,0)</f>
        <v>Thessoliniki</v>
      </c>
      <c r="H534" s="39" t="str">
        <f>IFERROR(Sheet1!H534,0)</f>
        <v>Fortune GLS</v>
      </c>
      <c r="I534" s="39" t="str">
        <f>IFERROR(Sheet1!G534,0)</f>
        <v>FOB</v>
      </c>
      <c r="J534" s="39" t="str">
        <f>IFERROR(Sheet1!K534,0)</f>
        <v>Maersk</v>
      </c>
      <c r="K534" s="41">
        <f>IFERROR(Sheet1!A534,0)</f>
        <v>46135</v>
      </c>
      <c r="L534" s="41">
        <f>IFERROR(Sheet1!I534,0)</f>
        <v>46133</v>
      </c>
      <c r="M534" s="47" t="str">
        <f>IFERROR(Sheet1!P534,0)</f>
        <v>NA</v>
      </c>
      <c r="N534" s="42">
        <f>IFERROR(IF(ISNUMBER(Sheet1!N534),Sheet1!N534,0),0)</f>
        <v>0</v>
      </c>
      <c r="O534" s="42">
        <f>IFERROR(IF(TRIM(F534)="Nhava Sheva",SUMPRODUCT((UPPER(TRIM('Origin Costs'!$A$5:$A$44))=UPPER(TRIM(J534)))*'Origin Costs'!$C$5:$C$44),IF(TRIM(F534)="ICD Tihi",SUMPRODUCT((UPPER(TRIM('Origin Costs'!$A$49:$A$88))=UPPER(TRIM(J534)))*'Origin Costs'!$C$49:$C$88),IF(TRIM(F534)="ICD Dhannad",SUMPRODUCT((UPPER(TRIM('Origin Costs'!$A$93:$A$132))=UPPER(TRIM(J534)))*'Origin Costs'!$C$93:$C$132),0))),0)</f>
        <v>1148.588888888889</v>
      </c>
      <c r="P534" s="42">
        <f t="shared" si="8"/>
        <v>1148.588888888889</v>
      </c>
      <c r="Q534" s="13" t="str">
        <f>IF(OR(Dashboard!$C$4="All Customers",$E534=Dashboard!$C$4),IF($E534="","",$P534+ROW()/10000000),"")</f>
        <v/>
      </c>
    </row>
    <row r="535" spans="1:17" ht="14.25" customHeight="1" x14ac:dyDescent="0.3">
      <c r="A535" s="43" t="str">
        <f>IFERROR("FY"&amp;TEXT(MOD(IF(MONTH(Sheet1!A535)&gt;=4,YEAR(Sheet1!A535),YEAR(Sheet1!A535)-1),100),"00")&amp;"-"&amp;TEXT(MOD(IF(MONTH(Sheet1!A535)&gt;=4,YEAR(Sheet1!A535),YEAR(Sheet1!A535)-1)+1,100),"00"),"")</f>
        <v>FY26-27</v>
      </c>
      <c r="B535" s="44" t="str">
        <f>IFERROR("Q"&amp;IF(MONTH(Sheet1!A535)&gt;=4,IF(MONTH(Sheet1!A535)&lt;=6,1,IF(MONTH(Sheet1!A535)&lt;=9,2,3)),4),"")</f>
        <v>Q1</v>
      </c>
      <c r="C535" s="43" t="str">
        <f>IFERROR(Sheet1!C535,0)</f>
        <v>Europe</v>
      </c>
      <c r="D535" s="43" t="str">
        <f>IFERROR(Sheet1!F535,0)</f>
        <v>Bulgaria</v>
      </c>
      <c r="E535" s="43" t="str">
        <f>IFERROR(Sheet1!E535,0)</f>
        <v>Transcar Vladi, Bulgaria</v>
      </c>
      <c r="F535" s="43" t="str">
        <f>IFERROR(IF(UPPER(TRIM(Sheet1!J535))="NH","Nhava Sheva",IF(UPPER(TRIM(Sheet1!J535))="ICD","ICD Dhannad",IF(UPPER(TRIM(Sheet1!J535))="TIHI","ICD Tihi",Sheet1!J535))),0)</f>
        <v>Nhava Sheva</v>
      </c>
      <c r="G535" s="43" t="str">
        <f>IFERROR(Sheet1!M535,0)</f>
        <v>Thessoliniki</v>
      </c>
      <c r="H535" s="43" t="str">
        <f>IFERROR(Sheet1!H535,0)</f>
        <v>Fortune GLS</v>
      </c>
      <c r="I535" s="43" t="str">
        <f>IFERROR(Sheet1!G535,0)</f>
        <v>FOB</v>
      </c>
      <c r="J535" s="43" t="str">
        <f>IFERROR(Sheet1!K535,0)</f>
        <v>Maersk</v>
      </c>
      <c r="K535" s="45">
        <f>IFERROR(Sheet1!A535,0)</f>
        <v>46135</v>
      </c>
      <c r="L535" s="45">
        <f>IFERROR(Sheet1!I535,0)</f>
        <v>46133</v>
      </c>
      <c r="M535" s="47" t="str">
        <f>IFERROR(Sheet1!P535,0)</f>
        <v>NA</v>
      </c>
      <c r="N535" s="46">
        <f>IFERROR(IF(ISNUMBER(Sheet1!N535),Sheet1!N535,0),0)</f>
        <v>0</v>
      </c>
      <c r="O535" s="46">
        <f>IFERROR(IF(TRIM(F535)="Nhava Sheva",SUMPRODUCT((UPPER(TRIM('Origin Costs'!$A$5:$A$44))=UPPER(TRIM(J535)))*'Origin Costs'!$C$5:$C$44),IF(TRIM(F535)="ICD Tihi",SUMPRODUCT((UPPER(TRIM('Origin Costs'!$A$49:$A$88))=UPPER(TRIM(J535)))*'Origin Costs'!$C$49:$C$88),IF(TRIM(F535)="ICD Dhannad",SUMPRODUCT((UPPER(TRIM('Origin Costs'!$A$93:$A$132))=UPPER(TRIM(J535)))*'Origin Costs'!$C$93:$C$132),0))),0)</f>
        <v>1148.588888888889</v>
      </c>
      <c r="P535" s="46">
        <f t="shared" si="8"/>
        <v>1148.588888888889</v>
      </c>
      <c r="Q535" s="13" t="str">
        <f>IF(OR(Dashboard!$C$4="All Customers",$E535=Dashboard!$C$4),IF($E535="","",$P535+ROW()/10000000),"")</f>
        <v/>
      </c>
    </row>
    <row r="536" spans="1:17" ht="14.25" customHeight="1" x14ac:dyDescent="0.3">
      <c r="A536" s="39" t="str">
        <f>IFERROR("FY"&amp;TEXT(MOD(IF(MONTH(Sheet1!A536)&gt;=4,YEAR(Sheet1!A536),YEAR(Sheet1!A536)-1),100),"00")&amp;"-"&amp;TEXT(MOD(IF(MONTH(Sheet1!A536)&gt;=4,YEAR(Sheet1!A536),YEAR(Sheet1!A536)-1)+1,100),"00"),"")</f>
        <v>FY26-27</v>
      </c>
      <c r="B536" s="40" t="str">
        <f>IFERROR("Q"&amp;IF(MONTH(Sheet1!A536)&gt;=4,IF(MONTH(Sheet1!A536)&lt;=6,1,IF(MONTH(Sheet1!A536)&lt;=9,2,3)),4),"")</f>
        <v>Q1</v>
      </c>
      <c r="C536" s="39" t="str">
        <f>IFERROR(Sheet1!C536,0)</f>
        <v>Europe</v>
      </c>
      <c r="D536" s="39" t="str">
        <f>IFERROR(Sheet1!F536,0)</f>
        <v>Bulgaria</v>
      </c>
      <c r="E536" s="39" t="str">
        <f>IFERROR(Sheet1!E536,0)</f>
        <v>Transcar Vladi, Bulgaria</v>
      </c>
      <c r="F536" s="39" t="str">
        <f>IFERROR(IF(UPPER(TRIM(Sheet1!J536))="NH","Nhava Sheva",IF(UPPER(TRIM(Sheet1!J536))="ICD","ICD Dhannad",IF(UPPER(TRIM(Sheet1!J536))="TIHI","ICD Tihi",Sheet1!J536))),0)</f>
        <v>Nhava Sheva</v>
      </c>
      <c r="G536" s="39" t="str">
        <f>IFERROR(Sheet1!M536,0)</f>
        <v>Thessoliniki</v>
      </c>
      <c r="H536" s="39" t="str">
        <f>IFERROR(Sheet1!H536,0)</f>
        <v>Fortune GLS</v>
      </c>
      <c r="I536" s="39" t="str">
        <f>IFERROR(Sheet1!G536,0)</f>
        <v>FOB</v>
      </c>
      <c r="J536" s="39" t="str">
        <f>IFERROR(Sheet1!K536,0)</f>
        <v>Maersk</v>
      </c>
      <c r="K536" s="41">
        <f>IFERROR(Sheet1!A536,0)</f>
        <v>46135</v>
      </c>
      <c r="L536" s="41">
        <f>IFERROR(Sheet1!I536,0)</f>
        <v>46133</v>
      </c>
      <c r="M536" s="47" t="str">
        <f>IFERROR(Sheet1!P536,0)</f>
        <v>NA</v>
      </c>
      <c r="N536" s="42">
        <f>IFERROR(IF(ISNUMBER(Sheet1!N536),Sheet1!N536,0),0)</f>
        <v>0</v>
      </c>
      <c r="O536" s="42">
        <f>IFERROR(IF(TRIM(F536)="Nhava Sheva",SUMPRODUCT((UPPER(TRIM('Origin Costs'!$A$5:$A$44))=UPPER(TRIM(J536)))*'Origin Costs'!$C$5:$C$44),IF(TRIM(F536)="ICD Tihi",SUMPRODUCT((UPPER(TRIM('Origin Costs'!$A$49:$A$88))=UPPER(TRIM(J536)))*'Origin Costs'!$C$49:$C$88),IF(TRIM(F536)="ICD Dhannad",SUMPRODUCT((UPPER(TRIM('Origin Costs'!$A$93:$A$132))=UPPER(TRIM(J536)))*'Origin Costs'!$C$93:$C$132),0))),0)</f>
        <v>1148.588888888889</v>
      </c>
      <c r="P536" s="42">
        <f t="shared" si="8"/>
        <v>1148.588888888889</v>
      </c>
      <c r="Q536" s="13" t="str">
        <f>IF(OR(Dashboard!$C$4="All Customers",$E536=Dashboard!$C$4),IF($E536="","",$P536+ROW()/10000000),"")</f>
        <v/>
      </c>
    </row>
    <row r="537" spans="1:17" ht="14.25" customHeight="1" x14ac:dyDescent="0.3">
      <c r="A537" s="43" t="str">
        <f>IFERROR("FY"&amp;TEXT(MOD(IF(MONTH(Sheet1!A537)&gt;=4,YEAR(Sheet1!A537),YEAR(Sheet1!A537)-1),100),"00")&amp;"-"&amp;TEXT(MOD(IF(MONTH(Sheet1!A537)&gt;=4,YEAR(Sheet1!A537),YEAR(Sheet1!A537)-1)+1,100),"00"),"")</f>
        <v>FY26-27</v>
      </c>
      <c r="B537" s="44" t="str">
        <f>IFERROR("Q"&amp;IF(MONTH(Sheet1!A537)&gt;=4,IF(MONTH(Sheet1!A537)&lt;=6,1,IF(MONTH(Sheet1!A537)&lt;=9,2,3)),4),"")</f>
        <v>Q1</v>
      </c>
      <c r="C537" s="43" t="str">
        <f>IFERROR(Sheet1!C537,0)</f>
        <v>Europe</v>
      </c>
      <c r="D537" s="43" t="str">
        <f>IFERROR(Sheet1!F537,0)</f>
        <v>Bulgaria</v>
      </c>
      <c r="E537" s="43" t="str">
        <f>IFERROR(Sheet1!E537,0)</f>
        <v>Transcar Vladi, Bulgaria</v>
      </c>
      <c r="F537" s="43" t="str">
        <f>IFERROR(IF(UPPER(TRIM(Sheet1!J537))="NH","Nhava Sheva",IF(UPPER(TRIM(Sheet1!J537))="ICD","ICD Dhannad",IF(UPPER(TRIM(Sheet1!J537))="TIHI","ICD Tihi",Sheet1!J537))),0)</f>
        <v>Nhava Sheva</v>
      </c>
      <c r="G537" s="43" t="str">
        <f>IFERROR(Sheet1!M537,0)</f>
        <v>Thessoliniki</v>
      </c>
      <c r="H537" s="43" t="str">
        <f>IFERROR(Sheet1!H537,0)</f>
        <v>Fortune GLS</v>
      </c>
      <c r="I537" s="43" t="str">
        <f>IFERROR(Sheet1!G537,0)</f>
        <v>FOB</v>
      </c>
      <c r="J537" s="43" t="str">
        <f>IFERROR(Sheet1!K537,0)</f>
        <v>Maersk</v>
      </c>
      <c r="K537" s="45">
        <f>IFERROR(Sheet1!A537,0)</f>
        <v>46135</v>
      </c>
      <c r="L537" s="45">
        <f>IFERROR(Sheet1!I537,0)</f>
        <v>46133</v>
      </c>
      <c r="M537" s="47" t="str">
        <f>IFERROR(Sheet1!P537,0)</f>
        <v>NA</v>
      </c>
      <c r="N537" s="46">
        <f>IFERROR(IF(ISNUMBER(Sheet1!N537),Sheet1!N537,0),0)</f>
        <v>0</v>
      </c>
      <c r="O537" s="46">
        <f>IFERROR(IF(TRIM(F537)="Nhava Sheva",SUMPRODUCT((UPPER(TRIM('Origin Costs'!$A$5:$A$44))=UPPER(TRIM(J537)))*'Origin Costs'!$C$5:$C$44),IF(TRIM(F537)="ICD Tihi",SUMPRODUCT((UPPER(TRIM('Origin Costs'!$A$49:$A$88))=UPPER(TRIM(J537)))*'Origin Costs'!$C$49:$C$88),IF(TRIM(F537)="ICD Dhannad",SUMPRODUCT((UPPER(TRIM('Origin Costs'!$A$93:$A$132))=UPPER(TRIM(J537)))*'Origin Costs'!$C$93:$C$132),0))),0)</f>
        <v>1148.588888888889</v>
      </c>
      <c r="P537" s="46">
        <f t="shared" si="8"/>
        <v>1148.588888888889</v>
      </c>
      <c r="Q537" s="13" t="str">
        <f>IF(OR(Dashboard!$C$4="All Customers",$E537=Dashboard!$C$4),IF($E537="","",$P537+ROW()/10000000),"")</f>
        <v/>
      </c>
    </row>
    <row r="538" spans="1:17" ht="14.25" customHeight="1" x14ac:dyDescent="0.3">
      <c r="A538" s="39" t="str">
        <f>IFERROR("FY"&amp;TEXT(MOD(IF(MONTH(Sheet1!A538)&gt;=4,YEAR(Sheet1!A538),YEAR(Sheet1!A538)-1),100),"00")&amp;"-"&amp;TEXT(MOD(IF(MONTH(Sheet1!A538)&gt;=4,YEAR(Sheet1!A538),YEAR(Sheet1!A538)-1)+1,100),"00"),"")</f>
        <v>FY26-27</v>
      </c>
      <c r="B538" s="40" t="str">
        <f>IFERROR("Q"&amp;IF(MONTH(Sheet1!A538)&gt;=4,IF(MONTH(Sheet1!A538)&lt;=6,1,IF(MONTH(Sheet1!A538)&lt;=9,2,3)),4),"")</f>
        <v>Q1</v>
      </c>
      <c r="C538" s="39" t="str">
        <f>IFERROR(Sheet1!C538,0)</f>
        <v>MEA</v>
      </c>
      <c r="D538" s="39" t="str">
        <f>IFERROR(Sheet1!F538,0)</f>
        <v>Oman</v>
      </c>
      <c r="E538" s="39" t="str">
        <f>IFERROR(Sheet1!E538,0)</f>
        <v>UNITED MOTORS AND HEAVY EQUIPMENT</v>
      </c>
      <c r="F538" s="39" t="str">
        <f>IFERROR(IF(UPPER(TRIM(Sheet1!J538))="NH","Nhava Sheva",IF(UPPER(TRIM(Sheet1!J538))="ICD","ICD Dhannad",IF(UPPER(TRIM(Sheet1!J538))="TIHI","ICD Tihi",Sheet1!J538))),0)</f>
        <v>Nhava Sheva</v>
      </c>
      <c r="G538" s="39" t="str">
        <f>IFERROR(Sheet1!M538,0)</f>
        <v>Sohar</v>
      </c>
      <c r="H538" s="39" t="str">
        <f>IFERROR(Sheet1!H538,0)</f>
        <v>DP World</v>
      </c>
      <c r="I538" s="39" t="str">
        <f>IFERROR(Sheet1!G538,0)</f>
        <v>CFR</v>
      </c>
      <c r="J538" s="39" t="str">
        <f>IFERROR(Sheet1!K538,0)</f>
        <v>MSC</v>
      </c>
      <c r="K538" s="41">
        <f>IFERROR(Sheet1!A538,0)</f>
        <v>46135</v>
      </c>
      <c r="L538" s="41">
        <f>IFERROR(Sheet1!I538,0)</f>
        <v>46133</v>
      </c>
      <c r="M538" s="47" t="str">
        <f>IFERROR(Sheet1!P538,0)</f>
        <v>NA</v>
      </c>
      <c r="N538" s="42">
        <f>IFERROR(IF(ISNUMBER(Sheet1!N538),Sheet1!N538,0),0)</f>
        <v>2920</v>
      </c>
      <c r="O538" s="42">
        <f>IFERROR(IF(TRIM(F538)="Nhava Sheva",SUMPRODUCT((UPPER(TRIM('Origin Costs'!$A$5:$A$44))=UPPER(TRIM(J538)))*'Origin Costs'!$C$5:$C$44),IF(TRIM(F538)="ICD Tihi",SUMPRODUCT((UPPER(TRIM('Origin Costs'!$A$49:$A$88))=UPPER(TRIM(J538)))*'Origin Costs'!$C$49:$C$88),IF(TRIM(F538)="ICD Dhannad",SUMPRODUCT((UPPER(TRIM('Origin Costs'!$A$93:$A$132))=UPPER(TRIM(J538)))*'Origin Costs'!$C$93:$C$132),0))),0)</f>
        <v>1168.8222222222223</v>
      </c>
      <c r="P538" s="42">
        <f t="shared" si="8"/>
        <v>4088.8222222222221</v>
      </c>
      <c r="Q538" s="13" t="str">
        <f>IF(OR(Dashboard!$C$4="All Customers",$E538=Dashboard!$C$4),IF($E538="","",$P538+ROW()/10000000),"")</f>
        <v/>
      </c>
    </row>
    <row r="539" spans="1:17" ht="14.25" customHeight="1" x14ac:dyDescent="0.3">
      <c r="A539" s="43" t="str">
        <f>IFERROR("FY"&amp;TEXT(MOD(IF(MONTH(Sheet1!A539)&gt;=4,YEAR(Sheet1!A539),YEAR(Sheet1!A539)-1),100),"00")&amp;"-"&amp;TEXT(MOD(IF(MONTH(Sheet1!A539)&gt;=4,YEAR(Sheet1!A539),YEAR(Sheet1!A539)-1)+1,100),"00"),"")</f>
        <v>FY26-27</v>
      </c>
      <c r="B539" s="44" t="str">
        <f>IFERROR("Q"&amp;IF(MONTH(Sheet1!A539)&gt;=4,IF(MONTH(Sheet1!A539)&lt;=6,1,IF(MONTH(Sheet1!A539)&lt;=9,2,3)),4),"")</f>
        <v>Q1</v>
      </c>
      <c r="C539" s="43" t="str">
        <f>IFERROR(Sheet1!C539,0)</f>
        <v>MEA</v>
      </c>
      <c r="D539" s="43" t="str">
        <f>IFERROR(Sheet1!F539,0)</f>
        <v>Oman</v>
      </c>
      <c r="E539" s="43" t="str">
        <f>IFERROR(Sheet1!E539,0)</f>
        <v>UNITED MOTORS AND HEAVY EQUIPMENT</v>
      </c>
      <c r="F539" s="43" t="str">
        <f>IFERROR(IF(UPPER(TRIM(Sheet1!J539))="NH","Nhava Sheva",IF(UPPER(TRIM(Sheet1!J539))="ICD","ICD Dhannad",IF(UPPER(TRIM(Sheet1!J539))="TIHI","ICD Tihi",Sheet1!J539))),0)</f>
        <v>Nhava Sheva</v>
      </c>
      <c r="G539" s="43" t="str">
        <f>IFERROR(Sheet1!M539,0)</f>
        <v>Sohar</v>
      </c>
      <c r="H539" s="43" t="str">
        <f>IFERROR(Sheet1!H539,0)</f>
        <v>DP World</v>
      </c>
      <c r="I539" s="43" t="str">
        <f>IFERROR(Sheet1!G539,0)</f>
        <v>CFR</v>
      </c>
      <c r="J539" s="43" t="str">
        <f>IFERROR(Sheet1!K539,0)</f>
        <v>MSC</v>
      </c>
      <c r="K539" s="45">
        <f>IFERROR(Sheet1!A539,0)</f>
        <v>46135</v>
      </c>
      <c r="L539" s="45">
        <f>IFERROR(Sheet1!I539,0)</f>
        <v>46133</v>
      </c>
      <c r="M539" s="47" t="str">
        <f>IFERROR(Sheet1!P539,0)</f>
        <v>NA</v>
      </c>
      <c r="N539" s="46">
        <f>IFERROR(IF(ISNUMBER(Sheet1!N539),Sheet1!N539,0),0)</f>
        <v>2920</v>
      </c>
      <c r="O539" s="46">
        <f>IFERROR(IF(TRIM(F539)="Nhava Sheva",SUMPRODUCT((UPPER(TRIM('Origin Costs'!$A$5:$A$44))=UPPER(TRIM(J539)))*'Origin Costs'!$C$5:$C$44),IF(TRIM(F539)="ICD Tihi",SUMPRODUCT((UPPER(TRIM('Origin Costs'!$A$49:$A$88))=UPPER(TRIM(J539)))*'Origin Costs'!$C$49:$C$88),IF(TRIM(F539)="ICD Dhannad",SUMPRODUCT((UPPER(TRIM('Origin Costs'!$A$93:$A$132))=UPPER(TRIM(J539)))*'Origin Costs'!$C$93:$C$132),0))),0)</f>
        <v>1168.8222222222223</v>
      </c>
      <c r="P539" s="46">
        <f t="shared" si="8"/>
        <v>4088.8222222222221</v>
      </c>
      <c r="Q539" s="13" t="str">
        <f>IF(OR(Dashboard!$C$4="All Customers",$E539=Dashboard!$C$4),IF($E539="","",$P539+ROW()/10000000),"")</f>
        <v/>
      </c>
    </row>
    <row r="540" spans="1:17" ht="14.25" customHeight="1" x14ac:dyDescent="0.3">
      <c r="A540" s="39" t="str">
        <f>IFERROR("FY"&amp;TEXT(MOD(IF(MONTH(Sheet1!A540)&gt;=4,YEAR(Sheet1!A540),YEAR(Sheet1!A540)-1),100),"00")&amp;"-"&amp;TEXT(MOD(IF(MONTH(Sheet1!A540)&gt;=4,YEAR(Sheet1!A540),YEAR(Sheet1!A540)-1)+1,100),"00"),"")</f>
        <v>FY26-27</v>
      </c>
      <c r="B540" s="40" t="str">
        <f>IFERROR("Q"&amp;IF(MONTH(Sheet1!A540)&gt;=4,IF(MONTH(Sheet1!A540)&lt;=6,1,IF(MONTH(Sheet1!A540)&lt;=9,2,3)),4),"")</f>
        <v>Q1</v>
      </c>
      <c r="C540" s="39" t="str">
        <f>IFERROR(Sheet1!C540,0)</f>
        <v>S.A.</v>
      </c>
      <c r="D540" s="39" t="str">
        <f>IFERROR(Sheet1!F540,0)</f>
        <v>Brazil</v>
      </c>
      <c r="E540" s="39" t="str">
        <f>IFERROR(Sheet1!E540,0)</f>
        <v>CPX Distribuidora, Brazil</v>
      </c>
      <c r="F540" s="39" t="str">
        <f>IFERROR(IF(UPPER(TRIM(Sheet1!J540))="NH","Nhava Sheva",IF(UPPER(TRIM(Sheet1!J540))="ICD","ICD Dhannad",IF(UPPER(TRIM(Sheet1!J540))="TIHI","ICD Tihi",Sheet1!J540))),0)</f>
        <v>Nhava Sheva</v>
      </c>
      <c r="G540" s="39" t="str">
        <f>IFERROR(Sheet1!M540,0)</f>
        <v>Itajai</v>
      </c>
      <c r="H540" s="39" t="str">
        <f>IFERROR(Sheet1!H540,0)</f>
        <v>Asia Shipping</v>
      </c>
      <c r="I540" s="39" t="str">
        <f>IFERROR(Sheet1!G540,0)</f>
        <v>FOB</v>
      </c>
      <c r="J540" s="39" t="str">
        <f>IFERROR(Sheet1!K540,0)</f>
        <v>MSC</v>
      </c>
      <c r="K540" s="41">
        <f>IFERROR(Sheet1!A540,0)</f>
        <v>46136</v>
      </c>
      <c r="L540" s="41">
        <f>IFERROR(Sheet1!I540,0)</f>
        <v>46133</v>
      </c>
      <c r="M540" s="47" t="str">
        <f>IFERROR(Sheet1!P540,0)</f>
        <v>NA</v>
      </c>
      <c r="N540" s="42">
        <f>IFERROR(IF(ISNUMBER(Sheet1!N540),Sheet1!N540,0),0)</f>
        <v>0</v>
      </c>
      <c r="O540" s="42">
        <f>IFERROR(IF(TRIM(F540)="Nhava Sheva",SUMPRODUCT((UPPER(TRIM('Origin Costs'!$A$5:$A$44))=UPPER(TRIM(J540)))*'Origin Costs'!$C$5:$C$44),IF(TRIM(F540)="ICD Tihi",SUMPRODUCT((UPPER(TRIM('Origin Costs'!$A$49:$A$88))=UPPER(TRIM(J540)))*'Origin Costs'!$C$49:$C$88),IF(TRIM(F540)="ICD Dhannad",SUMPRODUCT((UPPER(TRIM('Origin Costs'!$A$93:$A$132))=UPPER(TRIM(J540)))*'Origin Costs'!$C$93:$C$132),0))),0)</f>
        <v>1168.8222222222223</v>
      </c>
      <c r="P540" s="42">
        <f t="shared" si="8"/>
        <v>1168.8222222222223</v>
      </c>
      <c r="Q540" s="13" t="str">
        <f>IF(OR(Dashboard!$C$4="All Customers",$E540=Dashboard!$C$4),IF($E540="","",$P540+ROW()/10000000),"")</f>
        <v/>
      </c>
    </row>
    <row r="541" spans="1:17" ht="14.25" customHeight="1" x14ac:dyDescent="0.3">
      <c r="A541" s="43" t="str">
        <f>IFERROR("FY"&amp;TEXT(MOD(IF(MONTH(Sheet1!A541)&gt;=4,YEAR(Sheet1!A541),YEAR(Sheet1!A541)-1),100),"00")&amp;"-"&amp;TEXT(MOD(IF(MONTH(Sheet1!A541)&gt;=4,YEAR(Sheet1!A541),YEAR(Sheet1!A541)-1)+1,100),"00"),"")</f>
        <v>FY26-27</v>
      </c>
      <c r="B541" s="44" t="str">
        <f>IFERROR("Q"&amp;IF(MONTH(Sheet1!A541)&gt;=4,IF(MONTH(Sheet1!A541)&lt;=6,1,IF(MONTH(Sheet1!A541)&lt;=9,2,3)),4),"")</f>
        <v>Q1</v>
      </c>
      <c r="C541" s="43" t="str">
        <f>IFERROR(Sheet1!C541,0)</f>
        <v>Africa</v>
      </c>
      <c r="D541" s="43" t="str">
        <f>IFERROR(Sheet1!F541,0)</f>
        <v>Rwanda</v>
      </c>
      <c r="E541" s="43" t="str">
        <f>IFERROR(Sheet1!E541,0)</f>
        <v>SUMERU GLOBAL DMCC-Rwanda</v>
      </c>
      <c r="F541" s="43" t="str">
        <f>IFERROR(IF(UPPER(TRIM(Sheet1!J541))="NH","Nhava Sheva",IF(UPPER(TRIM(Sheet1!J541))="ICD","ICD Dhannad",IF(UPPER(TRIM(Sheet1!J541))="TIHI","ICD Tihi",Sheet1!J541))),0)</f>
        <v>Nhava Sheva</v>
      </c>
      <c r="G541" s="43" t="str">
        <f>IFERROR(Sheet1!M541,0)</f>
        <v>DAR ES SALAAM</v>
      </c>
      <c r="H541" s="43" t="str">
        <f>IFERROR(Sheet1!H541,0)</f>
        <v>Deugro Projects</v>
      </c>
      <c r="I541" s="43" t="str">
        <f>IFERROR(Sheet1!G541,0)</f>
        <v>FOB</v>
      </c>
      <c r="J541" s="43" t="str">
        <f>IFERROR(Sheet1!K541,0)</f>
        <v>Maersk</v>
      </c>
      <c r="K541" s="45">
        <f>IFERROR(Sheet1!A541,0)</f>
        <v>46137</v>
      </c>
      <c r="L541" s="45">
        <f>IFERROR(Sheet1!I541,0)</f>
        <v>46135</v>
      </c>
      <c r="M541" s="47" t="str">
        <f>IFERROR(Sheet1!P541,0)</f>
        <v>NA</v>
      </c>
      <c r="N541" s="46">
        <f>IFERROR(IF(ISNUMBER(Sheet1!N541),Sheet1!N541,0),0)</f>
        <v>0</v>
      </c>
      <c r="O541" s="46">
        <f>IFERROR(IF(TRIM(F541)="Nhava Sheva",SUMPRODUCT((UPPER(TRIM('Origin Costs'!$A$5:$A$44))=UPPER(TRIM(J541)))*'Origin Costs'!$C$5:$C$44),IF(TRIM(F541)="ICD Tihi",SUMPRODUCT((UPPER(TRIM('Origin Costs'!$A$49:$A$88))=UPPER(TRIM(J541)))*'Origin Costs'!$C$49:$C$88),IF(TRIM(F541)="ICD Dhannad",SUMPRODUCT((UPPER(TRIM('Origin Costs'!$A$93:$A$132))=UPPER(TRIM(J541)))*'Origin Costs'!$C$93:$C$132),0))),0)</f>
        <v>1148.588888888889</v>
      </c>
      <c r="P541" s="46">
        <f t="shared" si="8"/>
        <v>1148.588888888889</v>
      </c>
      <c r="Q541" s="13" t="str">
        <f>IF(OR(Dashboard!$C$4="All Customers",$E541=Dashboard!$C$4),IF($E541="","",$P541+ROW()/10000000),"")</f>
        <v/>
      </c>
    </row>
    <row r="542" spans="1:17" ht="14.25" customHeight="1" x14ac:dyDescent="0.3">
      <c r="A542" s="39" t="str">
        <f>IFERROR("FY"&amp;TEXT(MOD(IF(MONTH(Sheet1!A542)&gt;=4,YEAR(Sheet1!A542),YEAR(Sheet1!A542)-1),100),"00")&amp;"-"&amp;TEXT(MOD(IF(MONTH(Sheet1!A542)&gt;=4,YEAR(Sheet1!A542),YEAR(Sheet1!A542)-1)+1,100),"00"),"")</f>
        <v>FY26-27</v>
      </c>
      <c r="B542" s="40" t="str">
        <f>IFERROR("Q"&amp;IF(MONTH(Sheet1!A542)&gt;=4,IF(MONTH(Sheet1!A542)&lt;=6,1,IF(MONTH(Sheet1!A542)&lt;=9,2,3)),4),"")</f>
        <v>Q1</v>
      </c>
      <c r="C542" s="39" t="str">
        <f>IFERROR(Sheet1!C542,0)</f>
        <v>Africa</v>
      </c>
      <c r="D542" s="39" t="str">
        <f>IFERROR(Sheet1!F542,0)</f>
        <v>Rwanda</v>
      </c>
      <c r="E542" s="39" t="str">
        <f>IFERROR(Sheet1!E542,0)</f>
        <v>SUMERU GLOBAL DMCC-Rwanda</v>
      </c>
      <c r="F542" s="39" t="str">
        <f>IFERROR(IF(UPPER(TRIM(Sheet1!J542))="NH","Nhava Sheva",IF(UPPER(TRIM(Sheet1!J542))="ICD","ICD Dhannad",IF(UPPER(TRIM(Sheet1!J542))="TIHI","ICD Tihi",Sheet1!J542))),0)</f>
        <v>Nhava Sheva</v>
      </c>
      <c r="G542" s="39" t="str">
        <f>IFERROR(Sheet1!M542,0)</f>
        <v>DAR ES SALAAM</v>
      </c>
      <c r="H542" s="39" t="str">
        <f>IFERROR(Sheet1!H542,0)</f>
        <v>Deugro Projects</v>
      </c>
      <c r="I542" s="39" t="str">
        <f>IFERROR(Sheet1!G542,0)</f>
        <v>FOB</v>
      </c>
      <c r="J542" s="39" t="str">
        <f>IFERROR(Sheet1!K542,0)</f>
        <v>Maersk</v>
      </c>
      <c r="K542" s="41">
        <f>IFERROR(Sheet1!A542,0)</f>
        <v>46137</v>
      </c>
      <c r="L542" s="41">
        <f>IFERROR(Sheet1!I542,0)</f>
        <v>46135</v>
      </c>
      <c r="M542" s="47" t="str">
        <f>IFERROR(Sheet1!P542,0)</f>
        <v>NA</v>
      </c>
      <c r="N542" s="42">
        <f>IFERROR(IF(ISNUMBER(Sheet1!N542),Sheet1!N542,0),0)</f>
        <v>0</v>
      </c>
      <c r="O542" s="42">
        <f>IFERROR(IF(TRIM(F542)="Nhava Sheva",SUMPRODUCT((UPPER(TRIM('Origin Costs'!$A$5:$A$44))=UPPER(TRIM(J542)))*'Origin Costs'!$C$5:$C$44),IF(TRIM(F542)="ICD Tihi",SUMPRODUCT((UPPER(TRIM('Origin Costs'!$A$49:$A$88))=UPPER(TRIM(J542)))*'Origin Costs'!$C$49:$C$88),IF(TRIM(F542)="ICD Dhannad",SUMPRODUCT((UPPER(TRIM('Origin Costs'!$A$93:$A$132))=UPPER(TRIM(J542)))*'Origin Costs'!$C$93:$C$132),0))),0)</f>
        <v>1148.588888888889</v>
      </c>
      <c r="P542" s="42">
        <f t="shared" si="8"/>
        <v>1148.588888888889</v>
      </c>
      <c r="Q542" s="13" t="str">
        <f>IF(OR(Dashboard!$C$4="All Customers",$E542=Dashboard!$C$4),IF($E542="","",$P542+ROW()/10000000),"")</f>
        <v/>
      </c>
    </row>
    <row r="543" spans="1:17" ht="14.25" customHeight="1" x14ac:dyDescent="0.3">
      <c r="A543" s="43" t="str">
        <f>IFERROR("FY"&amp;TEXT(MOD(IF(MONTH(Sheet1!A543)&gt;=4,YEAR(Sheet1!A543),YEAR(Sheet1!A543)-1),100),"00")&amp;"-"&amp;TEXT(MOD(IF(MONTH(Sheet1!A543)&gt;=4,YEAR(Sheet1!A543),YEAR(Sheet1!A543)-1)+1,100),"00"),"")</f>
        <v>FY26-27</v>
      </c>
      <c r="B543" s="44" t="str">
        <f>IFERROR("Q"&amp;IF(MONTH(Sheet1!A543)&gt;=4,IF(MONTH(Sheet1!A543)&lt;=6,1,IF(MONTH(Sheet1!A543)&lt;=9,2,3)),4),"")</f>
        <v>Q1</v>
      </c>
      <c r="C543" s="43" t="str">
        <f>IFERROR(Sheet1!C543,0)</f>
        <v>Europe</v>
      </c>
      <c r="D543" s="43" t="str">
        <f>IFERROR(Sheet1!F543,0)</f>
        <v>Italy</v>
      </c>
      <c r="E543" s="43" t="str">
        <f>IFERROR(Sheet1!E543,0)</f>
        <v>Fintyre Spa</v>
      </c>
      <c r="F543" s="43" t="str">
        <f>IFERROR(IF(UPPER(TRIM(Sheet1!J543))="NH","Nhava Sheva",IF(UPPER(TRIM(Sheet1!J543))="ICD","ICD Dhannad",IF(UPPER(TRIM(Sheet1!J543))="TIHI","ICD Tihi",Sheet1!J543))),0)</f>
        <v>Nhava Sheva</v>
      </c>
      <c r="G543" s="43" t="str">
        <f>IFERROR(Sheet1!M543,0)</f>
        <v>Genoa</v>
      </c>
      <c r="H543" s="43" t="str">
        <f>IFERROR(Sheet1!H543,0)</f>
        <v>FEI Cargo</v>
      </c>
      <c r="I543" s="43" t="str">
        <f>IFERROR(Sheet1!G543,0)</f>
        <v>FOB</v>
      </c>
      <c r="J543" s="43" t="str">
        <f>IFERROR(Sheet1!K543,0)</f>
        <v>Hapag</v>
      </c>
      <c r="K543" s="45">
        <f>IFERROR(Sheet1!A543,0)</f>
        <v>46138</v>
      </c>
      <c r="L543" s="45">
        <f>IFERROR(Sheet1!I543,0)</f>
        <v>46136</v>
      </c>
      <c r="M543" s="47" t="str">
        <f>IFERROR(Sheet1!P543,0)</f>
        <v>NA</v>
      </c>
      <c r="N543" s="46">
        <f>IFERROR(IF(ISNUMBER(Sheet1!N543),Sheet1!N543,0),0)</f>
        <v>0</v>
      </c>
      <c r="O543" s="46">
        <f>IFERROR(IF(TRIM(F543)="Nhava Sheva",SUMPRODUCT((UPPER(TRIM('Origin Costs'!$A$5:$A$44))=UPPER(TRIM(J543)))*'Origin Costs'!$C$5:$C$44),IF(TRIM(F543)="ICD Tihi",SUMPRODUCT((UPPER(TRIM('Origin Costs'!$A$49:$A$88))=UPPER(TRIM(J543)))*'Origin Costs'!$C$49:$C$88),IF(TRIM(F543)="ICD Dhannad",SUMPRODUCT((UPPER(TRIM('Origin Costs'!$A$93:$A$132))=UPPER(TRIM(J543)))*'Origin Costs'!$C$93:$C$132),0))),0)</f>
        <v>1192.9777777777779</v>
      </c>
      <c r="P543" s="46">
        <f t="shared" si="8"/>
        <v>1192.9777777777779</v>
      </c>
      <c r="Q543" s="13" t="str">
        <f>IF(OR(Dashboard!$C$4="All Customers",$E543=Dashboard!$C$4),IF($E543="","",$P543+ROW()/10000000),"")</f>
        <v/>
      </c>
    </row>
    <row r="544" spans="1:17" ht="14.25" customHeight="1" x14ac:dyDescent="0.3">
      <c r="A544" s="39" t="str">
        <f>IFERROR("FY"&amp;TEXT(MOD(IF(MONTH(Sheet1!A544)&gt;=4,YEAR(Sheet1!A544),YEAR(Sheet1!A544)-1),100),"00")&amp;"-"&amp;TEXT(MOD(IF(MONTH(Sheet1!A544)&gt;=4,YEAR(Sheet1!A544),YEAR(Sheet1!A544)-1)+1,100),"00"),"")</f>
        <v>FY26-27</v>
      </c>
      <c r="B544" s="40" t="str">
        <f>IFERROR("Q"&amp;IF(MONTH(Sheet1!A544)&gt;=4,IF(MONTH(Sheet1!A544)&lt;=6,1,IF(MONTH(Sheet1!A544)&lt;=9,2,3)),4),"")</f>
        <v>Q1</v>
      </c>
      <c r="C544" s="39" t="str">
        <f>IFERROR(Sheet1!C544,0)</f>
        <v>Europe</v>
      </c>
      <c r="D544" s="39" t="str">
        <f>IFERROR(Sheet1!F544,0)</f>
        <v>Italy</v>
      </c>
      <c r="E544" s="39" t="str">
        <f>IFERROR(Sheet1!E544,0)</f>
        <v>Fintyre Spa</v>
      </c>
      <c r="F544" s="39" t="str">
        <f>IFERROR(IF(UPPER(TRIM(Sheet1!J544))="NH","Nhava Sheva",IF(UPPER(TRIM(Sheet1!J544))="ICD","ICD Dhannad",IF(UPPER(TRIM(Sheet1!J544))="TIHI","ICD Tihi",Sheet1!J544))),0)</f>
        <v>Nhava Sheva</v>
      </c>
      <c r="G544" s="39" t="str">
        <f>IFERROR(Sheet1!M544,0)</f>
        <v>CIVITAVECCHIA</v>
      </c>
      <c r="H544" s="39" t="str">
        <f>IFERROR(Sheet1!H544,0)</f>
        <v>FEI Cargo</v>
      </c>
      <c r="I544" s="39" t="str">
        <f>IFERROR(Sheet1!G544,0)</f>
        <v>FOB</v>
      </c>
      <c r="J544" s="39" t="str">
        <f>IFERROR(Sheet1!K544,0)</f>
        <v>MSC</v>
      </c>
      <c r="K544" s="41">
        <f>IFERROR(Sheet1!A544,0)</f>
        <v>46138</v>
      </c>
      <c r="L544" s="41">
        <f>IFERROR(Sheet1!I544,0)</f>
        <v>46136</v>
      </c>
      <c r="M544" s="47" t="str">
        <f>IFERROR(Sheet1!P544,0)</f>
        <v>NA</v>
      </c>
      <c r="N544" s="42">
        <f>IFERROR(IF(ISNUMBER(Sheet1!N544),Sheet1!N544,0),0)</f>
        <v>0</v>
      </c>
      <c r="O544" s="42">
        <f>IFERROR(IF(TRIM(F544)="Nhava Sheva",SUMPRODUCT((UPPER(TRIM('Origin Costs'!$A$5:$A$44))=UPPER(TRIM(J544)))*'Origin Costs'!$C$5:$C$44),IF(TRIM(F544)="ICD Tihi",SUMPRODUCT((UPPER(TRIM('Origin Costs'!$A$49:$A$88))=UPPER(TRIM(J544)))*'Origin Costs'!$C$49:$C$88),IF(TRIM(F544)="ICD Dhannad",SUMPRODUCT((UPPER(TRIM('Origin Costs'!$A$93:$A$132))=UPPER(TRIM(J544)))*'Origin Costs'!$C$93:$C$132),0))),0)</f>
        <v>1168.8222222222223</v>
      </c>
      <c r="P544" s="42">
        <f t="shared" si="8"/>
        <v>1168.8222222222223</v>
      </c>
      <c r="Q544" s="13" t="str">
        <f>IF(OR(Dashboard!$C$4="All Customers",$E544=Dashboard!$C$4),IF($E544="","",$P544+ROW()/10000000),"")</f>
        <v/>
      </c>
    </row>
    <row r="545" spans="1:17" ht="14.25" customHeight="1" x14ac:dyDescent="0.3">
      <c r="A545" s="43" t="str">
        <f>IFERROR("FY"&amp;TEXT(MOD(IF(MONTH(Sheet1!A545)&gt;=4,YEAR(Sheet1!A545),YEAR(Sheet1!A545)-1),100),"00")&amp;"-"&amp;TEXT(MOD(IF(MONTH(Sheet1!A545)&gt;=4,YEAR(Sheet1!A545),YEAR(Sheet1!A545)-1)+1,100),"00"),"")</f>
        <v>FY26-27</v>
      </c>
      <c r="B545" s="44" t="str">
        <f>IFERROR("Q"&amp;IF(MONTH(Sheet1!A545)&gt;=4,IF(MONTH(Sheet1!A545)&lt;=6,1,IF(MONTH(Sheet1!A545)&lt;=9,2,3)),4),"")</f>
        <v>Q1</v>
      </c>
      <c r="C545" s="43" t="str">
        <f>IFERROR(Sheet1!C545,0)</f>
        <v>Europe</v>
      </c>
      <c r="D545" s="43" t="str">
        <f>IFERROR(Sheet1!F545,0)</f>
        <v>Italy</v>
      </c>
      <c r="E545" s="43" t="str">
        <f>IFERROR(Sheet1!E545,0)</f>
        <v>Fintyre Spa</v>
      </c>
      <c r="F545" s="43" t="str">
        <f>IFERROR(IF(UPPER(TRIM(Sheet1!J545))="NH","Nhava Sheva",IF(UPPER(TRIM(Sheet1!J545))="ICD","ICD Dhannad",IF(UPPER(TRIM(Sheet1!J545))="TIHI","ICD Tihi",Sheet1!J545))),0)</f>
        <v>Nhava Sheva</v>
      </c>
      <c r="G545" s="43" t="str">
        <f>IFERROR(Sheet1!M545,0)</f>
        <v>CIVITAVECCHIA</v>
      </c>
      <c r="H545" s="43" t="str">
        <f>IFERROR(Sheet1!H545,0)</f>
        <v>FEI Cargo</v>
      </c>
      <c r="I545" s="43" t="str">
        <f>IFERROR(Sheet1!G545,0)</f>
        <v>FOB</v>
      </c>
      <c r="J545" s="43" t="str">
        <f>IFERROR(Sheet1!K545,0)</f>
        <v>MSC</v>
      </c>
      <c r="K545" s="45">
        <f>IFERROR(Sheet1!A545,0)</f>
        <v>46138</v>
      </c>
      <c r="L545" s="45">
        <f>IFERROR(Sheet1!I545,0)</f>
        <v>46136</v>
      </c>
      <c r="M545" s="47" t="str">
        <f>IFERROR(Sheet1!P545,0)</f>
        <v>NA</v>
      </c>
      <c r="N545" s="46">
        <f>IFERROR(IF(ISNUMBER(Sheet1!N545),Sheet1!N545,0),0)</f>
        <v>0</v>
      </c>
      <c r="O545" s="46">
        <f>IFERROR(IF(TRIM(F545)="Nhava Sheva",SUMPRODUCT((UPPER(TRIM('Origin Costs'!$A$5:$A$44))=UPPER(TRIM(J545)))*'Origin Costs'!$C$5:$C$44),IF(TRIM(F545)="ICD Tihi",SUMPRODUCT((UPPER(TRIM('Origin Costs'!$A$49:$A$88))=UPPER(TRIM(J545)))*'Origin Costs'!$C$49:$C$88),IF(TRIM(F545)="ICD Dhannad",SUMPRODUCT((UPPER(TRIM('Origin Costs'!$A$93:$A$132))=UPPER(TRIM(J545)))*'Origin Costs'!$C$93:$C$132),0))),0)</f>
        <v>1168.8222222222223</v>
      </c>
      <c r="P545" s="46">
        <f t="shared" si="8"/>
        <v>1168.8222222222223</v>
      </c>
      <c r="Q545" s="13" t="str">
        <f>IF(OR(Dashboard!$C$4="All Customers",$E545=Dashboard!$C$4),IF($E545="","",$P545+ROW()/10000000),"")</f>
        <v/>
      </c>
    </row>
    <row r="546" spans="1:17" ht="14.25" customHeight="1" x14ac:dyDescent="0.3">
      <c r="A546" s="39" t="str">
        <f>IFERROR("FY"&amp;TEXT(MOD(IF(MONTH(Sheet1!A546)&gt;=4,YEAR(Sheet1!A546),YEAR(Sheet1!A546)-1),100),"00")&amp;"-"&amp;TEXT(MOD(IF(MONTH(Sheet1!A546)&gt;=4,YEAR(Sheet1!A546),YEAR(Sheet1!A546)-1)+1,100),"00"),"")</f>
        <v>FY26-27</v>
      </c>
      <c r="B546" s="40" t="str">
        <f>IFERROR("Q"&amp;IF(MONTH(Sheet1!A546)&gt;=4,IF(MONTH(Sheet1!A546)&lt;=6,1,IF(MONTH(Sheet1!A546)&lt;=9,2,3)),4),"")</f>
        <v>Q1</v>
      </c>
      <c r="C546" s="39" t="str">
        <f>IFERROR(Sheet1!C546,0)</f>
        <v>Europe</v>
      </c>
      <c r="D546" s="39" t="str">
        <f>IFERROR(Sheet1!F546,0)</f>
        <v>Italy</v>
      </c>
      <c r="E546" s="39" t="str">
        <f>IFERROR(Sheet1!E546,0)</f>
        <v>Fintyre Spa</v>
      </c>
      <c r="F546" s="39" t="str">
        <f>IFERROR(IF(UPPER(TRIM(Sheet1!J546))="NH","Nhava Sheva",IF(UPPER(TRIM(Sheet1!J546))="ICD","ICD Dhannad",IF(UPPER(TRIM(Sheet1!J546))="TIHI","ICD Tihi",Sheet1!J546))),0)</f>
        <v>Nhava Sheva</v>
      </c>
      <c r="G546" s="39" t="str">
        <f>IFERROR(Sheet1!M546,0)</f>
        <v>CIVITAVECCHIA</v>
      </c>
      <c r="H546" s="39" t="str">
        <f>IFERROR(Sheet1!H546,0)</f>
        <v>FEI Cargo</v>
      </c>
      <c r="I546" s="39" t="str">
        <f>IFERROR(Sheet1!G546,0)</f>
        <v>FOB</v>
      </c>
      <c r="J546" s="39" t="str">
        <f>IFERROR(Sheet1!K546,0)</f>
        <v>MSC</v>
      </c>
      <c r="K546" s="41">
        <f>IFERROR(Sheet1!A546,0)</f>
        <v>46138</v>
      </c>
      <c r="L546" s="41">
        <f>IFERROR(Sheet1!I546,0)</f>
        <v>46136</v>
      </c>
      <c r="M546" s="47" t="str">
        <f>IFERROR(Sheet1!P546,0)</f>
        <v>NA</v>
      </c>
      <c r="N546" s="42">
        <f>IFERROR(IF(ISNUMBER(Sheet1!N546),Sheet1!N546,0),0)</f>
        <v>0</v>
      </c>
      <c r="O546" s="42">
        <f>IFERROR(IF(TRIM(F546)="Nhava Sheva",SUMPRODUCT((UPPER(TRIM('Origin Costs'!$A$5:$A$44))=UPPER(TRIM(J546)))*'Origin Costs'!$C$5:$C$44),IF(TRIM(F546)="ICD Tihi",SUMPRODUCT((UPPER(TRIM('Origin Costs'!$A$49:$A$88))=UPPER(TRIM(J546)))*'Origin Costs'!$C$49:$C$88),IF(TRIM(F546)="ICD Dhannad",SUMPRODUCT((UPPER(TRIM('Origin Costs'!$A$93:$A$132))=UPPER(TRIM(J546)))*'Origin Costs'!$C$93:$C$132),0))),0)</f>
        <v>1168.8222222222223</v>
      </c>
      <c r="P546" s="42">
        <f t="shared" si="8"/>
        <v>1168.8222222222223</v>
      </c>
      <c r="Q546" s="13" t="str">
        <f>IF(OR(Dashboard!$C$4="All Customers",$E546=Dashboard!$C$4),IF($E546="","",$P546+ROW()/10000000),"")</f>
        <v/>
      </c>
    </row>
    <row r="547" spans="1:17" ht="14.25" customHeight="1" x14ac:dyDescent="0.3">
      <c r="A547" s="43" t="str">
        <f>IFERROR("FY"&amp;TEXT(MOD(IF(MONTH(Sheet1!A547)&gt;=4,YEAR(Sheet1!A547),YEAR(Sheet1!A547)-1),100),"00")&amp;"-"&amp;TEXT(MOD(IF(MONTH(Sheet1!A547)&gt;=4,YEAR(Sheet1!A547),YEAR(Sheet1!A547)-1)+1,100),"00"),"")</f>
        <v>FY26-27</v>
      </c>
      <c r="B547" s="44" t="str">
        <f>IFERROR("Q"&amp;IF(MONTH(Sheet1!A547)&gt;=4,IF(MONTH(Sheet1!A547)&lt;=6,1,IF(MONTH(Sheet1!A547)&lt;=9,2,3)),4),"")</f>
        <v>Q1</v>
      </c>
      <c r="C547" s="43" t="str">
        <f>IFERROR(Sheet1!C547,0)</f>
        <v>Europe</v>
      </c>
      <c r="D547" s="43" t="str">
        <f>IFERROR(Sheet1!F547,0)</f>
        <v>Poland</v>
      </c>
      <c r="E547" s="43" t="str">
        <f>IFERROR(Sheet1!E547,0)</f>
        <v>Inter Cars S.A.</v>
      </c>
      <c r="F547" s="43" t="str">
        <f>IFERROR(IF(UPPER(TRIM(Sheet1!J547))="NH","Nhava Sheva",IF(UPPER(TRIM(Sheet1!J547))="ICD","ICD Dhannad",IF(UPPER(TRIM(Sheet1!J547))="TIHI","ICD Tihi",Sheet1!J547))),0)</f>
        <v>Nhava Sheva</v>
      </c>
      <c r="G547" s="43" t="str">
        <f>IFERROR(Sheet1!M547,0)</f>
        <v>GDYNIA</v>
      </c>
      <c r="H547" s="43" t="str">
        <f>IFERROR(Sheet1!H547,0)</f>
        <v>VS Trans Lojistik</v>
      </c>
      <c r="I547" s="43" t="str">
        <f>IFERROR(Sheet1!G547,0)</f>
        <v>FOB</v>
      </c>
      <c r="J547" s="43" t="str">
        <f>IFERROR(Sheet1!K547,0)</f>
        <v>ONE</v>
      </c>
      <c r="K547" s="45">
        <f>IFERROR(Sheet1!A547,0)</f>
        <v>46138</v>
      </c>
      <c r="L547" s="45">
        <f>IFERROR(Sheet1!I547,0)</f>
        <v>46137</v>
      </c>
      <c r="M547" s="47" t="str">
        <f>IFERROR(Sheet1!P547,0)</f>
        <v>NA</v>
      </c>
      <c r="N547" s="46">
        <f>IFERROR(IF(ISNUMBER(Sheet1!N547),Sheet1!N547,0),0)</f>
        <v>0</v>
      </c>
      <c r="O547" s="46">
        <f>IFERROR(IF(TRIM(F547)="Nhava Sheva",SUMPRODUCT((UPPER(TRIM('Origin Costs'!$A$5:$A$44))=UPPER(TRIM(J547)))*'Origin Costs'!$C$5:$C$44),IF(TRIM(F547)="ICD Tihi",SUMPRODUCT((UPPER(TRIM('Origin Costs'!$A$49:$A$88))=UPPER(TRIM(J547)))*'Origin Costs'!$C$49:$C$88),IF(TRIM(F547)="ICD Dhannad",SUMPRODUCT((UPPER(TRIM('Origin Costs'!$A$93:$A$132))=UPPER(TRIM(J547)))*'Origin Costs'!$C$93:$C$132),0))),0)</f>
        <v>1146.5555555555557</v>
      </c>
      <c r="P547" s="46">
        <f t="shared" si="8"/>
        <v>1146.5555555555557</v>
      </c>
      <c r="Q547" s="13" t="str">
        <f>IF(OR(Dashboard!$C$4="All Customers",$E547=Dashboard!$C$4),IF($E547="","",$P547+ROW()/10000000),"")</f>
        <v/>
      </c>
    </row>
    <row r="548" spans="1:17" ht="14.25" customHeight="1" x14ac:dyDescent="0.3">
      <c r="A548" s="39" t="str">
        <f>IFERROR("FY"&amp;TEXT(MOD(IF(MONTH(Sheet1!A548)&gt;=4,YEAR(Sheet1!A548),YEAR(Sheet1!A548)-1),100),"00")&amp;"-"&amp;TEXT(MOD(IF(MONTH(Sheet1!A548)&gt;=4,YEAR(Sheet1!A548),YEAR(Sheet1!A548)-1)+1,100),"00"),"")</f>
        <v>FY26-27</v>
      </c>
      <c r="B548" s="40" t="str">
        <f>IFERROR("Q"&amp;IF(MONTH(Sheet1!A548)&gt;=4,IF(MONTH(Sheet1!A548)&lt;=6,1,IF(MONTH(Sheet1!A548)&lt;=9,2,3)),4),"")</f>
        <v>Q1</v>
      </c>
      <c r="C548" s="39" t="str">
        <f>IFERROR(Sheet1!C548,0)</f>
        <v>Europe</v>
      </c>
      <c r="D548" s="39" t="str">
        <f>IFERROR(Sheet1!F548,0)</f>
        <v>Poland</v>
      </c>
      <c r="E548" s="39" t="str">
        <f>IFERROR(Sheet1!E548,0)</f>
        <v>Inter Cars S.A.</v>
      </c>
      <c r="F548" s="39" t="str">
        <f>IFERROR(IF(UPPER(TRIM(Sheet1!J548))="NH","Nhava Sheva",IF(UPPER(TRIM(Sheet1!J548))="ICD","ICD Dhannad",IF(UPPER(TRIM(Sheet1!J548))="TIHI","ICD Tihi",Sheet1!J548))),0)</f>
        <v>Nhava Sheva</v>
      </c>
      <c r="G548" s="39" t="str">
        <f>IFERROR(Sheet1!M548,0)</f>
        <v>GDYNIA</v>
      </c>
      <c r="H548" s="39" t="str">
        <f>IFERROR(Sheet1!H548,0)</f>
        <v>VS Trans Lojistik</v>
      </c>
      <c r="I548" s="39" t="str">
        <f>IFERROR(Sheet1!G548,0)</f>
        <v>FOB</v>
      </c>
      <c r="J548" s="39" t="str">
        <f>IFERROR(Sheet1!K548,0)</f>
        <v>ONE</v>
      </c>
      <c r="K548" s="41">
        <f>IFERROR(Sheet1!A548,0)</f>
        <v>46138</v>
      </c>
      <c r="L548" s="41">
        <f>IFERROR(Sheet1!I548,0)</f>
        <v>46137</v>
      </c>
      <c r="M548" s="47" t="str">
        <f>IFERROR(Sheet1!P548,0)</f>
        <v>NA</v>
      </c>
      <c r="N548" s="42">
        <f>IFERROR(IF(ISNUMBER(Sheet1!N548),Sheet1!N548,0),0)</f>
        <v>0</v>
      </c>
      <c r="O548" s="42">
        <f>IFERROR(IF(TRIM(F548)="Nhava Sheva",SUMPRODUCT((UPPER(TRIM('Origin Costs'!$A$5:$A$44))=UPPER(TRIM(J548)))*'Origin Costs'!$C$5:$C$44),IF(TRIM(F548)="ICD Tihi",SUMPRODUCT((UPPER(TRIM('Origin Costs'!$A$49:$A$88))=UPPER(TRIM(J548)))*'Origin Costs'!$C$49:$C$88),IF(TRIM(F548)="ICD Dhannad",SUMPRODUCT((UPPER(TRIM('Origin Costs'!$A$93:$A$132))=UPPER(TRIM(J548)))*'Origin Costs'!$C$93:$C$132),0))),0)</f>
        <v>1146.5555555555557</v>
      </c>
      <c r="P548" s="42">
        <f t="shared" si="8"/>
        <v>1146.5555555555557</v>
      </c>
      <c r="Q548" s="13" t="str">
        <f>IF(OR(Dashboard!$C$4="All Customers",$E548=Dashboard!$C$4),IF($E548="","",$P548+ROW()/10000000),"")</f>
        <v/>
      </c>
    </row>
    <row r="549" spans="1:17" ht="14.25" customHeight="1" x14ac:dyDescent="0.3">
      <c r="A549" s="43" t="str">
        <f>IFERROR("FY"&amp;TEXT(MOD(IF(MONTH(Sheet1!A549)&gt;=4,YEAR(Sheet1!A549),YEAR(Sheet1!A549)-1),100),"00")&amp;"-"&amp;TEXT(MOD(IF(MONTH(Sheet1!A549)&gt;=4,YEAR(Sheet1!A549),YEAR(Sheet1!A549)-1)+1,100),"00"),"")</f>
        <v>FY26-27</v>
      </c>
      <c r="B549" s="44" t="str">
        <f>IFERROR("Q"&amp;IF(MONTH(Sheet1!A549)&gt;=4,IF(MONTH(Sheet1!A549)&lt;=6,1,IF(MONTH(Sheet1!A549)&lt;=9,2,3)),4),"")</f>
        <v>Q1</v>
      </c>
      <c r="C549" s="43" t="str">
        <f>IFERROR(Sheet1!C549,0)</f>
        <v>Europe</v>
      </c>
      <c r="D549" s="43" t="str">
        <f>IFERROR(Sheet1!F549,0)</f>
        <v>Poland</v>
      </c>
      <c r="E549" s="43" t="str">
        <f>IFERROR(Sheet1!E549,0)</f>
        <v>Inter Cars S.A.</v>
      </c>
      <c r="F549" s="43" t="str">
        <f>IFERROR(IF(UPPER(TRIM(Sheet1!J549))="NH","Nhava Sheva",IF(UPPER(TRIM(Sheet1!J549))="ICD","ICD Dhannad",IF(UPPER(TRIM(Sheet1!J549))="TIHI","ICD Tihi",Sheet1!J549))),0)</f>
        <v>Nhava Sheva</v>
      </c>
      <c r="G549" s="43" t="str">
        <f>IFERROR(Sheet1!M549,0)</f>
        <v>GDYNIA</v>
      </c>
      <c r="H549" s="43" t="str">
        <f>IFERROR(Sheet1!H549,0)</f>
        <v>VS Trans Lojistik</v>
      </c>
      <c r="I549" s="43" t="str">
        <f>IFERROR(Sheet1!G549,0)</f>
        <v>FOB</v>
      </c>
      <c r="J549" s="43" t="str">
        <f>IFERROR(Sheet1!K549,0)</f>
        <v>ONE</v>
      </c>
      <c r="K549" s="45">
        <f>IFERROR(Sheet1!A549,0)</f>
        <v>46138</v>
      </c>
      <c r="L549" s="45">
        <f>IFERROR(Sheet1!I549,0)</f>
        <v>46137</v>
      </c>
      <c r="M549" s="47" t="str">
        <f>IFERROR(Sheet1!P549,0)</f>
        <v>NA</v>
      </c>
      <c r="N549" s="46">
        <f>IFERROR(IF(ISNUMBER(Sheet1!N549),Sheet1!N549,0),0)</f>
        <v>0</v>
      </c>
      <c r="O549" s="46">
        <f>IFERROR(IF(TRIM(F549)="Nhava Sheva",SUMPRODUCT((UPPER(TRIM('Origin Costs'!$A$5:$A$44))=UPPER(TRIM(J549)))*'Origin Costs'!$C$5:$C$44),IF(TRIM(F549)="ICD Tihi",SUMPRODUCT((UPPER(TRIM('Origin Costs'!$A$49:$A$88))=UPPER(TRIM(J549)))*'Origin Costs'!$C$49:$C$88),IF(TRIM(F549)="ICD Dhannad",SUMPRODUCT((UPPER(TRIM('Origin Costs'!$A$93:$A$132))=UPPER(TRIM(J549)))*'Origin Costs'!$C$93:$C$132),0))),0)</f>
        <v>1146.5555555555557</v>
      </c>
      <c r="P549" s="46">
        <f t="shared" si="8"/>
        <v>1146.5555555555557</v>
      </c>
      <c r="Q549" s="13" t="str">
        <f>IF(OR(Dashboard!$C$4="All Customers",$E549=Dashboard!$C$4),IF($E549="","",$P549+ROW()/10000000),"")</f>
        <v/>
      </c>
    </row>
    <row r="550" spans="1:17" ht="14.25" customHeight="1" x14ac:dyDescent="0.3">
      <c r="A550" s="39" t="str">
        <f>IFERROR("FY"&amp;TEXT(MOD(IF(MONTH(Sheet1!A550)&gt;=4,YEAR(Sheet1!A550),YEAR(Sheet1!A550)-1),100),"00")&amp;"-"&amp;TEXT(MOD(IF(MONTH(Sheet1!A550)&gt;=4,YEAR(Sheet1!A550),YEAR(Sheet1!A550)-1)+1,100),"00"),"")</f>
        <v>FY26-27</v>
      </c>
      <c r="B550" s="40" t="str">
        <f>IFERROR("Q"&amp;IF(MONTH(Sheet1!A550)&gt;=4,IF(MONTH(Sheet1!A550)&lt;=6,1,IF(MONTH(Sheet1!A550)&lt;=9,2,3)),4),"")</f>
        <v>Q1</v>
      </c>
      <c r="C550" s="39" t="str">
        <f>IFERROR(Sheet1!C550,0)</f>
        <v>Europe</v>
      </c>
      <c r="D550" s="39" t="str">
        <f>IFERROR(Sheet1!F550,0)</f>
        <v>Poland</v>
      </c>
      <c r="E550" s="39" t="str">
        <f>IFERROR(Sheet1!E550,0)</f>
        <v>Inter Cars S.A.</v>
      </c>
      <c r="F550" s="39" t="str">
        <f>IFERROR(IF(UPPER(TRIM(Sheet1!J550))="NH","Nhava Sheva",IF(UPPER(TRIM(Sheet1!J550))="ICD","ICD Dhannad",IF(UPPER(TRIM(Sheet1!J550))="TIHI","ICD Tihi",Sheet1!J550))),0)</f>
        <v>Nhava Sheva</v>
      </c>
      <c r="G550" s="39" t="str">
        <f>IFERROR(Sheet1!M550,0)</f>
        <v>GDYNIA</v>
      </c>
      <c r="H550" s="39" t="str">
        <f>IFERROR(Sheet1!H550,0)</f>
        <v>VS Trans Lojistik</v>
      </c>
      <c r="I550" s="39" t="str">
        <f>IFERROR(Sheet1!G550,0)</f>
        <v>FOB</v>
      </c>
      <c r="J550" s="39" t="str">
        <f>IFERROR(Sheet1!K550,0)</f>
        <v>ONE</v>
      </c>
      <c r="K550" s="41">
        <f>IFERROR(Sheet1!A550,0)</f>
        <v>46138</v>
      </c>
      <c r="L550" s="41">
        <f>IFERROR(Sheet1!I550,0)</f>
        <v>46138</v>
      </c>
      <c r="M550" s="47" t="str">
        <f>IFERROR(Sheet1!P550,0)</f>
        <v>NA</v>
      </c>
      <c r="N550" s="42">
        <f>IFERROR(IF(ISNUMBER(Sheet1!N550),Sheet1!N550,0),0)</f>
        <v>0</v>
      </c>
      <c r="O550" s="42">
        <f>IFERROR(IF(TRIM(F550)="Nhava Sheva",SUMPRODUCT((UPPER(TRIM('Origin Costs'!$A$5:$A$44))=UPPER(TRIM(J550)))*'Origin Costs'!$C$5:$C$44),IF(TRIM(F550)="ICD Tihi",SUMPRODUCT((UPPER(TRIM('Origin Costs'!$A$49:$A$88))=UPPER(TRIM(J550)))*'Origin Costs'!$C$49:$C$88),IF(TRIM(F550)="ICD Dhannad",SUMPRODUCT((UPPER(TRIM('Origin Costs'!$A$93:$A$132))=UPPER(TRIM(J550)))*'Origin Costs'!$C$93:$C$132),0))),0)</f>
        <v>1146.5555555555557</v>
      </c>
      <c r="P550" s="42">
        <f t="shared" si="8"/>
        <v>1146.5555555555557</v>
      </c>
      <c r="Q550" s="13" t="str">
        <f>IF(OR(Dashboard!$C$4="All Customers",$E550=Dashboard!$C$4),IF($E550="","",$P550+ROW()/10000000),"")</f>
        <v/>
      </c>
    </row>
    <row r="551" spans="1:17" ht="14.25" customHeight="1" x14ac:dyDescent="0.3">
      <c r="A551" s="43" t="str">
        <f>IFERROR("FY"&amp;TEXT(MOD(IF(MONTH(Sheet1!A551)&gt;=4,YEAR(Sheet1!A551),YEAR(Sheet1!A551)-1),100),"00")&amp;"-"&amp;TEXT(MOD(IF(MONTH(Sheet1!A551)&gt;=4,YEAR(Sheet1!A551),YEAR(Sheet1!A551)-1)+1,100),"00"),"")</f>
        <v>FY26-27</v>
      </c>
      <c r="B551" s="44" t="str">
        <f>IFERROR("Q"&amp;IF(MONTH(Sheet1!A551)&gt;=4,IF(MONTH(Sheet1!A551)&lt;=6,1,IF(MONTH(Sheet1!A551)&lt;=9,2,3)),4),"")</f>
        <v>Q1</v>
      </c>
      <c r="C551" s="43" t="str">
        <f>IFERROR(Sheet1!C551,0)</f>
        <v>Europe</v>
      </c>
      <c r="D551" s="43" t="str">
        <f>IFERROR(Sheet1!F551,0)</f>
        <v>Poland</v>
      </c>
      <c r="E551" s="43" t="str">
        <f>IFERROR(Sheet1!E551,0)</f>
        <v>Inter Cars S.A.</v>
      </c>
      <c r="F551" s="43" t="str">
        <f>IFERROR(IF(UPPER(TRIM(Sheet1!J551))="NH","Nhava Sheva",IF(UPPER(TRIM(Sheet1!J551))="ICD","ICD Dhannad",IF(UPPER(TRIM(Sheet1!J551))="TIHI","ICD Tihi",Sheet1!J551))),0)</f>
        <v>Nhava Sheva</v>
      </c>
      <c r="G551" s="43" t="str">
        <f>IFERROR(Sheet1!M551,0)</f>
        <v>GDYNIA</v>
      </c>
      <c r="H551" s="43" t="str">
        <f>IFERROR(Sheet1!H551,0)</f>
        <v>VS Trans Lojistik</v>
      </c>
      <c r="I551" s="43" t="str">
        <f>IFERROR(Sheet1!G551,0)</f>
        <v>FOB</v>
      </c>
      <c r="J551" s="43" t="str">
        <f>IFERROR(Sheet1!K551,0)</f>
        <v>ONE</v>
      </c>
      <c r="K551" s="45">
        <f>IFERROR(Sheet1!A551,0)</f>
        <v>46138</v>
      </c>
      <c r="L551" s="45">
        <f>IFERROR(Sheet1!I551,0)</f>
        <v>46138</v>
      </c>
      <c r="M551" s="47" t="str">
        <f>IFERROR(Sheet1!P551,0)</f>
        <v>NA</v>
      </c>
      <c r="N551" s="46">
        <f>IFERROR(IF(ISNUMBER(Sheet1!N551),Sheet1!N551,0),0)</f>
        <v>0</v>
      </c>
      <c r="O551" s="46">
        <f>IFERROR(IF(TRIM(F551)="Nhava Sheva",SUMPRODUCT((UPPER(TRIM('Origin Costs'!$A$5:$A$44))=UPPER(TRIM(J551)))*'Origin Costs'!$C$5:$C$44),IF(TRIM(F551)="ICD Tihi",SUMPRODUCT((UPPER(TRIM('Origin Costs'!$A$49:$A$88))=UPPER(TRIM(J551)))*'Origin Costs'!$C$49:$C$88),IF(TRIM(F551)="ICD Dhannad",SUMPRODUCT((UPPER(TRIM('Origin Costs'!$A$93:$A$132))=UPPER(TRIM(J551)))*'Origin Costs'!$C$93:$C$132),0))),0)</f>
        <v>1146.5555555555557</v>
      </c>
      <c r="P551" s="46">
        <f t="shared" si="8"/>
        <v>1146.5555555555557</v>
      </c>
      <c r="Q551" s="13" t="str">
        <f>IF(OR(Dashboard!$C$4="All Customers",$E551=Dashboard!$C$4),IF($E551="","",$P551+ROW()/10000000),"")</f>
        <v/>
      </c>
    </row>
    <row r="552" spans="1:17" ht="14.25" customHeight="1" x14ac:dyDescent="0.3">
      <c r="A552" s="39" t="str">
        <f>IFERROR("FY"&amp;TEXT(MOD(IF(MONTH(Sheet1!A552)&gt;=4,YEAR(Sheet1!A552),YEAR(Sheet1!A552)-1),100),"00")&amp;"-"&amp;TEXT(MOD(IF(MONTH(Sheet1!A552)&gt;=4,YEAR(Sheet1!A552),YEAR(Sheet1!A552)-1)+1,100),"00"),"")</f>
        <v>FY26-27</v>
      </c>
      <c r="B552" s="40" t="str">
        <f>IFERROR("Q"&amp;IF(MONTH(Sheet1!A552)&gt;=4,IF(MONTH(Sheet1!A552)&lt;=6,1,IF(MONTH(Sheet1!A552)&lt;=9,2,3)),4),"")</f>
        <v>Q1</v>
      </c>
      <c r="C552" s="39" t="str">
        <f>IFERROR(Sheet1!C552,0)</f>
        <v>Africa</v>
      </c>
      <c r="D552" s="39" t="str">
        <f>IFERROR(Sheet1!F552,0)</f>
        <v>South Africa</v>
      </c>
      <c r="E552" s="39" t="str">
        <f>IFERROR(Sheet1!E552,0)</f>
        <v>Royal Tires, South Africa</v>
      </c>
      <c r="F552" s="39" t="str">
        <f>IFERROR(IF(UPPER(TRIM(Sheet1!J552))="NH","Nhava Sheva",IF(UPPER(TRIM(Sheet1!J552))="ICD","ICD Dhannad",IF(UPPER(TRIM(Sheet1!J552))="TIHI","ICD Tihi",Sheet1!J552))),0)</f>
        <v>ICD Tihi</v>
      </c>
      <c r="G552" s="39" t="str">
        <f>IFERROR(Sheet1!M552,0)</f>
        <v>Durban</v>
      </c>
      <c r="H552" s="39" t="str">
        <f>IFERROR(Sheet1!H552,0)</f>
        <v>Hind Freight</v>
      </c>
      <c r="I552" s="39" t="str">
        <f>IFERROR(Sheet1!G552,0)</f>
        <v>FOB</v>
      </c>
      <c r="J552" s="39" t="str">
        <f>IFERROR(Sheet1!K552,0)</f>
        <v>CMA</v>
      </c>
      <c r="K552" s="41">
        <f>IFERROR(Sheet1!A552,0)</f>
        <v>46138</v>
      </c>
      <c r="L552" s="41">
        <f>IFERROR(Sheet1!I552,0)</f>
        <v>46136</v>
      </c>
      <c r="M552" s="47" t="str">
        <f>IFERROR(Sheet1!P552,0)</f>
        <v>NA</v>
      </c>
      <c r="N552" s="42">
        <f>IFERROR(IF(ISNUMBER(Sheet1!N552),Sheet1!N552,0),0)</f>
        <v>1350</v>
      </c>
      <c r="O552" s="42">
        <f>IFERROR(IF(TRIM(F552)="Nhava Sheva",SUMPRODUCT((UPPER(TRIM('Origin Costs'!$A$5:$A$44))=UPPER(TRIM(J552)))*'Origin Costs'!$C$5:$C$44),IF(TRIM(F552)="ICD Tihi",SUMPRODUCT((UPPER(TRIM('Origin Costs'!$A$49:$A$88))=UPPER(TRIM(J552)))*'Origin Costs'!$C$49:$C$88),IF(TRIM(F552)="ICD Dhannad",SUMPRODUCT((UPPER(TRIM('Origin Costs'!$A$93:$A$132))=UPPER(TRIM(J552)))*'Origin Costs'!$C$93:$C$132),0))),0)</f>
        <v>1110.9666666666667</v>
      </c>
      <c r="P552" s="42">
        <f t="shared" si="8"/>
        <v>2460.9666666666667</v>
      </c>
      <c r="Q552" s="13" t="str">
        <f>IF(OR(Dashboard!$C$4="All Customers",$E552=Dashboard!$C$4),IF($E552="","",$P552+ROW()/10000000),"")</f>
        <v/>
      </c>
    </row>
    <row r="553" spans="1:17" ht="14.25" customHeight="1" x14ac:dyDescent="0.3">
      <c r="A553" s="43" t="str">
        <f>IFERROR("FY"&amp;TEXT(MOD(IF(MONTH(Sheet1!A553)&gt;=4,YEAR(Sheet1!A553),YEAR(Sheet1!A553)-1),100),"00")&amp;"-"&amp;TEXT(MOD(IF(MONTH(Sheet1!A553)&gt;=4,YEAR(Sheet1!A553),YEAR(Sheet1!A553)-1)+1,100),"00"),"")</f>
        <v>FY26-27</v>
      </c>
      <c r="B553" s="44" t="str">
        <f>IFERROR("Q"&amp;IF(MONTH(Sheet1!A553)&gt;=4,IF(MONTH(Sheet1!A553)&lt;=6,1,IF(MONTH(Sheet1!A553)&lt;=9,2,3)),4),"")</f>
        <v>Q1</v>
      </c>
      <c r="C553" s="43" t="str">
        <f>IFERROR(Sheet1!C553,0)</f>
        <v>Africa</v>
      </c>
      <c r="D553" s="43" t="str">
        <f>IFERROR(Sheet1!F553,0)</f>
        <v>South Africa</v>
      </c>
      <c r="E553" s="43" t="str">
        <f>IFERROR(Sheet1!E553,0)</f>
        <v>Royal Tires, South Africa</v>
      </c>
      <c r="F553" s="43" t="str">
        <f>IFERROR(IF(UPPER(TRIM(Sheet1!J553))="NH","Nhava Sheva",IF(UPPER(TRIM(Sheet1!J553))="ICD","ICD Dhannad",IF(UPPER(TRIM(Sheet1!J553))="TIHI","ICD Tihi",Sheet1!J553))),0)</f>
        <v>ICD Tihi</v>
      </c>
      <c r="G553" s="43" t="str">
        <f>IFERROR(Sheet1!M553,0)</f>
        <v>Durban</v>
      </c>
      <c r="H553" s="43" t="str">
        <f>IFERROR(Sheet1!H553,0)</f>
        <v>Hind Freight</v>
      </c>
      <c r="I553" s="43" t="str">
        <f>IFERROR(Sheet1!G553,0)</f>
        <v>FOB</v>
      </c>
      <c r="J553" s="43" t="str">
        <f>IFERROR(Sheet1!K553,0)</f>
        <v>CMA</v>
      </c>
      <c r="K553" s="45">
        <f>IFERROR(Sheet1!A553,0)</f>
        <v>46138</v>
      </c>
      <c r="L553" s="45">
        <f>IFERROR(Sheet1!I553,0)</f>
        <v>46136</v>
      </c>
      <c r="M553" s="47" t="str">
        <f>IFERROR(Sheet1!P553,0)</f>
        <v>NA</v>
      </c>
      <c r="N553" s="46">
        <f>IFERROR(IF(ISNUMBER(Sheet1!N553),Sheet1!N553,0),0)</f>
        <v>1350</v>
      </c>
      <c r="O553" s="46">
        <f>IFERROR(IF(TRIM(F553)="Nhava Sheva",SUMPRODUCT((UPPER(TRIM('Origin Costs'!$A$5:$A$44))=UPPER(TRIM(J553)))*'Origin Costs'!$C$5:$C$44),IF(TRIM(F553)="ICD Tihi",SUMPRODUCT((UPPER(TRIM('Origin Costs'!$A$49:$A$88))=UPPER(TRIM(J553)))*'Origin Costs'!$C$49:$C$88),IF(TRIM(F553)="ICD Dhannad",SUMPRODUCT((UPPER(TRIM('Origin Costs'!$A$93:$A$132))=UPPER(TRIM(J553)))*'Origin Costs'!$C$93:$C$132),0))),0)</f>
        <v>1110.9666666666667</v>
      </c>
      <c r="P553" s="46">
        <f t="shared" si="8"/>
        <v>2460.9666666666667</v>
      </c>
      <c r="Q553" s="13" t="str">
        <f>IF(OR(Dashboard!$C$4="All Customers",$E553=Dashboard!$C$4),IF($E553="","",$P553+ROW()/10000000),"")</f>
        <v/>
      </c>
    </row>
    <row r="554" spans="1:17" ht="14.25" customHeight="1" x14ac:dyDescent="0.3">
      <c r="A554" s="39" t="str">
        <f>IFERROR("FY"&amp;TEXT(MOD(IF(MONTH(Sheet1!A554)&gt;=4,YEAR(Sheet1!A554),YEAR(Sheet1!A554)-1),100),"00")&amp;"-"&amp;TEXT(MOD(IF(MONTH(Sheet1!A554)&gt;=4,YEAR(Sheet1!A554),YEAR(Sheet1!A554)-1)+1,100),"00"),"")</f>
        <v>FY26-27</v>
      </c>
      <c r="B554" s="40" t="str">
        <f>IFERROR("Q"&amp;IF(MONTH(Sheet1!A554)&gt;=4,IF(MONTH(Sheet1!A554)&lt;=6,1,IF(MONTH(Sheet1!A554)&lt;=9,2,3)),4),"")</f>
        <v>Q1</v>
      </c>
      <c r="C554" s="39" t="str">
        <f>IFERROR(Sheet1!C554,0)</f>
        <v>Africa</v>
      </c>
      <c r="D554" s="39" t="str">
        <f>IFERROR(Sheet1!F554,0)</f>
        <v>South Africa</v>
      </c>
      <c r="E554" s="39" t="str">
        <f>IFERROR(Sheet1!E554,0)</f>
        <v>Royal Tires, South Africa</v>
      </c>
      <c r="F554" s="39" t="str">
        <f>IFERROR(IF(UPPER(TRIM(Sheet1!J554))="NH","Nhava Sheva",IF(UPPER(TRIM(Sheet1!J554))="ICD","ICD Dhannad",IF(UPPER(TRIM(Sheet1!J554))="TIHI","ICD Tihi",Sheet1!J554))),0)</f>
        <v>ICD Tihi</v>
      </c>
      <c r="G554" s="39" t="str">
        <f>IFERROR(Sheet1!M554,0)</f>
        <v>Durban</v>
      </c>
      <c r="H554" s="39" t="str">
        <f>IFERROR(Sheet1!H554,0)</f>
        <v>Hind Freight</v>
      </c>
      <c r="I554" s="39" t="str">
        <f>IFERROR(Sheet1!G554,0)</f>
        <v>FOB</v>
      </c>
      <c r="J554" s="39" t="str">
        <f>IFERROR(Sheet1!K554,0)</f>
        <v>CMA</v>
      </c>
      <c r="K554" s="41">
        <f>IFERROR(Sheet1!A554,0)</f>
        <v>46138</v>
      </c>
      <c r="L554" s="41">
        <f>IFERROR(Sheet1!I554,0)</f>
        <v>46136</v>
      </c>
      <c r="M554" s="47" t="str">
        <f>IFERROR(Sheet1!P554,0)</f>
        <v>NA</v>
      </c>
      <c r="N554" s="42">
        <f>IFERROR(IF(ISNUMBER(Sheet1!N554),Sheet1!N554,0),0)</f>
        <v>1350</v>
      </c>
      <c r="O554" s="42">
        <f>IFERROR(IF(TRIM(F554)="Nhava Sheva",SUMPRODUCT((UPPER(TRIM('Origin Costs'!$A$5:$A$44))=UPPER(TRIM(J554)))*'Origin Costs'!$C$5:$C$44),IF(TRIM(F554)="ICD Tihi",SUMPRODUCT((UPPER(TRIM('Origin Costs'!$A$49:$A$88))=UPPER(TRIM(J554)))*'Origin Costs'!$C$49:$C$88),IF(TRIM(F554)="ICD Dhannad",SUMPRODUCT((UPPER(TRIM('Origin Costs'!$A$93:$A$132))=UPPER(TRIM(J554)))*'Origin Costs'!$C$93:$C$132),0))),0)</f>
        <v>1110.9666666666667</v>
      </c>
      <c r="P554" s="42">
        <f t="shared" si="8"/>
        <v>2460.9666666666667</v>
      </c>
      <c r="Q554" s="13" t="str">
        <f>IF(OR(Dashboard!$C$4="All Customers",$E554=Dashboard!$C$4),IF($E554="","",$P554+ROW()/10000000),"")</f>
        <v/>
      </c>
    </row>
    <row r="555" spans="1:17" ht="14.25" customHeight="1" x14ac:dyDescent="0.3">
      <c r="A555" s="43" t="str">
        <f>IFERROR("FY"&amp;TEXT(MOD(IF(MONTH(Sheet1!A555)&gt;=4,YEAR(Sheet1!A555),YEAR(Sheet1!A555)-1),100),"00")&amp;"-"&amp;TEXT(MOD(IF(MONTH(Sheet1!A555)&gt;=4,YEAR(Sheet1!A555),YEAR(Sheet1!A555)-1)+1,100),"00"),"")</f>
        <v>FY26-27</v>
      </c>
      <c r="B555" s="44" t="str">
        <f>IFERROR("Q"&amp;IF(MONTH(Sheet1!A555)&gt;=4,IF(MONTH(Sheet1!A555)&lt;=6,1,IF(MONTH(Sheet1!A555)&lt;=9,2,3)),4),"")</f>
        <v>Q1</v>
      </c>
      <c r="C555" s="43" t="str">
        <f>IFERROR(Sheet1!C555,0)</f>
        <v>Africa</v>
      </c>
      <c r="D555" s="43" t="str">
        <f>IFERROR(Sheet1!F555,0)</f>
        <v>South Africa</v>
      </c>
      <c r="E555" s="43" t="str">
        <f>IFERROR(Sheet1!E555,0)</f>
        <v>Royal Tires, South Africa</v>
      </c>
      <c r="F555" s="43" t="str">
        <f>IFERROR(IF(UPPER(TRIM(Sheet1!J555))="NH","Nhava Sheva",IF(UPPER(TRIM(Sheet1!J555))="ICD","ICD Dhannad",IF(UPPER(TRIM(Sheet1!J555))="TIHI","ICD Tihi",Sheet1!J555))),0)</f>
        <v>ICD Tihi</v>
      </c>
      <c r="G555" s="43" t="str">
        <f>IFERROR(Sheet1!M555,0)</f>
        <v>Durban</v>
      </c>
      <c r="H555" s="43" t="str">
        <f>IFERROR(Sheet1!H555,0)</f>
        <v>Hind Freight</v>
      </c>
      <c r="I555" s="43" t="str">
        <f>IFERROR(Sheet1!G555,0)</f>
        <v>FOB</v>
      </c>
      <c r="J555" s="43" t="str">
        <f>IFERROR(Sheet1!K555,0)</f>
        <v>CMA</v>
      </c>
      <c r="K555" s="45">
        <f>IFERROR(Sheet1!A555,0)</f>
        <v>46138</v>
      </c>
      <c r="L555" s="45">
        <f>IFERROR(Sheet1!I555,0)</f>
        <v>46136</v>
      </c>
      <c r="M555" s="47" t="str">
        <f>IFERROR(Sheet1!P555,0)</f>
        <v>NA</v>
      </c>
      <c r="N555" s="46">
        <f>IFERROR(IF(ISNUMBER(Sheet1!N555),Sheet1!N555,0),0)</f>
        <v>1350</v>
      </c>
      <c r="O555" s="46">
        <f>IFERROR(IF(TRIM(F555)="Nhava Sheva",SUMPRODUCT((UPPER(TRIM('Origin Costs'!$A$5:$A$44))=UPPER(TRIM(J555)))*'Origin Costs'!$C$5:$C$44),IF(TRIM(F555)="ICD Tihi",SUMPRODUCT((UPPER(TRIM('Origin Costs'!$A$49:$A$88))=UPPER(TRIM(J555)))*'Origin Costs'!$C$49:$C$88),IF(TRIM(F555)="ICD Dhannad",SUMPRODUCT((UPPER(TRIM('Origin Costs'!$A$93:$A$132))=UPPER(TRIM(J555)))*'Origin Costs'!$C$93:$C$132),0))),0)</f>
        <v>1110.9666666666667</v>
      </c>
      <c r="P555" s="46">
        <f t="shared" si="8"/>
        <v>2460.9666666666667</v>
      </c>
      <c r="Q555" s="13" t="str">
        <f>IF(OR(Dashboard!$C$4="All Customers",$E555=Dashboard!$C$4),IF($E555="","",$P555+ROW()/10000000),"")</f>
        <v/>
      </c>
    </row>
    <row r="556" spans="1:17" ht="14.25" customHeight="1" x14ac:dyDescent="0.3">
      <c r="A556" s="39" t="str">
        <f>IFERROR("FY"&amp;TEXT(MOD(IF(MONTH(Sheet1!A556)&gt;=4,YEAR(Sheet1!A556),YEAR(Sheet1!A556)-1),100),"00")&amp;"-"&amp;TEXT(MOD(IF(MONTH(Sheet1!A556)&gt;=4,YEAR(Sheet1!A556),YEAR(Sheet1!A556)-1)+1,100),"00"),"")</f>
        <v>FY26-27</v>
      </c>
      <c r="B556" s="40" t="str">
        <f>IFERROR("Q"&amp;IF(MONTH(Sheet1!A556)&gt;=4,IF(MONTH(Sheet1!A556)&lt;=6,1,IF(MONTH(Sheet1!A556)&lt;=9,2,3)),4),"")</f>
        <v>Q1</v>
      </c>
      <c r="C556" s="39" t="str">
        <f>IFERROR(Sheet1!C556,0)</f>
        <v>S.A.</v>
      </c>
      <c r="D556" s="39" t="str">
        <f>IFERROR(Sheet1!F556,0)</f>
        <v>Paraguay</v>
      </c>
      <c r="E556" s="39" t="str">
        <f>IFERROR(Sheet1!E556,0)</f>
        <v>Autopiezas comercial, Paraguay</v>
      </c>
      <c r="F556" s="39" t="str">
        <f>IFERROR(IF(UPPER(TRIM(Sheet1!J556))="NH","Nhava Sheva",IF(UPPER(TRIM(Sheet1!J556))="ICD","ICD Dhannad",IF(UPPER(TRIM(Sheet1!J556))="TIHI","ICD Tihi",Sheet1!J556))),0)</f>
        <v>ICD Tihi</v>
      </c>
      <c r="G556" s="39" t="str">
        <f>IFERROR(Sheet1!M556,0)</f>
        <v>ASUNCION</v>
      </c>
      <c r="H556" s="39" t="str">
        <f>IFERROR(Sheet1!H556,0)</f>
        <v>VAARIDHI Logistics</v>
      </c>
      <c r="I556" s="39" t="str">
        <f>IFERROR(Sheet1!G556,0)</f>
        <v>FOB</v>
      </c>
      <c r="J556" s="39" t="str">
        <f>IFERROR(Sheet1!K556,0)</f>
        <v>MSC</v>
      </c>
      <c r="K556" s="41">
        <f>IFERROR(Sheet1!A556,0)</f>
        <v>46139</v>
      </c>
      <c r="L556" s="41">
        <f>IFERROR(Sheet1!I556,0)</f>
        <v>46138</v>
      </c>
      <c r="M556" s="47" t="str">
        <f>IFERROR(Sheet1!P556,0)</f>
        <v>NA</v>
      </c>
      <c r="N556" s="42">
        <f>IFERROR(IF(ISNUMBER(Sheet1!N556),Sheet1!N556,0),0)</f>
        <v>3109</v>
      </c>
      <c r="O556" s="42">
        <f>IFERROR(IF(TRIM(F556)="Nhava Sheva",SUMPRODUCT((UPPER(TRIM('Origin Costs'!$A$5:$A$44))=UPPER(TRIM(J556)))*'Origin Costs'!$C$5:$C$44),IF(TRIM(F556)="ICD Tihi",SUMPRODUCT((UPPER(TRIM('Origin Costs'!$A$49:$A$88))=UPPER(TRIM(J556)))*'Origin Costs'!$C$49:$C$88),IF(TRIM(F556)="ICD Dhannad",SUMPRODUCT((UPPER(TRIM('Origin Costs'!$A$93:$A$132))=UPPER(TRIM(J556)))*'Origin Costs'!$C$93:$C$132),0))),0)</f>
        <v>1081.3333333333333</v>
      </c>
      <c r="P556" s="42">
        <f t="shared" si="8"/>
        <v>4190.333333333333</v>
      </c>
      <c r="Q556" s="13" t="str">
        <f>IF(OR(Dashboard!$C$4="All Customers",$E556=Dashboard!$C$4),IF($E556="","",$P556+ROW()/10000000),"")</f>
        <v/>
      </c>
    </row>
    <row r="557" spans="1:17" ht="14.25" customHeight="1" x14ac:dyDescent="0.3">
      <c r="A557" s="43" t="str">
        <f>IFERROR("FY"&amp;TEXT(MOD(IF(MONTH(Sheet1!A557)&gt;=4,YEAR(Sheet1!A557),YEAR(Sheet1!A557)-1),100),"00")&amp;"-"&amp;TEXT(MOD(IF(MONTH(Sheet1!A557)&gt;=4,YEAR(Sheet1!A557),YEAR(Sheet1!A557)-1)+1,100),"00"),"")</f>
        <v>FY26-27</v>
      </c>
      <c r="B557" s="44" t="str">
        <f>IFERROR("Q"&amp;IF(MONTH(Sheet1!A557)&gt;=4,IF(MONTH(Sheet1!A557)&lt;=6,1,IF(MONTH(Sheet1!A557)&lt;=9,2,3)),4),"")</f>
        <v>Q1</v>
      </c>
      <c r="C557" s="43" t="str">
        <f>IFERROR(Sheet1!C557,0)</f>
        <v>S.A.</v>
      </c>
      <c r="D557" s="43" t="str">
        <f>IFERROR(Sheet1!F557,0)</f>
        <v>Paraguay</v>
      </c>
      <c r="E557" s="43" t="str">
        <f>IFERROR(Sheet1!E557,0)</f>
        <v>Autopiezas comercial, Paraguay</v>
      </c>
      <c r="F557" s="43" t="str">
        <f>IFERROR(IF(UPPER(TRIM(Sheet1!J557))="NH","Nhava Sheva",IF(UPPER(TRIM(Sheet1!J557))="ICD","ICD Dhannad",IF(UPPER(TRIM(Sheet1!J557))="TIHI","ICD Tihi",Sheet1!J557))),0)</f>
        <v>ICD Tihi</v>
      </c>
      <c r="G557" s="43" t="str">
        <f>IFERROR(Sheet1!M557,0)</f>
        <v>ASUNCION</v>
      </c>
      <c r="H557" s="43" t="str">
        <f>IFERROR(Sheet1!H557,0)</f>
        <v>VAARIDHI Logistics</v>
      </c>
      <c r="I557" s="43" t="str">
        <f>IFERROR(Sheet1!G557,0)</f>
        <v>FOB</v>
      </c>
      <c r="J557" s="43" t="str">
        <f>IFERROR(Sheet1!K557,0)</f>
        <v>MSC</v>
      </c>
      <c r="K557" s="45">
        <f>IFERROR(Sheet1!A557,0)</f>
        <v>46139</v>
      </c>
      <c r="L557" s="45">
        <f>IFERROR(Sheet1!I557,0)</f>
        <v>46138</v>
      </c>
      <c r="M557" s="47" t="str">
        <f>IFERROR(Sheet1!P557,0)</f>
        <v>NA</v>
      </c>
      <c r="N557" s="46">
        <f>IFERROR(IF(ISNUMBER(Sheet1!N557),Sheet1!N557,0),0)</f>
        <v>3109</v>
      </c>
      <c r="O557" s="46">
        <f>IFERROR(IF(TRIM(F557)="Nhava Sheva",SUMPRODUCT((UPPER(TRIM('Origin Costs'!$A$5:$A$44))=UPPER(TRIM(J557)))*'Origin Costs'!$C$5:$C$44),IF(TRIM(F557)="ICD Tihi",SUMPRODUCT((UPPER(TRIM('Origin Costs'!$A$49:$A$88))=UPPER(TRIM(J557)))*'Origin Costs'!$C$49:$C$88),IF(TRIM(F557)="ICD Dhannad",SUMPRODUCT((UPPER(TRIM('Origin Costs'!$A$93:$A$132))=UPPER(TRIM(J557)))*'Origin Costs'!$C$93:$C$132),0))),0)</f>
        <v>1081.3333333333333</v>
      </c>
      <c r="P557" s="46">
        <f t="shared" si="8"/>
        <v>4190.333333333333</v>
      </c>
      <c r="Q557" s="13" t="str">
        <f>IF(OR(Dashboard!$C$4="All Customers",$E557=Dashboard!$C$4),IF($E557="","",$P557+ROW()/10000000),"")</f>
        <v/>
      </c>
    </row>
    <row r="558" spans="1:17" ht="14.25" customHeight="1" x14ac:dyDescent="0.3">
      <c r="A558" s="39" t="str">
        <f>IFERROR("FY"&amp;TEXT(MOD(IF(MONTH(Sheet1!A558)&gt;=4,YEAR(Sheet1!A558),YEAR(Sheet1!A558)-1),100),"00")&amp;"-"&amp;TEXT(MOD(IF(MONTH(Sheet1!A558)&gt;=4,YEAR(Sheet1!A558),YEAR(Sheet1!A558)-1)+1,100),"00"),"")</f>
        <v>FY26-27</v>
      </c>
      <c r="B558" s="40" t="str">
        <f>IFERROR("Q"&amp;IF(MONTH(Sheet1!A558)&gt;=4,IF(MONTH(Sheet1!A558)&lt;=6,1,IF(MONTH(Sheet1!A558)&lt;=9,2,3)),4),"")</f>
        <v>Q1</v>
      </c>
      <c r="C558" s="39" t="str">
        <f>IFERROR(Sheet1!C558,0)</f>
        <v>Europe</v>
      </c>
      <c r="D558" s="39" t="str">
        <f>IFERROR(Sheet1!F558,0)</f>
        <v>France</v>
      </c>
      <c r="E558" s="39" t="str">
        <f>IFERROR(Sheet1!E558,0)</f>
        <v>Copadex, France</v>
      </c>
      <c r="F558" s="39" t="str">
        <f>IFERROR(IF(UPPER(TRIM(Sheet1!J558))="NH","Nhava Sheva",IF(UPPER(TRIM(Sheet1!J558))="ICD","ICD Dhannad",IF(UPPER(TRIM(Sheet1!J558))="TIHI","ICD Tihi",Sheet1!J558))),0)</f>
        <v>Nhava Sheva</v>
      </c>
      <c r="G558" s="39" t="str">
        <f>IFERROR(Sheet1!M558,0)</f>
        <v>Le Harve</v>
      </c>
      <c r="H558" s="39" t="str">
        <f>IFERROR(Sheet1!H558,0)</f>
        <v>Jeena &amp; Co</v>
      </c>
      <c r="I558" s="39" t="str">
        <f>IFERROR(Sheet1!G558,0)</f>
        <v>FOB</v>
      </c>
      <c r="J558" s="39" t="str">
        <f>IFERROR(Sheet1!K558,0)</f>
        <v>MSC</v>
      </c>
      <c r="K558" s="41">
        <f>IFERROR(Sheet1!A558,0)</f>
        <v>46140</v>
      </c>
      <c r="L558" s="41">
        <f>IFERROR(Sheet1!I558,0)</f>
        <v>46138</v>
      </c>
      <c r="M558" s="47" t="str">
        <f>IFERROR(Sheet1!P558,0)</f>
        <v>NA</v>
      </c>
      <c r="N558" s="42">
        <f>IFERROR(IF(ISNUMBER(Sheet1!N558),Sheet1!N558,0),0)</f>
        <v>0</v>
      </c>
      <c r="O558" s="42">
        <f>IFERROR(IF(TRIM(F558)="Nhava Sheva",SUMPRODUCT((UPPER(TRIM('Origin Costs'!$A$5:$A$44))=UPPER(TRIM(J558)))*'Origin Costs'!$C$5:$C$44),IF(TRIM(F558)="ICD Tihi",SUMPRODUCT((UPPER(TRIM('Origin Costs'!$A$49:$A$88))=UPPER(TRIM(J558)))*'Origin Costs'!$C$49:$C$88),IF(TRIM(F558)="ICD Dhannad",SUMPRODUCT((UPPER(TRIM('Origin Costs'!$A$93:$A$132))=UPPER(TRIM(J558)))*'Origin Costs'!$C$93:$C$132),0))),0)</f>
        <v>1168.8222222222223</v>
      </c>
      <c r="P558" s="42">
        <f t="shared" si="8"/>
        <v>1168.8222222222223</v>
      </c>
      <c r="Q558" s="13" t="str">
        <f>IF(OR(Dashboard!$C$4="All Customers",$E558=Dashboard!$C$4),IF($E558="","",$P558+ROW()/10000000),"")</f>
        <v/>
      </c>
    </row>
    <row r="559" spans="1:17" ht="14.25" customHeight="1" x14ac:dyDescent="0.3">
      <c r="A559" s="43" t="str">
        <f>IFERROR("FY"&amp;TEXT(MOD(IF(MONTH(Sheet1!A559)&gt;=4,YEAR(Sheet1!A559),YEAR(Sheet1!A559)-1),100),"00")&amp;"-"&amp;TEXT(MOD(IF(MONTH(Sheet1!A559)&gt;=4,YEAR(Sheet1!A559),YEAR(Sheet1!A559)-1)+1,100),"00"),"")</f>
        <v>FY26-27</v>
      </c>
      <c r="B559" s="44" t="str">
        <f>IFERROR("Q"&amp;IF(MONTH(Sheet1!A559)&gt;=4,IF(MONTH(Sheet1!A559)&lt;=6,1,IF(MONTH(Sheet1!A559)&lt;=9,2,3)),4),"")</f>
        <v>Q1</v>
      </c>
      <c r="C559" s="43" t="str">
        <f>IFERROR(Sheet1!C559,0)</f>
        <v>Europe</v>
      </c>
      <c r="D559" s="43" t="str">
        <f>IFERROR(Sheet1!F559,0)</f>
        <v>France</v>
      </c>
      <c r="E559" s="43" t="str">
        <f>IFERROR(Sheet1!E559,0)</f>
        <v>Copadex, France</v>
      </c>
      <c r="F559" s="43" t="str">
        <f>IFERROR(IF(UPPER(TRIM(Sheet1!J559))="NH","Nhava Sheva",IF(UPPER(TRIM(Sheet1!J559))="ICD","ICD Dhannad",IF(UPPER(TRIM(Sheet1!J559))="TIHI","ICD Tihi",Sheet1!J559))),0)</f>
        <v>Nhava Sheva</v>
      </c>
      <c r="G559" s="43" t="str">
        <f>IFERROR(Sheet1!M559,0)</f>
        <v>Le Harve</v>
      </c>
      <c r="H559" s="43" t="str">
        <f>IFERROR(Sheet1!H559,0)</f>
        <v>Jeena &amp; Co</v>
      </c>
      <c r="I559" s="43" t="str">
        <f>IFERROR(Sheet1!G559,0)</f>
        <v>FOB</v>
      </c>
      <c r="J559" s="43" t="str">
        <f>IFERROR(Sheet1!K559,0)</f>
        <v>MSC</v>
      </c>
      <c r="K559" s="45">
        <f>IFERROR(Sheet1!A559,0)</f>
        <v>46140</v>
      </c>
      <c r="L559" s="45">
        <f>IFERROR(Sheet1!I559,0)</f>
        <v>46138</v>
      </c>
      <c r="M559" s="47" t="str">
        <f>IFERROR(Sheet1!P559,0)</f>
        <v>NA</v>
      </c>
      <c r="N559" s="46">
        <f>IFERROR(IF(ISNUMBER(Sheet1!N559),Sheet1!N559,0),0)</f>
        <v>0</v>
      </c>
      <c r="O559" s="46">
        <f>IFERROR(IF(TRIM(F559)="Nhava Sheva",SUMPRODUCT((UPPER(TRIM('Origin Costs'!$A$5:$A$44))=UPPER(TRIM(J559)))*'Origin Costs'!$C$5:$C$44),IF(TRIM(F559)="ICD Tihi",SUMPRODUCT((UPPER(TRIM('Origin Costs'!$A$49:$A$88))=UPPER(TRIM(J559)))*'Origin Costs'!$C$49:$C$88),IF(TRIM(F559)="ICD Dhannad",SUMPRODUCT((UPPER(TRIM('Origin Costs'!$A$93:$A$132))=UPPER(TRIM(J559)))*'Origin Costs'!$C$93:$C$132),0))),0)</f>
        <v>1168.8222222222223</v>
      </c>
      <c r="P559" s="46">
        <f t="shared" si="8"/>
        <v>1168.8222222222223</v>
      </c>
      <c r="Q559" s="13" t="str">
        <f>IF(OR(Dashboard!$C$4="All Customers",$E559=Dashboard!$C$4),IF($E559="","",$P559+ROW()/10000000),"")</f>
        <v/>
      </c>
    </row>
    <row r="560" spans="1:17" ht="14.25" customHeight="1" x14ac:dyDescent="0.3">
      <c r="A560" s="39" t="str">
        <f>IFERROR("FY"&amp;TEXT(MOD(IF(MONTH(Sheet1!A560)&gt;=4,YEAR(Sheet1!A560),YEAR(Sheet1!A560)-1),100),"00")&amp;"-"&amp;TEXT(MOD(IF(MONTH(Sheet1!A560)&gt;=4,YEAR(Sheet1!A560),YEAR(Sheet1!A560)-1)+1,100),"00"),"")</f>
        <v>FY26-27</v>
      </c>
      <c r="B560" s="40" t="str">
        <f>IFERROR("Q"&amp;IF(MONTH(Sheet1!A560)&gt;=4,IF(MONTH(Sheet1!A560)&lt;=6,1,IF(MONTH(Sheet1!A560)&lt;=9,2,3)),4),"")</f>
        <v>Q1</v>
      </c>
      <c r="C560" s="39" t="str">
        <f>IFERROR(Sheet1!C560,0)</f>
        <v>Europe</v>
      </c>
      <c r="D560" s="39" t="str">
        <f>IFERROR(Sheet1!F560,0)</f>
        <v>Poland</v>
      </c>
      <c r="E560" s="39" t="str">
        <f>IFERROR(Sheet1!E560,0)</f>
        <v>Inter Cars S.A.</v>
      </c>
      <c r="F560" s="39" t="str">
        <f>IFERROR(IF(UPPER(TRIM(Sheet1!J560))="NH","Nhava Sheva",IF(UPPER(TRIM(Sheet1!J560))="ICD","ICD Dhannad",IF(UPPER(TRIM(Sheet1!J560))="TIHI","ICD Tihi",Sheet1!J560))),0)</f>
        <v>Nhava Sheva</v>
      </c>
      <c r="G560" s="39" t="str">
        <f>IFERROR(Sheet1!M560,0)</f>
        <v>GDYNIA</v>
      </c>
      <c r="H560" s="39" t="str">
        <f>IFERROR(Sheet1!H560,0)</f>
        <v>VS Trans Lojistik</v>
      </c>
      <c r="I560" s="39" t="str">
        <f>IFERROR(Sheet1!G560,0)</f>
        <v>FOB</v>
      </c>
      <c r="J560" s="39" t="str">
        <f>IFERROR(Sheet1!K560,0)</f>
        <v>ONE</v>
      </c>
      <c r="K560" s="41">
        <f>IFERROR(Sheet1!A560,0)</f>
        <v>46140</v>
      </c>
      <c r="L560" s="41">
        <f>IFERROR(Sheet1!I560,0)</f>
        <v>46138</v>
      </c>
      <c r="M560" s="47" t="str">
        <f>IFERROR(Sheet1!P560,0)</f>
        <v>NA</v>
      </c>
      <c r="N560" s="42">
        <f>IFERROR(IF(ISNUMBER(Sheet1!N560),Sheet1!N560,0),0)</f>
        <v>0</v>
      </c>
      <c r="O560" s="42">
        <f>IFERROR(IF(TRIM(F560)="Nhava Sheva",SUMPRODUCT((UPPER(TRIM('Origin Costs'!$A$5:$A$44))=UPPER(TRIM(J560)))*'Origin Costs'!$C$5:$C$44),IF(TRIM(F560)="ICD Tihi",SUMPRODUCT((UPPER(TRIM('Origin Costs'!$A$49:$A$88))=UPPER(TRIM(J560)))*'Origin Costs'!$C$49:$C$88),IF(TRIM(F560)="ICD Dhannad",SUMPRODUCT((UPPER(TRIM('Origin Costs'!$A$93:$A$132))=UPPER(TRIM(J560)))*'Origin Costs'!$C$93:$C$132),0))),0)</f>
        <v>1146.5555555555557</v>
      </c>
      <c r="P560" s="42">
        <f t="shared" si="8"/>
        <v>1146.5555555555557</v>
      </c>
      <c r="Q560" s="13" t="str">
        <f>IF(OR(Dashboard!$C$4="All Customers",$E560=Dashboard!$C$4),IF($E560="","",$P560+ROW()/10000000),"")</f>
        <v/>
      </c>
    </row>
    <row r="561" spans="1:17" ht="14.25" customHeight="1" x14ac:dyDescent="0.3">
      <c r="A561" s="43" t="str">
        <f>IFERROR("FY"&amp;TEXT(MOD(IF(MONTH(Sheet1!A561)&gt;=4,YEAR(Sheet1!A561),YEAR(Sheet1!A561)-1),100),"00")&amp;"-"&amp;TEXT(MOD(IF(MONTH(Sheet1!A561)&gt;=4,YEAR(Sheet1!A561),YEAR(Sheet1!A561)-1)+1,100),"00"),"")</f>
        <v>FY26-27</v>
      </c>
      <c r="B561" s="44" t="str">
        <f>IFERROR("Q"&amp;IF(MONTH(Sheet1!A561)&gt;=4,IF(MONTH(Sheet1!A561)&lt;=6,1,IF(MONTH(Sheet1!A561)&lt;=9,2,3)),4),"")</f>
        <v>Q1</v>
      </c>
      <c r="C561" s="43" t="str">
        <f>IFERROR(Sheet1!C561,0)</f>
        <v>S.A.</v>
      </c>
      <c r="D561" s="43" t="str">
        <f>IFERROR(Sheet1!F561,0)</f>
        <v>Mexico</v>
      </c>
      <c r="E561" s="43" t="str">
        <f>IFERROR(Sheet1!E561,0)</f>
        <v>PC TYRES SA DE CV</v>
      </c>
      <c r="F561" s="43" t="str">
        <f>IFERROR(IF(UPPER(TRIM(Sheet1!J561))="NH","Nhava Sheva",IF(UPPER(TRIM(Sheet1!J561))="ICD","ICD Dhannad",IF(UPPER(TRIM(Sheet1!J561))="TIHI","ICD Tihi",Sheet1!J561))),0)</f>
        <v>Nhava Sheva</v>
      </c>
      <c r="G561" s="43" t="str">
        <f>IFERROR(Sheet1!M561,0)</f>
        <v>Manzanillo</v>
      </c>
      <c r="H561" s="43" t="str">
        <f>IFERROR(Sheet1!H561,0)</f>
        <v>Sanjay Forwarder</v>
      </c>
      <c r="I561" s="43" t="str">
        <f>IFERROR(Sheet1!G561,0)</f>
        <v>FOB</v>
      </c>
      <c r="J561" s="43" t="str">
        <f>IFERROR(Sheet1!K561,0)</f>
        <v>Maersk</v>
      </c>
      <c r="K561" s="45">
        <f>IFERROR(Sheet1!A561,0)</f>
        <v>46140</v>
      </c>
      <c r="L561" s="45">
        <f>IFERROR(Sheet1!I561,0)</f>
        <v>46138</v>
      </c>
      <c r="M561" s="47" t="str">
        <f>IFERROR(Sheet1!P561,0)</f>
        <v>NA</v>
      </c>
      <c r="N561" s="46">
        <f>IFERROR(IF(ISNUMBER(Sheet1!N561),Sheet1!N561,0),0)</f>
        <v>2350</v>
      </c>
      <c r="O561" s="46">
        <f>IFERROR(IF(TRIM(F561)="Nhava Sheva",SUMPRODUCT((UPPER(TRIM('Origin Costs'!$A$5:$A$44))=UPPER(TRIM(J561)))*'Origin Costs'!$C$5:$C$44),IF(TRIM(F561)="ICD Tihi",SUMPRODUCT((UPPER(TRIM('Origin Costs'!$A$49:$A$88))=UPPER(TRIM(J561)))*'Origin Costs'!$C$49:$C$88),IF(TRIM(F561)="ICD Dhannad",SUMPRODUCT((UPPER(TRIM('Origin Costs'!$A$93:$A$132))=UPPER(TRIM(J561)))*'Origin Costs'!$C$93:$C$132),0))),0)</f>
        <v>1148.588888888889</v>
      </c>
      <c r="P561" s="46">
        <f t="shared" si="8"/>
        <v>3498.588888888889</v>
      </c>
      <c r="Q561" s="13" t="str">
        <f>IF(OR(Dashboard!$C$4="All Customers",$E561=Dashboard!$C$4),IF($E561="","",$P561+ROW()/10000000),"")</f>
        <v/>
      </c>
    </row>
    <row r="562" spans="1:17" ht="14.25" customHeight="1" x14ac:dyDescent="0.3">
      <c r="A562" s="39" t="str">
        <f>IFERROR("FY"&amp;TEXT(MOD(IF(MONTH(Sheet1!A562)&gt;=4,YEAR(Sheet1!A562),YEAR(Sheet1!A562)-1),100),"00")&amp;"-"&amp;TEXT(MOD(IF(MONTH(Sheet1!A562)&gt;=4,YEAR(Sheet1!A562),YEAR(Sheet1!A562)-1)+1,100),"00"),"")</f>
        <v>FY26-27</v>
      </c>
      <c r="B562" s="40" t="str">
        <f>IFERROR("Q"&amp;IF(MONTH(Sheet1!A562)&gt;=4,IF(MONTH(Sheet1!A562)&lt;=6,1,IF(MONTH(Sheet1!A562)&lt;=9,2,3)),4),"")</f>
        <v>Q1</v>
      </c>
      <c r="C562" s="39" t="str">
        <f>IFERROR(Sheet1!C562,0)</f>
        <v>Europe</v>
      </c>
      <c r="D562" s="39" t="str">
        <f>IFERROR(Sheet1!F562,0)</f>
        <v>Latvia</v>
      </c>
      <c r="E562" s="39" t="str">
        <f>IFERROR(Sheet1!E562,0)</f>
        <v>Inter Cars, Latvia</v>
      </c>
      <c r="F562" s="39" t="str">
        <f>IFERROR(IF(UPPER(TRIM(Sheet1!J562))="NH","Nhava Sheva",IF(UPPER(TRIM(Sheet1!J562))="ICD","ICD Dhannad",IF(UPPER(TRIM(Sheet1!J562))="TIHI","ICD Tihi",Sheet1!J562))),0)</f>
        <v>Nhava Sheva</v>
      </c>
      <c r="G562" s="39" t="str">
        <f>IFERROR(Sheet1!M562,0)</f>
        <v>Riga</v>
      </c>
      <c r="H562" s="39" t="str">
        <f>IFERROR(Sheet1!H562,0)</f>
        <v>Marinair Cargo</v>
      </c>
      <c r="I562" s="39" t="str">
        <f>IFERROR(Sheet1!G562,0)</f>
        <v>FOB</v>
      </c>
      <c r="J562" s="39" t="str">
        <f>IFERROR(Sheet1!K562,0)</f>
        <v>Evergreen</v>
      </c>
      <c r="K562" s="41">
        <f>IFERROR(Sheet1!A562,0)</f>
        <v>46141</v>
      </c>
      <c r="L562" s="41">
        <f>IFERROR(Sheet1!I562,0)</f>
        <v>46139</v>
      </c>
      <c r="M562" s="47" t="str">
        <f>IFERROR(Sheet1!P562,0)</f>
        <v>NA</v>
      </c>
      <c r="N562" s="42">
        <f>IFERROR(IF(ISNUMBER(Sheet1!N562),Sheet1!N562,0),0)</f>
        <v>0</v>
      </c>
      <c r="O562" s="42">
        <f>IFERROR(IF(TRIM(F562)="Nhava Sheva",SUMPRODUCT((UPPER(TRIM('Origin Costs'!$A$5:$A$44))=UPPER(TRIM(J562)))*'Origin Costs'!$C$5:$C$44),IF(TRIM(F562)="ICD Tihi",SUMPRODUCT((UPPER(TRIM('Origin Costs'!$A$49:$A$88))=UPPER(TRIM(J562)))*'Origin Costs'!$C$49:$C$88),IF(TRIM(F562)="ICD Dhannad",SUMPRODUCT((UPPER(TRIM('Origin Costs'!$A$93:$A$132))=UPPER(TRIM(J562)))*'Origin Costs'!$C$93:$C$132),0))),0)</f>
        <v>0</v>
      </c>
      <c r="P562" s="42">
        <f t="shared" si="8"/>
        <v>0</v>
      </c>
      <c r="Q562" s="13" t="str">
        <f>IF(OR(Dashboard!$C$4="All Customers",$E562=Dashboard!$C$4),IF($E562="","",$P562+ROW()/10000000),"")</f>
        <v/>
      </c>
    </row>
    <row r="563" spans="1:17" ht="14.25" customHeight="1" x14ac:dyDescent="0.3">
      <c r="A563" s="43" t="str">
        <f>IFERROR("FY"&amp;TEXT(MOD(IF(MONTH(Sheet1!A563)&gt;=4,YEAR(Sheet1!A563),YEAR(Sheet1!A563)-1),100),"00")&amp;"-"&amp;TEXT(MOD(IF(MONTH(Sheet1!A563)&gt;=4,YEAR(Sheet1!A563),YEAR(Sheet1!A563)-1)+1,100),"00"),"")</f>
        <v>FY26-27</v>
      </c>
      <c r="B563" s="44" t="str">
        <f>IFERROR("Q"&amp;IF(MONTH(Sheet1!A563)&gt;=4,IF(MONTH(Sheet1!A563)&lt;=6,1,IF(MONTH(Sheet1!A563)&lt;=9,2,3)),4),"")</f>
        <v>Q1</v>
      </c>
      <c r="C563" s="43" t="str">
        <f>IFERROR(Sheet1!C563,0)</f>
        <v>ISC</v>
      </c>
      <c r="D563" s="43" t="str">
        <f>IFERROR(Sheet1!F563,0)</f>
        <v>Sri Lanka</v>
      </c>
      <c r="E563" s="43" t="str">
        <f>IFERROR(Sheet1!E563,0)</f>
        <v>Supergrip International, Srilanka</v>
      </c>
      <c r="F563" s="43" t="str">
        <f>IFERROR(IF(UPPER(TRIM(Sheet1!J563))="NH","Nhava Sheva",IF(UPPER(TRIM(Sheet1!J563))="ICD","ICD Dhannad",IF(UPPER(TRIM(Sheet1!J563))="TIHI","ICD Tihi",Sheet1!J563))),0)</f>
        <v>Nhava Sheva</v>
      </c>
      <c r="G563" s="43" t="str">
        <f>IFERROR(Sheet1!M563,0)</f>
        <v>Colombo</v>
      </c>
      <c r="H563" s="43" t="str">
        <f>IFERROR(Sheet1!H563,0)</f>
        <v>Selene Shipping</v>
      </c>
      <c r="I563" s="43" t="str">
        <f>IFERROR(Sheet1!G563,0)</f>
        <v>FOB</v>
      </c>
      <c r="J563" s="43" t="str">
        <f>IFERROR(Sheet1!K563,0)</f>
        <v>Seacompass</v>
      </c>
      <c r="K563" s="45">
        <f>IFERROR(Sheet1!A563,0)</f>
        <v>46141</v>
      </c>
      <c r="L563" s="45">
        <f>IFERROR(Sheet1!I563,0)</f>
        <v>46139</v>
      </c>
      <c r="M563" s="47" t="str">
        <f>IFERROR(Sheet1!P563,0)</f>
        <v>NA</v>
      </c>
      <c r="N563" s="46">
        <f>IFERROR(IF(ISNUMBER(Sheet1!N563),Sheet1!N563,0),0)</f>
        <v>0</v>
      </c>
      <c r="O563" s="46">
        <f>IFERROR(IF(TRIM(F563)="Nhava Sheva",SUMPRODUCT((UPPER(TRIM('Origin Costs'!$A$5:$A$44))=UPPER(TRIM(J563)))*'Origin Costs'!$C$5:$C$44),IF(TRIM(F563)="ICD Tihi",SUMPRODUCT((UPPER(TRIM('Origin Costs'!$A$49:$A$88))=UPPER(TRIM(J563)))*'Origin Costs'!$C$49:$C$88),IF(TRIM(F563)="ICD Dhannad",SUMPRODUCT((UPPER(TRIM('Origin Costs'!$A$93:$A$132))=UPPER(TRIM(J563)))*'Origin Costs'!$C$93:$C$132),0))),0)</f>
        <v>0</v>
      </c>
      <c r="P563" s="46">
        <f t="shared" si="8"/>
        <v>0</v>
      </c>
      <c r="Q563" s="13" t="str">
        <f>IF(OR(Dashboard!$C$4="All Customers",$E563=Dashboard!$C$4),IF($E563="","",$P563+ROW()/10000000),"")</f>
        <v/>
      </c>
    </row>
    <row r="564" spans="1:17" ht="14.25" customHeight="1" x14ac:dyDescent="0.3">
      <c r="A564" s="39" t="str">
        <f>IFERROR("FY"&amp;TEXT(MOD(IF(MONTH(Sheet1!A564)&gt;=4,YEAR(Sheet1!A564),YEAR(Sheet1!A564)-1),100),"00")&amp;"-"&amp;TEXT(MOD(IF(MONTH(Sheet1!A564)&gt;=4,YEAR(Sheet1!A564),YEAR(Sheet1!A564)-1)+1,100),"00"),"")</f>
        <v>FY26-27</v>
      </c>
      <c r="B564" s="40" t="str">
        <f>IFERROR("Q"&amp;IF(MONTH(Sheet1!A564)&gt;=4,IF(MONTH(Sheet1!A564)&lt;=6,1,IF(MONTH(Sheet1!A564)&lt;=9,2,3)),4),"")</f>
        <v>Q1</v>
      </c>
      <c r="C564" s="39" t="str">
        <f>IFERROR(Sheet1!C564,0)</f>
        <v>Europe</v>
      </c>
      <c r="D564" s="39" t="str">
        <f>IFERROR(Sheet1!F564,0)</f>
        <v>France</v>
      </c>
      <c r="E564" s="39" t="str">
        <f>IFERROR(Sheet1!E564,0)</f>
        <v>Copadex, France</v>
      </c>
      <c r="F564" s="39" t="str">
        <f>IFERROR(IF(UPPER(TRIM(Sheet1!J564))="NH","Nhava Sheva",IF(UPPER(TRIM(Sheet1!J564))="ICD","ICD Dhannad",IF(UPPER(TRIM(Sheet1!J564))="TIHI","ICD Tihi",Sheet1!J564))),0)</f>
        <v>Nhava Sheva</v>
      </c>
      <c r="G564" s="39" t="str">
        <f>IFERROR(Sheet1!M564,0)</f>
        <v>Le Harve</v>
      </c>
      <c r="H564" s="39" t="str">
        <f>IFERROR(Sheet1!H564,0)</f>
        <v>Jeena &amp; Co</v>
      </c>
      <c r="I564" s="39" t="str">
        <f>IFERROR(Sheet1!G564,0)</f>
        <v>FOB</v>
      </c>
      <c r="J564" s="39" t="str">
        <f>IFERROR(Sheet1!K564,0)</f>
        <v>MSC</v>
      </c>
      <c r="K564" s="41">
        <f>IFERROR(Sheet1!A564,0)</f>
        <v>46140</v>
      </c>
      <c r="L564" s="41">
        <f>IFERROR(Sheet1!I564,0)</f>
        <v>46138</v>
      </c>
      <c r="M564" s="47" t="str">
        <f>IFERROR(Sheet1!P564,0)</f>
        <v>NA</v>
      </c>
      <c r="N564" s="42">
        <f>IFERROR(IF(ISNUMBER(Sheet1!N564),Sheet1!N564,0),0)</f>
        <v>0</v>
      </c>
      <c r="O564" s="42">
        <f>IFERROR(IF(TRIM(F564)="Nhava Sheva",SUMPRODUCT((UPPER(TRIM('Origin Costs'!$A$5:$A$44))=UPPER(TRIM(J564)))*'Origin Costs'!$C$5:$C$44),IF(TRIM(F564)="ICD Tihi",SUMPRODUCT((UPPER(TRIM('Origin Costs'!$A$49:$A$88))=UPPER(TRIM(J564)))*'Origin Costs'!$C$49:$C$88),IF(TRIM(F564)="ICD Dhannad",SUMPRODUCT((UPPER(TRIM('Origin Costs'!$A$93:$A$132))=UPPER(TRIM(J564)))*'Origin Costs'!$C$93:$C$132),0))),0)</f>
        <v>1168.8222222222223</v>
      </c>
      <c r="P564" s="42">
        <f t="shared" si="8"/>
        <v>1168.8222222222223</v>
      </c>
      <c r="Q564" s="13" t="str">
        <f>IF(OR(Dashboard!$C$4="All Customers",$E564=Dashboard!$C$4),IF($E564="","",$P564+ROW()/10000000),"")</f>
        <v/>
      </c>
    </row>
    <row r="565" spans="1:17" ht="14.25" customHeight="1" x14ac:dyDescent="0.3">
      <c r="A565" s="43" t="str">
        <f>IFERROR("FY"&amp;TEXT(MOD(IF(MONTH(Sheet1!A565)&gt;=4,YEAR(Sheet1!A565),YEAR(Sheet1!A565)-1),100),"00")&amp;"-"&amp;TEXT(MOD(IF(MONTH(Sheet1!A565)&gt;=4,YEAR(Sheet1!A565),YEAR(Sheet1!A565)-1)+1,100),"00"),"")</f>
        <v>FY26-27</v>
      </c>
      <c r="B565" s="44" t="str">
        <f>IFERROR("Q"&amp;IF(MONTH(Sheet1!A565)&gt;=4,IF(MONTH(Sheet1!A565)&lt;=6,1,IF(MONTH(Sheet1!A565)&lt;=9,2,3)),4),"")</f>
        <v>Q1</v>
      </c>
      <c r="C565" s="43" t="str">
        <f>IFERROR(Sheet1!C565,0)</f>
        <v>Europe</v>
      </c>
      <c r="D565" s="43" t="str">
        <f>IFERROR(Sheet1!F565,0)</f>
        <v>Poland</v>
      </c>
      <c r="E565" s="43" t="str">
        <f>IFERROR(Sheet1!E565,0)</f>
        <v>Inter Cars S.A.</v>
      </c>
      <c r="F565" s="43" t="str">
        <f>IFERROR(IF(UPPER(TRIM(Sheet1!J565))="NH","Nhava Sheva",IF(UPPER(TRIM(Sheet1!J565))="ICD","ICD Dhannad",IF(UPPER(TRIM(Sheet1!J565))="TIHI","ICD Tihi",Sheet1!J565))),0)</f>
        <v>Nhava Sheva</v>
      </c>
      <c r="G565" s="43" t="str">
        <f>IFERROR(Sheet1!M565,0)</f>
        <v>GDYNIA</v>
      </c>
      <c r="H565" s="43" t="str">
        <f>IFERROR(Sheet1!H565,0)</f>
        <v>VS Trans Lojistik</v>
      </c>
      <c r="I565" s="43" t="str">
        <f>IFERROR(Sheet1!G565,0)</f>
        <v>FOB</v>
      </c>
      <c r="J565" s="43" t="str">
        <f>IFERROR(Sheet1!K565,0)</f>
        <v>ONE</v>
      </c>
      <c r="K565" s="45">
        <f>IFERROR(Sheet1!A565,0)</f>
        <v>46140</v>
      </c>
      <c r="L565" s="45">
        <f>IFERROR(Sheet1!I565,0)</f>
        <v>46138</v>
      </c>
      <c r="M565" s="47" t="str">
        <f>IFERROR(Sheet1!P565,0)</f>
        <v>NA</v>
      </c>
      <c r="N565" s="46">
        <f>IFERROR(IF(ISNUMBER(Sheet1!N565),Sheet1!N565,0),0)</f>
        <v>0</v>
      </c>
      <c r="O565" s="46">
        <f>IFERROR(IF(TRIM(F565)="Nhava Sheva",SUMPRODUCT((UPPER(TRIM('Origin Costs'!$A$5:$A$44))=UPPER(TRIM(J565)))*'Origin Costs'!$C$5:$C$44),IF(TRIM(F565)="ICD Tihi",SUMPRODUCT((UPPER(TRIM('Origin Costs'!$A$49:$A$88))=UPPER(TRIM(J565)))*'Origin Costs'!$C$49:$C$88),IF(TRIM(F565)="ICD Dhannad",SUMPRODUCT((UPPER(TRIM('Origin Costs'!$A$93:$A$132))=UPPER(TRIM(J565)))*'Origin Costs'!$C$93:$C$132),0))),0)</f>
        <v>1146.5555555555557</v>
      </c>
      <c r="P565" s="46">
        <f t="shared" si="8"/>
        <v>1146.5555555555557</v>
      </c>
      <c r="Q565" s="13" t="str">
        <f>IF(OR(Dashboard!$C$4="All Customers",$E565=Dashboard!$C$4),IF($E565="","",$P565+ROW()/10000000),"")</f>
        <v/>
      </c>
    </row>
    <row r="566" spans="1:17" ht="14.25" customHeight="1" x14ac:dyDescent="0.3">
      <c r="A566" s="39" t="str">
        <f>IFERROR("FY"&amp;TEXT(MOD(IF(MONTH(Sheet1!A566)&gt;=4,YEAR(Sheet1!A566),YEAR(Sheet1!A566)-1),100),"00")&amp;"-"&amp;TEXT(MOD(IF(MONTH(Sheet1!A566)&gt;=4,YEAR(Sheet1!A566),YEAR(Sheet1!A566)-1)+1,100),"00"),"")</f>
        <v>FY26-27</v>
      </c>
      <c r="B566" s="40" t="str">
        <f>IFERROR("Q"&amp;IF(MONTH(Sheet1!A566)&gt;=4,IF(MONTH(Sheet1!A566)&lt;=6,1,IF(MONTH(Sheet1!A566)&lt;=9,2,3)),4),"")</f>
        <v>Q1</v>
      </c>
      <c r="C566" s="39" t="str">
        <f>IFERROR(Sheet1!C566,0)</f>
        <v>Europe</v>
      </c>
      <c r="D566" s="39" t="str">
        <f>IFERROR(Sheet1!F566,0)</f>
        <v>Serbia</v>
      </c>
      <c r="E566" s="39" t="str">
        <f>IFERROR(Sheet1!E566,0)</f>
        <v>Obnova Doo Kraljevo</v>
      </c>
      <c r="F566" s="39" t="str">
        <f>IFERROR(IF(UPPER(TRIM(Sheet1!J566))="NH","Nhava Sheva",IF(UPPER(TRIM(Sheet1!J566))="ICD","ICD Dhannad",IF(UPPER(TRIM(Sheet1!J566))="TIHI","ICD Tihi",Sheet1!J566))),0)</f>
        <v>Nhava Sheva</v>
      </c>
      <c r="G566" s="39" t="str">
        <f>IFERROR(Sheet1!M566,0)</f>
        <v>Thessoliniki</v>
      </c>
      <c r="H566" s="39" t="str">
        <f>IFERROR(Sheet1!H566,0)</f>
        <v>Clearship</v>
      </c>
      <c r="I566" s="39" t="str">
        <f>IFERROR(Sheet1!G566,0)</f>
        <v>FOB</v>
      </c>
      <c r="J566" s="39" t="str">
        <f>IFERROR(Sheet1!K566,0)</f>
        <v>Cosco</v>
      </c>
      <c r="K566" s="41">
        <f>IFERROR(Sheet1!A566,0)</f>
        <v>46140</v>
      </c>
      <c r="L566" s="41">
        <f>IFERROR(Sheet1!I566,0)</f>
        <v>46138</v>
      </c>
      <c r="M566" s="47" t="str">
        <f>IFERROR(Sheet1!P566,0)</f>
        <v>NA</v>
      </c>
      <c r="N566" s="42">
        <f>IFERROR(IF(ISNUMBER(Sheet1!N566),Sheet1!N566,0),0)</f>
        <v>2900</v>
      </c>
      <c r="O566" s="42">
        <f>IFERROR(IF(TRIM(F566)="Nhava Sheva",SUMPRODUCT((UPPER(TRIM('Origin Costs'!$A$5:$A$44))=UPPER(TRIM(J566)))*'Origin Costs'!$C$5:$C$44),IF(TRIM(F566)="ICD Tihi",SUMPRODUCT((UPPER(TRIM('Origin Costs'!$A$49:$A$88))=UPPER(TRIM(J566)))*'Origin Costs'!$C$49:$C$88),IF(TRIM(F566)="ICD Dhannad",SUMPRODUCT((UPPER(TRIM('Origin Costs'!$A$93:$A$132))=UPPER(TRIM(J566)))*'Origin Costs'!$C$93:$C$132),0))),0)</f>
        <v>0</v>
      </c>
      <c r="P566" s="42">
        <f t="shared" si="8"/>
        <v>2900</v>
      </c>
      <c r="Q566" s="13" t="str">
        <f>IF(OR(Dashboard!$C$4="All Customers",$E566=Dashboard!$C$4),IF($E566="","",$P566+ROW()/10000000),"")</f>
        <v/>
      </c>
    </row>
    <row r="567" spans="1:17" ht="14.25" customHeight="1" x14ac:dyDescent="0.3">
      <c r="A567" s="43" t="str">
        <f>IFERROR("FY"&amp;TEXT(MOD(IF(MONTH(Sheet1!A567)&gt;=4,YEAR(Sheet1!A567),YEAR(Sheet1!A567)-1),100),"00")&amp;"-"&amp;TEXT(MOD(IF(MONTH(Sheet1!A567)&gt;=4,YEAR(Sheet1!A567),YEAR(Sheet1!A567)-1)+1,100),"00"),"")</f>
        <v>FY26-27</v>
      </c>
      <c r="B567" s="44" t="str">
        <f>IFERROR("Q"&amp;IF(MONTH(Sheet1!A567)&gt;=4,IF(MONTH(Sheet1!A567)&lt;=6,1,IF(MONTH(Sheet1!A567)&lt;=9,2,3)),4),"")</f>
        <v>Q1</v>
      </c>
      <c r="C567" s="43" t="str">
        <f>IFERROR(Sheet1!C567,0)</f>
        <v>Africa</v>
      </c>
      <c r="D567" s="43" t="str">
        <f>IFERROR(Sheet1!F567,0)</f>
        <v>South Africa</v>
      </c>
      <c r="E567" s="43" t="str">
        <f>IFERROR(Sheet1!E567,0)</f>
        <v>Royal Tires, South Africa</v>
      </c>
      <c r="F567" s="43" t="str">
        <f>IFERROR(IF(UPPER(TRIM(Sheet1!J567))="NH","Nhava Sheva",IF(UPPER(TRIM(Sheet1!J567))="ICD","ICD Dhannad",IF(UPPER(TRIM(Sheet1!J567))="TIHI","ICD Tihi",Sheet1!J567))),0)</f>
        <v>ICD Tihi</v>
      </c>
      <c r="G567" s="43" t="str">
        <f>IFERROR(Sheet1!M567,0)</f>
        <v>Durban</v>
      </c>
      <c r="H567" s="43" t="str">
        <f>IFERROR(Sheet1!H567,0)</f>
        <v>Hind Freight</v>
      </c>
      <c r="I567" s="43" t="str">
        <f>IFERROR(Sheet1!G567,0)</f>
        <v>FOB</v>
      </c>
      <c r="J567" s="43" t="str">
        <f>IFERROR(Sheet1!K567,0)</f>
        <v>Maersk</v>
      </c>
      <c r="K567" s="45">
        <f>IFERROR(Sheet1!A567,0)</f>
        <v>46140</v>
      </c>
      <c r="L567" s="45">
        <f>IFERROR(Sheet1!I567,0)</f>
        <v>46139</v>
      </c>
      <c r="M567" s="47" t="str">
        <f>IFERROR(Sheet1!P567,0)</f>
        <v>NA</v>
      </c>
      <c r="N567" s="46">
        <f>IFERROR(IF(ISNUMBER(Sheet1!N567),Sheet1!N567,0),0)</f>
        <v>1350</v>
      </c>
      <c r="O567" s="46">
        <f>IFERROR(IF(TRIM(F567)="Nhava Sheva",SUMPRODUCT((UPPER(TRIM('Origin Costs'!$A$5:$A$44))=UPPER(TRIM(J567)))*'Origin Costs'!$C$5:$C$44),IF(TRIM(F567)="ICD Tihi",SUMPRODUCT((UPPER(TRIM('Origin Costs'!$A$49:$A$88))=UPPER(TRIM(J567)))*'Origin Costs'!$C$49:$C$88),IF(TRIM(F567)="ICD Dhannad",SUMPRODUCT((UPPER(TRIM('Origin Costs'!$A$93:$A$132))=UPPER(TRIM(J567)))*'Origin Costs'!$C$93:$C$132),0))),0)</f>
        <v>1186.6333333333334</v>
      </c>
      <c r="P567" s="46">
        <f t="shared" si="8"/>
        <v>2536.6333333333332</v>
      </c>
      <c r="Q567" s="13" t="str">
        <f>IF(OR(Dashboard!$C$4="All Customers",$E567=Dashboard!$C$4),IF($E567="","",$P567+ROW()/10000000),"")</f>
        <v/>
      </c>
    </row>
    <row r="568" spans="1:17" ht="14.25" customHeight="1" x14ac:dyDescent="0.3">
      <c r="A568" s="39" t="str">
        <f>IFERROR("FY"&amp;TEXT(MOD(IF(MONTH(Sheet1!A568)&gt;=4,YEAR(Sheet1!A568),YEAR(Sheet1!A568)-1),100),"00")&amp;"-"&amp;TEXT(MOD(IF(MONTH(Sheet1!A568)&gt;=4,YEAR(Sheet1!A568),YEAR(Sheet1!A568)-1)+1,100),"00"),"")</f>
        <v>FY26-27</v>
      </c>
      <c r="B568" s="40" t="str">
        <f>IFERROR("Q"&amp;IF(MONTH(Sheet1!A568)&gt;=4,IF(MONTH(Sheet1!A568)&lt;=6,1,IF(MONTH(Sheet1!A568)&lt;=9,2,3)),4),"")</f>
        <v>Q1</v>
      </c>
      <c r="C568" s="39" t="str">
        <f>IFERROR(Sheet1!C568,0)</f>
        <v>Europe</v>
      </c>
      <c r="D568" s="39" t="str">
        <f>IFERROR(Sheet1!F568,0)</f>
        <v>Lithuania</v>
      </c>
      <c r="E568" s="39" t="str">
        <f>IFERROR(Sheet1!E568,0)</f>
        <v>Intercars, Lithuania</v>
      </c>
      <c r="F568" s="39" t="str">
        <f>IFERROR(IF(UPPER(TRIM(Sheet1!J568))="NH","Nhava Sheva",IF(UPPER(TRIM(Sheet1!J568))="ICD","ICD Dhannad",IF(UPPER(TRIM(Sheet1!J568))="TIHI","ICD Tihi",Sheet1!J568))),0)</f>
        <v>Nhava Sheva</v>
      </c>
      <c r="G568" s="39" t="str">
        <f>IFERROR(Sheet1!M568,0)</f>
        <v>Klaipeda</v>
      </c>
      <c r="H568" s="39" t="str">
        <f>IFERROR(Sheet1!H568,0)</f>
        <v>Clearship</v>
      </c>
      <c r="I568" s="39" t="str">
        <f>IFERROR(Sheet1!G568,0)</f>
        <v>CFR</v>
      </c>
      <c r="J568" s="39" t="str">
        <f>IFERROR(Sheet1!K568,0)</f>
        <v>Cosco</v>
      </c>
      <c r="K568" s="41">
        <f>IFERROR(Sheet1!A568,0)</f>
        <v>46141</v>
      </c>
      <c r="L568" s="41">
        <f>IFERROR(Sheet1!I568,0)</f>
        <v>46139</v>
      </c>
      <c r="M568" s="47" t="str">
        <f>IFERROR(Sheet1!P568,0)</f>
        <v>NA</v>
      </c>
      <c r="N568" s="42">
        <f>IFERROR(IF(ISNUMBER(Sheet1!N568),Sheet1!N568,0),0)</f>
        <v>2295</v>
      </c>
      <c r="O568" s="42">
        <f>IFERROR(IF(TRIM(F568)="Nhava Sheva",SUMPRODUCT((UPPER(TRIM('Origin Costs'!$A$5:$A$44))=UPPER(TRIM(J568)))*'Origin Costs'!$C$5:$C$44),IF(TRIM(F568)="ICD Tihi",SUMPRODUCT((UPPER(TRIM('Origin Costs'!$A$49:$A$88))=UPPER(TRIM(J568)))*'Origin Costs'!$C$49:$C$88),IF(TRIM(F568)="ICD Dhannad",SUMPRODUCT((UPPER(TRIM('Origin Costs'!$A$93:$A$132))=UPPER(TRIM(J568)))*'Origin Costs'!$C$93:$C$132),0))),0)</f>
        <v>0</v>
      </c>
      <c r="P568" s="42">
        <f t="shared" si="8"/>
        <v>2295</v>
      </c>
      <c r="Q568" s="13" t="str">
        <f>IF(OR(Dashboard!$C$4="All Customers",$E568=Dashboard!$C$4),IF($E568="","",$P568+ROW()/10000000),"")</f>
        <v/>
      </c>
    </row>
    <row r="569" spans="1:17" ht="14.25" customHeight="1" x14ac:dyDescent="0.3">
      <c r="A569" s="43" t="str">
        <f>IFERROR("FY"&amp;TEXT(MOD(IF(MONTH(Sheet1!A569)&gt;=4,YEAR(Sheet1!A569),YEAR(Sheet1!A569)-1),100),"00")&amp;"-"&amp;TEXT(MOD(IF(MONTH(Sheet1!A569)&gt;=4,YEAR(Sheet1!A569),YEAR(Sheet1!A569)-1)+1,100),"00"),"")</f>
        <v>FY26-27</v>
      </c>
      <c r="B569" s="44" t="str">
        <f>IFERROR("Q"&amp;IF(MONTH(Sheet1!A569)&gt;=4,IF(MONTH(Sheet1!A569)&lt;=6,1,IF(MONTH(Sheet1!A569)&lt;=9,2,3)),4),"")</f>
        <v>Q1</v>
      </c>
      <c r="C569" s="43" t="str">
        <f>IFERROR(Sheet1!C569,0)</f>
        <v>Europe</v>
      </c>
      <c r="D569" s="43" t="str">
        <f>IFERROR(Sheet1!F569,0)</f>
        <v>Bulgaria</v>
      </c>
      <c r="E569" s="43" t="str">
        <f>IFERROR(Sheet1!E569,0)</f>
        <v>Transcar Vladi, Bulgaria</v>
      </c>
      <c r="F569" s="43" t="str">
        <f>IFERROR(IF(UPPER(TRIM(Sheet1!J569))="NH","Nhava Sheva",IF(UPPER(TRIM(Sheet1!J569))="ICD","ICD Dhannad",IF(UPPER(TRIM(Sheet1!J569))="TIHI","ICD Tihi",Sheet1!J569))),0)</f>
        <v>Nhava Sheva</v>
      </c>
      <c r="G569" s="43" t="str">
        <f>IFERROR(Sheet1!M569,0)</f>
        <v>Thessoliniki</v>
      </c>
      <c r="H569" s="43" t="str">
        <f>IFERROR(Sheet1!H569,0)</f>
        <v>Fortune GLS</v>
      </c>
      <c r="I569" s="43" t="str">
        <f>IFERROR(Sheet1!G569,0)</f>
        <v>FOB</v>
      </c>
      <c r="J569" s="43" t="str">
        <f>IFERROR(Sheet1!K569,0)</f>
        <v>Maersk</v>
      </c>
      <c r="K569" s="45">
        <f>IFERROR(Sheet1!A569,0)</f>
        <v>46141</v>
      </c>
      <c r="L569" s="45">
        <f>IFERROR(Sheet1!I569,0)</f>
        <v>46139</v>
      </c>
      <c r="M569" s="47" t="str">
        <f>IFERROR(Sheet1!P569,0)</f>
        <v>NA</v>
      </c>
      <c r="N569" s="46">
        <f>IFERROR(IF(ISNUMBER(Sheet1!N569),Sheet1!N569,0),0)</f>
        <v>0</v>
      </c>
      <c r="O569" s="46">
        <f>IFERROR(IF(TRIM(F569)="Nhava Sheva",SUMPRODUCT((UPPER(TRIM('Origin Costs'!$A$5:$A$44))=UPPER(TRIM(J569)))*'Origin Costs'!$C$5:$C$44),IF(TRIM(F569)="ICD Tihi",SUMPRODUCT((UPPER(TRIM('Origin Costs'!$A$49:$A$88))=UPPER(TRIM(J569)))*'Origin Costs'!$C$49:$C$88),IF(TRIM(F569)="ICD Dhannad",SUMPRODUCT((UPPER(TRIM('Origin Costs'!$A$93:$A$132))=UPPER(TRIM(J569)))*'Origin Costs'!$C$93:$C$132),0))),0)</f>
        <v>1148.588888888889</v>
      </c>
      <c r="P569" s="46">
        <f t="shared" si="8"/>
        <v>1148.588888888889</v>
      </c>
      <c r="Q569" s="13" t="str">
        <f>IF(OR(Dashboard!$C$4="All Customers",$E569=Dashboard!$C$4),IF($E569="","",$P569+ROW()/10000000),"")</f>
        <v/>
      </c>
    </row>
    <row r="570" spans="1:17" ht="14.25" customHeight="1" x14ac:dyDescent="0.3">
      <c r="A570" s="39" t="str">
        <f>IFERROR("FY"&amp;TEXT(MOD(IF(MONTH(Sheet1!A570)&gt;=4,YEAR(Sheet1!A570),YEAR(Sheet1!A570)-1),100),"00")&amp;"-"&amp;TEXT(MOD(IF(MONTH(Sheet1!A570)&gt;=4,YEAR(Sheet1!A570),YEAR(Sheet1!A570)-1)+1,100),"00"),"")</f>
        <v>FY26-27</v>
      </c>
      <c r="B570" s="40" t="str">
        <f>IFERROR("Q"&amp;IF(MONTH(Sheet1!A570)&gt;=4,IF(MONTH(Sheet1!A570)&lt;=6,1,IF(MONTH(Sheet1!A570)&lt;=9,2,3)),4),"")</f>
        <v>Q1</v>
      </c>
      <c r="C570" s="39" t="str">
        <f>IFERROR(Sheet1!C570,0)</f>
        <v>Europe</v>
      </c>
      <c r="D570" s="39" t="str">
        <f>IFERROR(Sheet1!F570,0)</f>
        <v>Bulgaria</v>
      </c>
      <c r="E570" s="39" t="str">
        <f>IFERROR(Sheet1!E570,0)</f>
        <v>Transcar Vladi, Bulgaria</v>
      </c>
      <c r="F570" s="39" t="str">
        <f>IFERROR(IF(UPPER(TRIM(Sheet1!J570))="NH","Nhava Sheva",IF(UPPER(TRIM(Sheet1!J570))="ICD","ICD Dhannad",IF(UPPER(TRIM(Sheet1!J570))="TIHI","ICD Tihi",Sheet1!J570))),0)</f>
        <v>Nhava Sheva</v>
      </c>
      <c r="G570" s="39" t="str">
        <f>IFERROR(Sheet1!M570,0)</f>
        <v>Thessoliniki</v>
      </c>
      <c r="H570" s="39" t="str">
        <f>IFERROR(Sheet1!H570,0)</f>
        <v>Fortune GLS</v>
      </c>
      <c r="I570" s="39" t="str">
        <f>IFERROR(Sheet1!G570,0)</f>
        <v>FOB</v>
      </c>
      <c r="J570" s="39" t="str">
        <f>IFERROR(Sheet1!K570,0)</f>
        <v>Maersk</v>
      </c>
      <c r="K570" s="41">
        <f>IFERROR(Sheet1!A570,0)</f>
        <v>46141</v>
      </c>
      <c r="L570" s="41">
        <f>IFERROR(Sheet1!I570,0)</f>
        <v>46139</v>
      </c>
      <c r="M570" s="47" t="str">
        <f>IFERROR(Sheet1!P570,0)</f>
        <v>NA</v>
      </c>
      <c r="N570" s="42">
        <f>IFERROR(IF(ISNUMBER(Sheet1!N570),Sheet1!N570,0),0)</f>
        <v>0</v>
      </c>
      <c r="O570" s="42">
        <f>IFERROR(IF(TRIM(F570)="Nhava Sheva",SUMPRODUCT((UPPER(TRIM('Origin Costs'!$A$5:$A$44))=UPPER(TRIM(J570)))*'Origin Costs'!$C$5:$C$44),IF(TRIM(F570)="ICD Tihi",SUMPRODUCT((UPPER(TRIM('Origin Costs'!$A$49:$A$88))=UPPER(TRIM(J570)))*'Origin Costs'!$C$49:$C$88),IF(TRIM(F570)="ICD Dhannad",SUMPRODUCT((UPPER(TRIM('Origin Costs'!$A$93:$A$132))=UPPER(TRIM(J570)))*'Origin Costs'!$C$93:$C$132),0))),0)</f>
        <v>1148.588888888889</v>
      </c>
      <c r="P570" s="42">
        <f t="shared" si="8"/>
        <v>1148.588888888889</v>
      </c>
      <c r="Q570" s="13" t="str">
        <f>IF(OR(Dashboard!$C$4="All Customers",$E570=Dashboard!$C$4),IF($E570="","",$P570+ROW()/10000000),"")</f>
        <v/>
      </c>
    </row>
    <row r="571" spans="1:17" ht="14.25" customHeight="1" x14ac:dyDescent="0.3">
      <c r="A571" s="43" t="str">
        <f>IFERROR("FY"&amp;TEXT(MOD(IF(MONTH(Sheet1!A571)&gt;=4,YEAR(Sheet1!A571),YEAR(Sheet1!A571)-1),100),"00")&amp;"-"&amp;TEXT(MOD(IF(MONTH(Sheet1!A571)&gt;=4,YEAR(Sheet1!A571),YEAR(Sheet1!A571)-1)+1,100),"00"),"")</f>
        <v>FY26-27</v>
      </c>
      <c r="B571" s="44" t="str">
        <f>IFERROR("Q"&amp;IF(MONTH(Sheet1!A571)&gt;=4,IF(MONTH(Sheet1!A571)&lt;=6,1,IF(MONTH(Sheet1!A571)&lt;=9,2,3)),4),"")</f>
        <v>Q1</v>
      </c>
      <c r="C571" s="43" t="str">
        <f>IFERROR(Sheet1!C571,0)</f>
        <v>S.A.</v>
      </c>
      <c r="D571" s="43" t="str">
        <f>IFERROR(Sheet1!F571,0)</f>
        <v>Panama</v>
      </c>
      <c r="E571" s="43" t="str">
        <f>IFERROR(Sheet1!E571,0)</f>
        <v>Suministros y Exportaciones Primor</v>
      </c>
      <c r="F571" s="43" t="str">
        <f>IFERROR(IF(UPPER(TRIM(Sheet1!J571))="NH","Nhava Sheva",IF(UPPER(TRIM(Sheet1!J571))="ICD","ICD Dhannad",IF(UPPER(TRIM(Sheet1!J571))="TIHI","ICD Tihi",Sheet1!J571))),0)</f>
        <v>Nhava Sheva</v>
      </c>
      <c r="G571" s="43" t="str">
        <f>IFERROR(Sheet1!M571,0)</f>
        <v>Colon Free Zone</v>
      </c>
      <c r="H571" s="43" t="str">
        <f>IFERROR(Sheet1!H571,0)</f>
        <v>Sanjay Forwarder</v>
      </c>
      <c r="I571" s="43" t="str">
        <f>IFERROR(Sheet1!G571,0)</f>
        <v>CIF</v>
      </c>
      <c r="J571" s="43" t="str">
        <f>IFERROR(Sheet1!K571,0)</f>
        <v>Maersk</v>
      </c>
      <c r="K571" s="45">
        <f>IFERROR(Sheet1!A571,0)</f>
        <v>46142</v>
      </c>
      <c r="L571" s="45">
        <f>IFERROR(Sheet1!I571,0)</f>
        <v>46140</v>
      </c>
      <c r="M571" s="47" t="str">
        <f>IFERROR(Sheet1!P571,0)</f>
        <v>NA</v>
      </c>
      <c r="N571" s="46">
        <f>IFERROR(IF(ISNUMBER(Sheet1!N571),Sheet1!N571,0),0)</f>
        <v>2735</v>
      </c>
      <c r="O571" s="46">
        <f>IFERROR(IF(TRIM(F571)="Nhava Sheva",SUMPRODUCT((UPPER(TRIM('Origin Costs'!$A$5:$A$44))=UPPER(TRIM(J571)))*'Origin Costs'!$C$5:$C$44),IF(TRIM(F571)="ICD Tihi",SUMPRODUCT((UPPER(TRIM('Origin Costs'!$A$49:$A$88))=UPPER(TRIM(J571)))*'Origin Costs'!$C$49:$C$88),IF(TRIM(F571)="ICD Dhannad",SUMPRODUCT((UPPER(TRIM('Origin Costs'!$A$93:$A$132))=UPPER(TRIM(J571)))*'Origin Costs'!$C$93:$C$132),0))),0)</f>
        <v>1148.588888888889</v>
      </c>
      <c r="P571" s="46">
        <f t="shared" si="8"/>
        <v>3883.588888888889</v>
      </c>
      <c r="Q571" s="13" t="str">
        <f>IF(OR(Dashboard!$C$4="All Customers",$E571=Dashboard!$C$4),IF($E571="","",$P571+ROW()/10000000),"")</f>
        <v/>
      </c>
    </row>
    <row r="572" spans="1:17" ht="14.25" customHeight="1" x14ac:dyDescent="0.3">
      <c r="A572" s="39" t="str">
        <f>IFERROR("FY"&amp;TEXT(MOD(IF(MONTH(Sheet1!A572)&gt;=4,YEAR(Sheet1!A572),YEAR(Sheet1!A572)-1),100),"00")&amp;"-"&amp;TEXT(MOD(IF(MONTH(Sheet1!A572)&gt;=4,YEAR(Sheet1!A572),YEAR(Sheet1!A572)-1)+1,100),"00"),"")</f>
        <v>FY26-27</v>
      </c>
      <c r="B572" s="40" t="str">
        <f>IFERROR("Q"&amp;IF(MONTH(Sheet1!A572)&gt;=4,IF(MONTH(Sheet1!A572)&lt;=6,1,IF(MONTH(Sheet1!A572)&lt;=9,2,3)),4),"")</f>
        <v>Q1</v>
      </c>
      <c r="C572" s="39" t="str">
        <f>IFERROR(Sheet1!C572,0)</f>
        <v>S.A.</v>
      </c>
      <c r="D572" s="39" t="str">
        <f>IFERROR(Sheet1!F572,0)</f>
        <v>Panama</v>
      </c>
      <c r="E572" s="39" t="str">
        <f>IFERROR(Sheet1!E572,0)</f>
        <v>Suministros y Exportaciones Primor</v>
      </c>
      <c r="F572" s="39" t="str">
        <f>IFERROR(IF(UPPER(TRIM(Sheet1!J572))="NH","Nhava Sheva",IF(UPPER(TRIM(Sheet1!J572))="ICD","ICD Dhannad",IF(UPPER(TRIM(Sheet1!J572))="TIHI","ICD Tihi",Sheet1!J572))),0)</f>
        <v>Nhava Sheva</v>
      </c>
      <c r="G572" s="39" t="str">
        <f>IFERROR(Sheet1!M572,0)</f>
        <v>Colon Free Zone</v>
      </c>
      <c r="H572" s="39" t="str">
        <f>IFERROR(Sheet1!H572,0)</f>
        <v>Sanjay Forwarder</v>
      </c>
      <c r="I572" s="39" t="str">
        <f>IFERROR(Sheet1!G572,0)</f>
        <v>CIF</v>
      </c>
      <c r="J572" s="39" t="str">
        <f>IFERROR(Sheet1!K572,0)</f>
        <v>Maersk</v>
      </c>
      <c r="K572" s="41">
        <f>IFERROR(Sheet1!A572,0)</f>
        <v>46142</v>
      </c>
      <c r="L572" s="41">
        <f>IFERROR(Sheet1!I572,0)</f>
        <v>46140</v>
      </c>
      <c r="M572" s="47" t="str">
        <f>IFERROR(Sheet1!P572,0)</f>
        <v>NA</v>
      </c>
      <c r="N572" s="42">
        <f>IFERROR(IF(ISNUMBER(Sheet1!N572),Sheet1!N572,0),0)</f>
        <v>2735</v>
      </c>
      <c r="O572" s="42">
        <f>IFERROR(IF(TRIM(F572)="Nhava Sheva",SUMPRODUCT((UPPER(TRIM('Origin Costs'!$A$5:$A$44))=UPPER(TRIM(J572)))*'Origin Costs'!$C$5:$C$44),IF(TRIM(F572)="ICD Tihi",SUMPRODUCT((UPPER(TRIM('Origin Costs'!$A$49:$A$88))=UPPER(TRIM(J572)))*'Origin Costs'!$C$49:$C$88),IF(TRIM(F572)="ICD Dhannad",SUMPRODUCT((UPPER(TRIM('Origin Costs'!$A$93:$A$132))=UPPER(TRIM(J572)))*'Origin Costs'!$C$93:$C$132),0))),0)</f>
        <v>1148.588888888889</v>
      </c>
      <c r="P572" s="42">
        <f t="shared" si="8"/>
        <v>3883.588888888889</v>
      </c>
      <c r="Q572" s="13" t="str">
        <f>IF(OR(Dashboard!$C$4="All Customers",$E572=Dashboard!$C$4),IF($E572="","",$P572+ROW()/10000000),"")</f>
        <v/>
      </c>
    </row>
    <row r="573" spans="1:17" ht="14.25" customHeight="1" x14ac:dyDescent="0.3">
      <c r="A573" s="43" t="str">
        <f>IFERROR("FY"&amp;TEXT(MOD(IF(MONTH(Sheet1!A573)&gt;=4,YEAR(Sheet1!A573),YEAR(Sheet1!A573)-1),100),"00")&amp;"-"&amp;TEXT(MOD(IF(MONTH(Sheet1!A573)&gt;=4,YEAR(Sheet1!A573),YEAR(Sheet1!A573)-1)+1,100),"00"),"")</f>
        <v>FY26-27</v>
      </c>
      <c r="B573" s="44" t="str">
        <f>IFERROR("Q"&amp;IF(MONTH(Sheet1!A573)&gt;=4,IF(MONTH(Sheet1!A573)&lt;=6,1,IF(MONTH(Sheet1!A573)&lt;=9,2,3)),4),"")</f>
        <v>Q1</v>
      </c>
      <c r="C573" s="43" t="str">
        <f>IFERROR(Sheet1!C573,0)</f>
        <v>S.A.</v>
      </c>
      <c r="D573" s="43" t="str">
        <f>IFERROR(Sheet1!F573,0)</f>
        <v>Panama</v>
      </c>
      <c r="E573" s="43" t="str">
        <f>IFERROR(Sheet1!E573,0)</f>
        <v>Suministros y Exportaciones Primor</v>
      </c>
      <c r="F573" s="43" t="str">
        <f>IFERROR(IF(UPPER(TRIM(Sheet1!J573))="NH","Nhava Sheva",IF(UPPER(TRIM(Sheet1!J573))="ICD","ICD Dhannad",IF(UPPER(TRIM(Sheet1!J573))="TIHI","ICD Tihi",Sheet1!J573))),0)</f>
        <v>Nhava Sheva</v>
      </c>
      <c r="G573" s="43" t="str">
        <f>IFERROR(Sheet1!M573,0)</f>
        <v>Colon Free Zone</v>
      </c>
      <c r="H573" s="43" t="str">
        <f>IFERROR(Sheet1!H573,0)</f>
        <v>Sanjay Forwarder</v>
      </c>
      <c r="I573" s="43" t="str">
        <f>IFERROR(Sheet1!G573,0)</f>
        <v>CIF</v>
      </c>
      <c r="J573" s="43" t="str">
        <f>IFERROR(Sheet1!K573,0)</f>
        <v>Maersk</v>
      </c>
      <c r="K573" s="45">
        <f>IFERROR(Sheet1!A573,0)</f>
        <v>46142</v>
      </c>
      <c r="L573" s="45">
        <f>IFERROR(Sheet1!I573,0)</f>
        <v>46140</v>
      </c>
      <c r="M573" s="47" t="str">
        <f>IFERROR(Sheet1!P573,0)</f>
        <v>NA</v>
      </c>
      <c r="N573" s="46">
        <f>IFERROR(IF(ISNUMBER(Sheet1!N573),Sheet1!N573,0),0)</f>
        <v>2735</v>
      </c>
      <c r="O573" s="46">
        <f>IFERROR(IF(TRIM(F573)="Nhava Sheva",SUMPRODUCT((UPPER(TRIM('Origin Costs'!$A$5:$A$44))=UPPER(TRIM(J573)))*'Origin Costs'!$C$5:$C$44),IF(TRIM(F573)="ICD Tihi",SUMPRODUCT((UPPER(TRIM('Origin Costs'!$A$49:$A$88))=UPPER(TRIM(J573)))*'Origin Costs'!$C$49:$C$88),IF(TRIM(F573)="ICD Dhannad",SUMPRODUCT((UPPER(TRIM('Origin Costs'!$A$93:$A$132))=UPPER(TRIM(J573)))*'Origin Costs'!$C$93:$C$132),0))),0)</f>
        <v>1148.588888888889</v>
      </c>
      <c r="P573" s="46">
        <f t="shared" si="8"/>
        <v>3883.588888888889</v>
      </c>
      <c r="Q573" s="13" t="str">
        <f>IF(OR(Dashboard!$C$4="All Customers",$E573=Dashboard!$C$4),IF($E573="","",$P573+ROW()/10000000),"")</f>
        <v/>
      </c>
    </row>
    <row r="574" spans="1:17" ht="14.25" customHeight="1" x14ac:dyDescent="0.3">
      <c r="A574" s="39" t="str">
        <f>IFERROR("FY"&amp;TEXT(MOD(IF(MONTH(Sheet1!A574)&gt;=4,YEAR(Sheet1!A574),YEAR(Sheet1!A574)-1),100),"00")&amp;"-"&amp;TEXT(MOD(IF(MONTH(Sheet1!A574)&gt;=4,YEAR(Sheet1!A574),YEAR(Sheet1!A574)-1)+1,100),"00"),"")</f>
        <v>FY26-27</v>
      </c>
      <c r="B574" s="40" t="str">
        <f>IFERROR("Q"&amp;IF(MONTH(Sheet1!A574)&gt;=4,IF(MONTH(Sheet1!A574)&lt;=6,1,IF(MONTH(Sheet1!A574)&lt;=9,2,3)),4),"")</f>
        <v>Q1</v>
      </c>
      <c r="C574" s="39" t="str">
        <f>IFERROR(Sheet1!C574,0)</f>
        <v>Europe</v>
      </c>
      <c r="D574" s="39" t="str">
        <f>IFERROR(Sheet1!F574,0)</f>
        <v>Poland</v>
      </c>
      <c r="E574" s="39" t="str">
        <f>IFERROR(Sheet1!E574,0)</f>
        <v>Inter Cars S.A.</v>
      </c>
      <c r="F574" s="39" t="str">
        <f>IFERROR(IF(UPPER(TRIM(Sheet1!J574))="NH","Nhava Sheva",IF(UPPER(TRIM(Sheet1!J574))="ICD","ICD Dhannad",IF(UPPER(TRIM(Sheet1!J574))="TIHI","ICD Tihi",Sheet1!J574))),0)</f>
        <v>Nhava Sheva</v>
      </c>
      <c r="G574" s="39" t="str">
        <f>IFERROR(Sheet1!M574,0)</f>
        <v>GDYNIA</v>
      </c>
      <c r="H574" s="39" t="str">
        <f>IFERROR(Sheet1!H574,0)</f>
        <v>VR Logistics</v>
      </c>
      <c r="I574" s="39" t="str">
        <f>IFERROR(Sheet1!G574,0)</f>
        <v>FOB</v>
      </c>
      <c r="J574" s="39" t="str">
        <f>IFERROR(Sheet1!K574,0)</f>
        <v>YML</v>
      </c>
      <c r="K574" s="41">
        <f>IFERROR(Sheet1!A574,0)</f>
        <v>46148</v>
      </c>
      <c r="L574" s="41">
        <f>IFERROR(Sheet1!I574,0)</f>
        <v>46144</v>
      </c>
      <c r="M574" s="47" t="str">
        <f>IFERROR(Sheet1!P574,0)</f>
        <v>NA</v>
      </c>
      <c r="N574" s="42">
        <f>IFERROR(IF(ISNUMBER(Sheet1!N574),Sheet1!N574,0),0)</f>
        <v>0</v>
      </c>
      <c r="O574" s="42">
        <f>IFERROR(IF(TRIM(F574)="Nhava Sheva",SUMPRODUCT((UPPER(TRIM('Origin Costs'!$A$5:$A$44))=UPPER(TRIM(J574)))*'Origin Costs'!$C$5:$C$44),IF(TRIM(F574)="ICD Tihi",SUMPRODUCT((UPPER(TRIM('Origin Costs'!$A$49:$A$88))=UPPER(TRIM(J574)))*'Origin Costs'!$C$49:$C$88),IF(TRIM(F574)="ICD Dhannad",SUMPRODUCT((UPPER(TRIM('Origin Costs'!$A$93:$A$132))=UPPER(TRIM(J574)))*'Origin Costs'!$C$93:$C$132),0))),0)</f>
        <v>0</v>
      </c>
      <c r="P574" s="42">
        <f t="shared" si="8"/>
        <v>0</v>
      </c>
      <c r="Q574" s="13" t="str">
        <f>IF(OR(Dashboard!$C$4="All Customers",$E574=Dashboard!$C$4),IF($E574="","",$P574+ROW()/10000000),"")</f>
        <v/>
      </c>
    </row>
    <row r="575" spans="1:17" ht="14.25" customHeight="1" x14ac:dyDescent="0.3">
      <c r="A575" s="43" t="str">
        <f>IFERROR("FY"&amp;TEXT(MOD(IF(MONTH(Sheet1!A575)&gt;=4,YEAR(Sheet1!A575),YEAR(Sheet1!A575)-1),100),"00")&amp;"-"&amp;TEXT(MOD(IF(MONTH(Sheet1!A575)&gt;=4,YEAR(Sheet1!A575),YEAR(Sheet1!A575)-1)+1,100),"00"),"")</f>
        <v>FY26-27</v>
      </c>
      <c r="B575" s="44" t="str">
        <f>IFERROR("Q"&amp;IF(MONTH(Sheet1!A575)&gt;=4,IF(MONTH(Sheet1!A575)&lt;=6,1,IF(MONTH(Sheet1!A575)&lt;=9,2,3)),4),"")</f>
        <v>Q1</v>
      </c>
      <c r="C575" s="43" t="str">
        <f>IFERROR(Sheet1!C575,0)</f>
        <v>Europe</v>
      </c>
      <c r="D575" s="43" t="str">
        <f>IFERROR(Sheet1!F575,0)</f>
        <v>Poland</v>
      </c>
      <c r="E575" s="43" t="str">
        <f>IFERROR(Sheet1!E575,0)</f>
        <v>Inter Cars S.A.</v>
      </c>
      <c r="F575" s="43" t="str">
        <f>IFERROR(IF(UPPER(TRIM(Sheet1!J575))="NH","Nhava Sheva",IF(UPPER(TRIM(Sheet1!J575))="ICD","ICD Dhannad",IF(UPPER(TRIM(Sheet1!J575))="TIHI","ICD Tihi",Sheet1!J575))),0)</f>
        <v>Nhava Sheva</v>
      </c>
      <c r="G575" s="43" t="str">
        <f>IFERROR(Sheet1!M575,0)</f>
        <v>GDYNIA</v>
      </c>
      <c r="H575" s="43" t="str">
        <f>IFERROR(Sheet1!H575,0)</f>
        <v>VR Logistics</v>
      </c>
      <c r="I575" s="43" t="str">
        <f>IFERROR(Sheet1!G575,0)</f>
        <v>FOB</v>
      </c>
      <c r="J575" s="43" t="str">
        <f>IFERROR(Sheet1!K575,0)</f>
        <v>YML</v>
      </c>
      <c r="K575" s="45">
        <f>IFERROR(Sheet1!A575,0)</f>
        <v>46148</v>
      </c>
      <c r="L575" s="45">
        <f>IFERROR(Sheet1!I575,0)</f>
        <v>46144</v>
      </c>
      <c r="M575" s="47" t="str">
        <f>IFERROR(Sheet1!P575,0)</f>
        <v>NA</v>
      </c>
      <c r="N575" s="46">
        <f>IFERROR(IF(ISNUMBER(Sheet1!N575),Sheet1!N575,0),0)</f>
        <v>0</v>
      </c>
      <c r="O575" s="46">
        <f>IFERROR(IF(TRIM(F575)="Nhava Sheva",SUMPRODUCT((UPPER(TRIM('Origin Costs'!$A$5:$A$44))=UPPER(TRIM(J575)))*'Origin Costs'!$C$5:$C$44),IF(TRIM(F575)="ICD Tihi",SUMPRODUCT((UPPER(TRIM('Origin Costs'!$A$49:$A$88))=UPPER(TRIM(J575)))*'Origin Costs'!$C$49:$C$88),IF(TRIM(F575)="ICD Dhannad",SUMPRODUCT((UPPER(TRIM('Origin Costs'!$A$93:$A$132))=UPPER(TRIM(J575)))*'Origin Costs'!$C$93:$C$132),0))),0)</f>
        <v>0</v>
      </c>
      <c r="P575" s="46">
        <f t="shared" si="8"/>
        <v>0</v>
      </c>
      <c r="Q575" s="13" t="str">
        <f>IF(OR(Dashboard!$C$4="All Customers",$E575=Dashboard!$C$4),IF($E575="","",$P575+ROW()/10000000),"")</f>
        <v/>
      </c>
    </row>
    <row r="576" spans="1:17" ht="14.25" customHeight="1" x14ac:dyDescent="0.3">
      <c r="A576" s="39" t="str">
        <f>IFERROR("FY"&amp;TEXT(MOD(IF(MONTH(Sheet1!A576)&gt;=4,YEAR(Sheet1!A576),YEAR(Sheet1!A576)-1),100),"00")&amp;"-"&amp;TEXT(MOD(IF(MONTH(Sheet1!A576)&gt;=4,YEAR(Sheet1!A576),YEAR(Sheet1!A576)-1)+1,100),"00"),"")</f>
        <v>FY26-27</v>
      </c>
      <c r="B576" s="40" t="str">
        <f>IFERROR("Q"&amp;IF(MONTH(Sheet1!A576)&gt;=4,IF(MONTH(Sheet1!A576)&lt;=6,1,IF(MONTH(Sheet1!A576)&lt;=9,2,3)),4),"")</f>
        <v>Q1</v>
      </c>
      <c r="C576" s="39" t="str">
        <f>IFERROR(Sheet1!C576,0)</f>
        <v>Europe</v>
      </c>
      <c r="D576" s="39" t="str">
        <f>IFERROR(Sheet1!F576,0)</f>
        <v>Poland</v>
      </c>
      <c r="E576" s="39" t="str">
        <f>IFERROR(Sheet1!E576,0)</f>
        <v>Inter Cars S.A.</v>
      </c>
      <c r="F576" s="39" t="str">
        <f>IFERROR(IF(UPPER(TRIM(Sheet1!J576))="NH","Nhava Sheva",IF(UPPER(TRIM(Sheet1!J576))="ICD","ICD Dhannad",IF(UPPER(TRIM(Sheet1!J576))="TIHI","ICD Tihi",Sheet1!J576))),0)</f>
        <v>Nhava Sheva</v>
      </c>
      <c r="G576" s="39" t="str">
        <f>IFERROR(Sheet1!M576,0)</f>
        <v>GDYNIA</v>
      </c>
      <c r="H576" s="39" t="str">
        <f>IFERROR(Sheet1!H576,0)</f>
        <v>VR Logistics</v>
      </c>
      <c r="I576" s="39" t="str">
        <f>IFERROR(Sheet1!G576,0)</f>
        <v>FOB</v>
      </c>
      <c r="J576" s="39" t="str">
        <f>IFERROR(Sheet1!K576,0)</f>
        <v>YML</v>
      </c>
      <c r="K576" s="41">
        <f>IFERROR(Sheet1!A576,0)</f>
        <v>46148</v>
      </c>
      <c r="L576" s="41">
        <f>IFERROR(Sheet1!I576,0)</f>
        <v>46144</v>
      </c>
      <c r="M576" s="47" t="str">
        <f>IFERROR(Sheet1!P576,0)</f>
        <v>NA</v>
      </c>
      <c r="N576" s="42">
        <f>IFERROR(IF(ISNUMBER(Sheet1!N576),Sheet1!N576,0),0)</f>
        <v>0</v>
      </c>
      <c r="O576" s="42">
        <f>IFERROR(IF(TRIM(F576)="Nhava Sheva",SUMPRODUCT((UPPER(TRIM('Origin Costs'!$A$5:$A$44))=UPPER(TRIM(J576)))*'Origin Costs'!$C$5:$C$44),IF(TRIM(F576)="ICD Tihi",SUMPRODUCT((UPPER(TRIM('Origin Costs'!$A$49:$A$88))=UPPER(TRIM(J576)))*'Origin Costs'!$C$49:$C$88),IF(TRIM(F576)="ICD Dhannad",SUMPRODUCT((UPPER(TRIM('Origin Costs'!$A$93:$A$132))=UPPER(TRIM(J576)))*'Origin Costs'!$C$93:$C$132),0))),0)</f>
        <v>0</v>
      </c>
      <c r="P576" s="42">
        <f t="shared" si="8"/>
        <v>0</v>
      </c>
      <c r="Q576" s="13" t="str">
        <f>IF(OR(Dashboard!$C$4="All Customers",$E576=Dashboard!$C$4),IF($E576="","",$P576+ROW()/10000000),"")</f>
        <v/>
      </c>
    </row>
    <row r="577" spans="1:17" ht="14.25" customHeight="1" x14ac:dyDescent="0.3">
      <c r="A577" s="43" t="str">
        <f>IFERROR("FY"&amp;TEXT(MOD(IF(MONTH(Sheet1!A577)&gt;=4,YEAR(Sheet1!A577),YEAR(Sheet1!A577)-1),100),"00")&amp;"-"&amp;TEXT(MOD(IF(MONTH(Sheet1!A577)&gt;=4,YEAR(Sheet1!A577),YEAR(Sheet1!A577)-1)+1,100),"00"),"")</f>
        <v>FY26-27</v>
      </c>
      <c r="B577" s="44" t="str">
        <f>IFERROR("Q"&amp;IF(MONTH(Sheet1!A577)&gt;=4,IF(MONTH(Sheet1!A577)&lt;=6,1,IF(MONTH(Sheet1!A577)&lt;=9,2,3)),4),"")</f>
        <v>Q1</v>
      </c>
      <c r="C577" s="43" t="str">
        <f>IFERROR(Sheet1!C577,0)</f>
        <v>Europe</v>
      </c>
      <c r="D577" s="43" t="str">
        <f>IFERROR(Sheet1!F577,0)</f>
        <v>Poland</v>
      </c>
      <c r="E577" s="43" t="str">
        <f>IFERROR(Sheet1!E577,0)</f>
        <v>Inter Cars S.A.</v>
      </c>
      <c r="F577" s="43" t="str">
        <f>IFERROR(IF(UPPER(TRIM(Sheet1!J577))="NH","Nhava Sheva",IF(UPPER(TRIM(Sheet1!J577))="ICD","ICD Dhannad",IF(UPPER(TRIM(Sheet1!J577))="TIHI","ICD Tihi",Sheet1!J577))),0)</f>
        <v>Nhava Sheva</v>
      </c>
      <c r="G577" s="43" t="str">
        <f>IFERROR(Sheet1!M577,0)</f>
        <v>GDYNIA</v>
      </c>
      <c r="H577" s="43" t="str">
        <f>IFERROR(Sheet1!H577,0)</f>
        <v>VR Logistics</v>
      </c>
      <c r="I577" s="43" t="str">
        <f>IFERROR(Sheet1!G577,0)</f>
        <v>FOB</v>
      </c>
      <c r="J577" s="43" t="str">
        <f>IFERROR(Sheet1!K577,0)</f>
        <v>YML</v>
      </c>
      <c r="K577" s="45">
        <f>IFERROR(Sheet1!A577,0)</f>
        <v>46148</v>
      </c>
      <c r="L577" s="45">
        <f>IFERROR(Sheet1!I577,0)</f>
        <v>46144</v>
      </c>
      <c r="M577" s="47" t="str">
        <f>IFERROR(Sheet1!P577,0)</f>
        <v>NA</v>
      </c>
      <c r="N577" s="46">
        <f>IFERROR(IF(ISNUMBER(Sheet1!N577),Sheet1!N577,0),0)</f>
        <v>0</v>
      </c>
      <c r="O577" s="46">
        <f>IFERROR(IF(TRIM(F577)="Nhava Sheva",SUMPRODUCT((UPPER(TRIM('Origin Costs'!$A$5:$A$44))=UPPER(TRIM(J577)))*'Origin Costs'!$C$5:$C$44),IF(TRIM(F577)="ICD Tihi",SUMPRODUCT((UPPER(TRIM('Origin Costs'!$A$49:$A$88))=UPPER(TRIM(J577)))*'Origin Costs'!$C$49:$C$88),IF(TRIM(F577)="ICD Dhannad",SUMPRODUCT((UPPER(TRIM('Origin Costs'!$A$93:$A$132))=UPPER(TRIM(J577)))*'Origin Costs'!$C$93:$C$132),0))),0)</f>
        <v>0</v>
      </c>
      <c r="P577" s="46">
        <f t="shared" si="8"/>
        <v>0</v>
      </c>
      <c r="Q577" s="13" t="str">
        <f>IF(OR(Dashboard!$C$4="All Customers",$E577=Dashboard!$C$4),IF($E577="","",$P577+ROW()/10000000),"")</f>
        <v/>
      </c>
    </row>
    <row r="578" spans="1:17" ht="14.25" customHeight="1" x14ac:dyDescent="0.3">
      <c r="A578" s="39" t="str">
        <f>IFERROR("FY"&amp;TEXT(MOD(IF(MONTH(Sheet1!A578)&gt;=4,YEAR(Sheet1!A578),YEAR(Sheet1!A578)-1),100),"00")&amp;"-"&amp;TEXT(MOD(IF(MONTH(Sheet1!A578)&gt;=4,YEAR(Sheet1!A578),YEAR(Sheet1!A578)-1)+1,100),"00"),"")</f>
        <v>FY26-27</v>
      </c>
      <c r="B578" s="40" t="str">
        <f>IFERROR("Q"&amp;IF(MONTH(Sheet1!A578)&gt;=4,IF(MONTH(Sheet1!A578)&lt;=6,1,IF(MONTH(Sheet1!A578)&lt;=9,2,3)),4),"")</f>
        <v>Q1</v>
      </c>
      <c r="C578" s="39" t="str">
        <f>IFERROR(Sheet1!C578,0)</f>
        <v>Europe</v>
      </c>
      <c r="D578" s="39" t="str">
        <f>IFERROR(Sheet1!F578,0)</f>
        <v>Poland</v>
      </c>
      <c r="E578" s="39" t="str">
        <f>IFERROR(Sheet1!E578,0)</f>
        <v>Inter Cars S.A.</v>
      </c>
      <c r="F578" s="39" t="str">
        <f>IFERROR(IF(UPPER(TRIM(Sheet1!J578))="NH","Nhava Sheva",IF(UPPER(TRIM(Sheet1!J578))="ICD","ICD Dhannad",IF(UPPER(TRIM(Sheet1!J578))="TIHI","ICD Tihi",Sheet1!J578))),0)</f>
        <v>Nhava Sheva</v>
      </c>
      <c r="G578" s="39" t="str">
        <f>IFERROR(Sheet1!M578,0)</f>
        <v>GDYNIA</v>
      </c>
      <c r="H578" s="39" t="str">
        <f>IFERROR(Sheet1!H578,0)</f>
        <v>VR Logistics</v>
      </c>
      <c r="I578" s="39" t="str">
        <f>IFERROR(Sheet1!G578,0)</f>
        <v>FOB</v>
      </c>
      <c r="J578" s="39" t="str">
        <f>IFERROR(Sheet1!K578,0)</f>
        <v>YML</v>
      </c>
      <c r="K578" s="41">
        <f>IFERROR(Sheet1!A578,0)</f>
        <v>46148</v>
      </c>
      <c r="L578" s="41">
        <f>IFERROR(Sheet1!I578,0)</f>
        <v>46144</v>
      </c>
      <c r="M578" s="47" t="str">
        <f>IFERROR(Sheet1!P578,0)</f>
        <v>NA</v>
      </c>
      <c r="N578" s="42">
        <f>IFERROR(IF(ISNUMBER(Sheet1!N578),Sheet1!N578,0),0)</f>
        <v>0</v>
      </c>
      <c r="O578" s="42">
        <f>IFERROR(IF(TRIM(F578)="Nhava Sheva",SUMPRODUCT((UPPER(TRIM('Origin Costs'!$A$5:$A$44))=UPPER(TRIM(J578)))*'Origin Costs'!$C$5:$C$44),IF(TRIM(F578)="ICD Tihi",SUMPRODUCT((UPPER(TRIM('Origin Costs'!$A$49:$A$88))=UPPER(TRIM(J578)))*'Origin Costs'!$C$49:$C$88),IF(TRIM(F578)="ICD Dhannad",SUMPRODUCT((UPPER(TRIM('Origin Costs'!$A$93:$A$132))=UPPER(TRIM(J578)))*'Origin Costs'!$C$93:$C$132),0))),0)</f>
        <v>0</v>
      </c>
      <c r="P578" s="42">
        <f t="shared" ref="P578:P628" si="9">N578+O578</f>
        <v>0</v>
      </c>
      <c r="Q578" s="13" t="str">
        <f>IF(OR(Dashboard!$C$4="All Customers",$E578=Dashboard!$C$4),IF($E578="","",$P578+ROW()/10000000),"")</f>
        <v/>
      </c>
    </row>
    <row r="579" spans="1:17" ht="14.25" customHeight="1" x14ac:dyDescent="0.3">
      <c r="A579" s="43" t="str">
        <f>IFERROR("FY"&amp;TEXT(MOD(IF(MONTH(Sheet1!A579)&gt;=4,YEAR(Sheet1!A579),YEAR(Sheet1!A579)-1),100),"00")&amp;"-"&amp;TEXT(MOD(IF(MONTH(Sheet1!A579)&gt;=4,YEAR(Sheet1!A579),YEAR(Sheet1!A579)-1)+1,100),"00"),"")</f>
        <v>FY26-27</v>
      </c>
      <c r="B579" s="44" t="str">
        <f>IFERROR("Q"&amp;IF(MONTH(Sheet1!A579)&gt;=4,IF(MONTH(Sheet1!A579)&lt;=6,1,IF(MONTH(Sheet1!A579)&lt;=9,2,3)),4),"")</f>
        <v>Q1</v>
      </c>
      <c r="C579" s="43" t="str">
        <f>IFERROR(Sheet1!C579,0)</f>
        <v>Africa</v>
      </c>
      <c r="D579" s="43" t="str">
        <f>IFERROR(Sheet1!F579,0)</f>
        <v>Egypt</v>
      </c>
      <c r="E579" s="43" t="str">
        <f>IFERROR(Sheet1!E579,0)</f>
        <v>MSK Egypt For Import and Export</v>
      </c>
      <c r="F579" s="43" t="str">
        <f>IFERROR(IF(UPPER(TRIM(Sheet1!J579))="NH","Nhava Sheva",IF(UPPER(TRIM(Sheet1!J579))="ICD","ICD Dhannad",IF(UPPER(TRIM(Sheet1!J579))="TIHI","ICD Tihi",Sheet1!J579))),0)</f>
        <v>Nhava Sheva</v>
      </c>
      <c r="G579" s="43" t="str">
        <f>IFERROR(Sheet1!M579,0)</f>
        <v>Said</v>
      </c>
      <c r="H579" s="43" t="str">
        <f>IFERROR(Sheet1!H579,0)</f>
        <v>Navio Shipping</v>
      </c>
      <c r="I579" s="43" t="str">
        <f>IFERROR(Sheet1!G579,0)</f>
        <v>FOB</v>
      </c>
      <c r="J579" s="43" t="str">
        <f>IFERROR(Sheet1!K579,0)</f>
        <v>Maersk</v>
      </c>
      <c r="K579" s="45">
        <f>IFERROR(Sheet1!A579,0)</f>
        <v>46150</v>
      </c>
      <c r="L579" s="45">
        <f>IFERROR(Sheet1!I579,0)</f>
        <v>46150</v>
      </c>
      <c r="M579" s="47" t="str">
        <f>IFERROR(Sheet1!P579,0)</f>
        <v>NA</v>
      </c>
      <c r="N579" s="46">
        <f>IFERROR(IF(ISNUMBER(Sheet1!N579),Sheet1!N579,0),0)</f>
        <v>0</v>
      </c>
      <c r="O579" s="46">
        <f>IFERROR(IF(TRIM(F579)="Nhava Sheva",SUMPRODUCT((UPPER(TRIM('Origin Costs'!$A$5:$A$44))=UPPER(TRIM(J579)))*'Origin Costs'!$C$5:$C$44),IF(TRIM(F579)="ICD Tihi",SUMPRODUCT((UPPER(TRIM('Origin Costs'!$A$49:$A$88))=UPPER(TRIM(J579)))*'Origin Costs'!$C$49:$C$88),IF(TRIM(F579)="ICD Dhannad",SUMPRODUCT((UPPER(TRIM('Origin Costs'!$A$93:$A$132))=UPPER(TRIM(J579)))*'Origin Costs'!$C$93:$C$132),0))),0)</f>
        <v>1148.588888888889</v>
      </c>
      <c r="P579" s="46">
        <f t="shared" si="9"/>
        <v>1148.588888888889</v>
      </c>
      <c r="Q579" s="13" t="str">
        <f>IF(OR(Dashboard!$C$4="All Customers",$E579=Dashboard!$C$4),IF($E579="","",$P579+ROW()/10000000),"")</f>
        <v/>
      </c>
    </row>
    <row r="580" spans="1:17" ht="14.25" customHeight="1" x14ac:dyDescent="0.3">
      <c r="A580" s="39" t="str">
        <f>IFERROR("FY"&amp;TEXT(MOD(IF(MONTH(Sheet1!A580)&gt;=4,YEAR(Sheet1!A580),YEAR(Sheet1!A580)-1),100),"00")&amp;"-"&amp;TEXT(MOD(IF(MONTH(Sheet1!A580)&gt;=4,YEAR(Sheet1!A580),YEAR(Sheet1!A580)-1)+1,100),"00"),"")</f>
        <v>FY26-27</v>
      </c>
      <c r="B580" s="40" t="str">
        <f>IFERROR("Q"&amp;IF(MONTH(Sheet1!A580)&gt;=4,IF(MONTH(Sheet1!A580)&lt;=6,1,IF(MONTH(Sheet1!A580)&lt;=9,2,3)),4),"")</f>
        <v>Q1</v>
      </c>
      <c r="C580" s="39" t="str">
        <f>IFERROR(Sheet1!C580,0)</f>
        <v>Africa</v>
      </c>
      <c r="D580" s="39" t="str">
        <f>IFERROR(Sheet1!F580,0)</f>
        <v>Egypt</v>
      </c>
      <c r="E580" s="39" t="str">
        <f>IFERROR(Sheet1!E580,0)</f>
        <v>MSK Egypt For Import and Export</v>
      </c>
      <c r="F580" s="39" t="str">
        <f>IFERROR(IF(UPPER(TRIM(Sheet1!J580))="NH","Nhava Sheva",IF(UPPER(TRIM(Sheet1!J580))="ICD","ICD Dhannad",IF(UPPER(TRIM(Sheet1!J580))="TIHI","ICD Tihi",Sheet1!J580))),0)</f>
        <v>Nhava Sheva</v>
      </c>
      <c r="G580" s="39" t="str">
        <f>IFERROR(Sheet1!M580,0)</f>
        <v>Said</v>
      </c>
      <c r="H580" s="39" t="str">
        <f>IFERROR(Sheet1!H580,0)</f>
        <v>Navio Shipping</v>
      </c>
      <c r="I580" s="39" t="str">
        <f>IFERROR(Sheet1!G580,0)</f>
        <v>FOB</v>
      </c>
      <c r="J580" s="39" t="str">
        <f>IFERROR(Sheet1!K580,0)</f>
        <v>Maersk</v>
      </c>
      <c r="K580" s="41">
        <f>IFERROR(Sheet1!A580,0)</f>
        <v>46150</v>
      </c>
      <c r="L580" s="41">
        <f>IFERROR(Sheet1!I580,0)</f>
        <v>46150</v>
      </c>
      <c r="M580" s="47" t="str">
        <f>IFERROR(Sheet1!P580,0)</f>
        <v>NA</v>
      </c>
      <c r="N580" s="42">
        <f>IFERROR(IF(ISNUMBER(Sheet1!N580),Sheet1!N580,0),0)</f>
        <v>0</v>
      </c>
      <c r="O580" s="42">
        <f>IFERROR(IF(TRIM(F580)="Nhava Sheva",SUMPRODUCT((UPPER(TRIM('Origin Costs'!$A$5:$A$44))=UPPER(TRIM(J580)))*'Origin Costs'!$C$5:$C$44),IF(TRIM(F580)="ICD Tihi",SUMPRODUCT((UPPER(TRIM('Origin Costs'!$A$49:$A$88))=UPPER(TRIM(J580)))*'Origin Costs'!$C$49:$C$88),IF(TRIM(F580)="ICD Dhannad",SUMPRODUCT((UPPER(TRIM('Origin Costs'!$A$93:$A$132))=UPPER(TRIM(J580)))*'Origin Costs'!$C$93:$C$132),0))),0)</f>
        <v>1148.588888888889</v>
      </c>
      <c r="P580" s="42">
        <f t="shared" si="9"/>
        <v>1148.588888888889</v>
      </c>
      <c r="Q580" s="13" t="str">
        <f>IF(OR(Dashboard!$C$4="All Customers",$E580=Dashboard!$C$4),IF($E580="","",$P580+ROW()/10000000),"")</f>
        <v/>
      </c>
    </row>
    <row r="581" spans="1:17" ht="14.25" customHeight="1" x14ac:dyDescent="0.3">
      <c r="A581" s="43" t="str">
        <f>IFERROR("FY"&amp;TEXT(MOD(IF(MONTH(Sheet1!A581)&gt;=4,YEAR(Sheet1!A581),YEAR(Sheet1!A581)-1),100),"00")&amp;"-"&amp;TEXT(MOD(IF(MONTH(Sheet1!A581)&gt;=4,YEAR(Sheet1!A581),YEAR(Sheet1!A581)-1)+1,100),"00"),"")</f>
        <v>FY26-27</v>
      </c>
      <c r="B581" s="44" t="str">
        <f>IFERROR("Q"&amp;IF(MONTH(Sheet1!A581)&gt;=4,IF(MONTH(Sheet1!A581)&lt;=6,1,IF(MONTH(Sheet1!A581)&lt;=9,2,3)),4),"")</f>
        <v>Q1</v>
      </c>
      <c r="C581" s="43" t="str">
        <f>IFERROR(Sheet1!C581,0)</f>
        <v>MEA</v>
      </c>
      <c r="D581" s="43" t="str">
        <f>IFERROR(Sheet1!F581,0)</f>
        <v>Saudi Arabia</v>
      </c>
      <c r="E581" s="43" t="str">
        <f>IFERROR(Sheet1!E581,0)</f>
        <v>Bahwan, Saudi</v>
      </c>
      <c r="F581" s="43" t="str">
        <f>IFERROR(IF(UPPER(TRIM(Sheet1!J581))="NH","Nhava Sheva",IF(UPPER(TRIM(Sheet1!J581))="ICD","ICD Dhannad",IF(UPPER(TRIM(Sheet1!J581))="TIHI","ICD Tihi",Sheet1!J581))),0)</f>
        <v>Nhava Sheva</v>
      </c>
      <c r="G581" s="43" t="str">
        <f>IFERROR(Sheet1!M581,0)</f>
        <v>Jeddah</v>
      </c>
      <c r="H581" s="43" t="str">
        <f>IFERROR(Sheet1!H581,0)</f>
        <v>MM Global</v>
      </c>
      <c r="I581" s="43" t="str">
        <f>IFERROR(Sheet1!G581,0)</f>
        <v>FOB</v>
      </c>
      <c r="J581" s="43" t="str">
        <f>IFERROR(Sheet1!K581,0)</f>
        <v>Maersk</v>
      </c>
      <c r="K581" s="45">
        <f>IFERROR(Sheet1!A581,0)</f>
        <v>46153</v>
      </c>
      <c r="L581" s="45">
        <f>IFERROR(Sheet1!I581,0)</f>
        <v>46151</v>
      </c>
      <c r="M581" s="47" t="str">
        <f>IFERROR(Sheet1!P581,0)</f>
        <v>NA</v>
      </c>
      <c r="N581" s="46">
        <f>IFERROR(IF(ISNUMBER(Sheet1!N581),Sheet1!N581,0),0)</f>
        <v>0</v>
      </c>
      <c r="O581" s="46">
        <f>IFERROR(IF(TRIM(F581)="Nhava Sheva",SUMPRODUCT((UPPER(TRIM('Origin Costs'!$A$5:$A$44))=UPPER(TRIM(J581)))*'Origin Costs'!$C$5:$C$44),IF(TRIM(F581)="ICD Tihi",SUMPRODUCT((UPPER(TRIM('Origin Costs'!$A$49:$A$88))=UPPER(TRIM(J581)))*'Origin Costs'!$C$49:$C$88),IF(TRIM(F581)="ICD Dhannad",SUMPRODUCT((UPPER(TRIM('Origin Costs'!$A$93:$A$132))=UPPER(TRIM(J581)))*'Origin Costs'!$C$93:$C$132),0))),0)</f>
        <v>1148.588888888889</v>
      </c>
      <c r="P581" s="46">
        <f t="shared" si="9"/>
        <v>1148.588888888889</v>
      </c>
      <c r="Q581" s="13" t="str">
        <f>IF(OR(Dashboard!$C$4="All Customers",$E581=Dashboard!$C$4),IF($E581="","",$P581+ROW()/10000000),"")</f>
        <v/>
      </c>
    </row>
    <row r="582" spans="1:17" ht="14.25" customHeight="1" x14ac:dyDescent="0.3">
      <c r="A582" s="39" t="str">
        <f>IFERROR("FY"&amp;TEXT(MOD(IF(MONTH(Sheet1!A582)&gt;=4,YEAR(Sheet1!A582),YEAR(Sheet1!A582)-1),100),"00")&amp;"-"&amp;TEXT(MOD(IF(MONTH(Sheet1!A582)&gt;=4,YEAR(Sheet1!A582),YEAR(Sheet1!A582)-1)+1,100),"00"),"")</f>
        <v>FY26-27</v>
      </c>
      <c r="B582" s="40" t="str">
        <f>IFERROR("Q"&amp;IF(MONTH(Sheet1!A582)&gt;=4,IF(MONTH(Sheet1!A582)&lt;=6,1,IF(MONTH(Sheet1!A582)&lt;=9,2,3)),4),"")</f>
        <v>Q1</v>
      </c>
      <c r="C582" s="39" t="str">
        <f>IFERROR(Sheet1!C582,0)</f>
        <v>Europe</v>
      </c>
      <c r="D582" s="39" t="str">
        <f>IFERROR(Sheet1!F582,0)</f>
        <v>Latvia</v>
      </c>
      <c r="E582" s="39" t="str">
        <f>IFERROR(Sheet1!E582,0)</f>
        <v>Inter Cars, Latvia</v>
      </c>
      <c r="F582" s="39" t="str">
        <f>IFERROR(IF(UPPER(TRIM(Sheet1!J582))="NH","Nhava Sheva",IF(UPPER(TRIM(Sheet1!J582))="ICD","ICD Dhannad",IF(UPPER(TRIM(Sheet1!J582))="TIHI","ICD Tihi",Sheet1!J582))),0)</f>
        <v>Nhava Sheva</v>
      </c>
      <c r="G582" s="39" t="str">
        <f>IFERROR(Sheet1!M582,0)</f>
        <v>Riga</v>
      </c>
      <c r="H582" s="39" t="str">
        <f>IFERROR(Sheet1!H582,0)</f>
        <v>Marine Air</v>
      </c>
      <c r="I582" s="39" t="str">
        <f>IFERROR(Sheet1!G582,0)</f>
        <v>FOB</v>
      </c>
      <c r="J582" s="39" t="str">
        <f>IFERROR(Sheet1!K582,0)</f>
        <v>Maersk</v>
      </c>
      <c r="K582" s="41">
        <f>IFERROR(Sheet1!A582,0)</f>
        <v>46153</v>
      </c>
      <c r="L582" s="41">
        <f>IFERROR(Sheet1!I582,0)</f>
        <v>46150</v>
      </c>
      <c r="M582" s="47" t="str">
        <f>IFERROR(Sheet1!P582,0)</f>
        <v>NA</v>
      </c>
      <c r="N582" s="42">
        <f>IFERROR(IF(ISNUMBER(Sheet1!N582),Sheet1!N582,0),0)</f>
        <v>0</v>
      </c>
      <c r="O582" s="42">
        <f>IFERROR(IF(TRIM(F582)="Nhava Sheva",SUMPRODUCT((UPPER(TRIM('Origin Costs'!$A$5:$A$44))=UPPER(TRIM(J582)))*'Origin Costs'!$C$5:$C$44),IF(TRIM(F582)="ICD Tihi",SUMPRODUCT((UPPER(TRIM('Origin Costs'!$A$49:$A$88))=UPPER(TRIM(J582)))*'Origin Costs'!$C$49:$C$88),IF(TRIM(F582)="ICD Dhannad",SUMPRODUCT((UPPER(TRIM('Origin Costs'!$A$93:$A$132))=UPPER(TRIM(J582)))*'Origin Costs'!$C$93:$C$132),0))),0)</f>
        <v>1148.588888888889</v>
      </c>
      <c r="P582" s="42">
        <f t="shared" si="9"/>
        <v>1148.588888888889</v>
      </c>
      <c r="Q582" s="13" t="str">
        <f>IF(OR(Dashboard!$C$4="All Customers",$E582=Dashboard!$C$4),IF($E582="","",$P582+ROW()/10000000),"")</f>
        <v/>
      </c>
    </row>
    <row r="583" spans="1:17" ht="14.25" customHeight="1" x14ac:dyDescent="0.3">
      <c r="A583" s="43" t="str">
        <f>IFERROR("FY"&amp;TEXT(MOD(IF(MONTH(Sheet1!A583)&gt;=4,YEAR(Sheet1!A583),YEAR(Sheet1!A583)-1),100),"00")&amp;"-"&amp;TEXT(MOD(IF(MONTH(Sheet1!A583)&gt;=4,YEAR(Sheet1!A583),YEAR(Sheet1!A583)-1)+1,100),"00"),"")</f>
        <v>FY26-27</v>
      </c>
      <c r="B583" s="44" t="str">
        <f>IFERROR("Q"&amp;IF(MONTH(Sheet1!A583)&gt;=4,IF(MONTH(Sheet1!A583)&lt;=6,1,IF(MONTH(Sheet1!A583)&lt;=9,2,3)),4),"")</f>
        <v>Q1</v>
      </c>
      <c r="C583" s="43" t="str">
        <f>IFERROR(Sheet1!C583,0)</f>
        <v>Europe</v>
      </c>
      <c r="D583" s="43" t="str">
        <f>IFERROR(Sheet1!F583,0)</f>
        <v>Romania</v>
      </c>
      <c r="E583" s="43" t="str">
        <f>IFERROR(Sheet1!E583,0)</f>
        <v>Inter Cars, Romania</v>
      </c>
      <c r="F583" s="43" t="str">
        <f>IFERROR(IF(UPPER(TRIM(Sheet1!J583))="NH","Nhava Sheva",IF(UPPER(TRIM(Sheet1!J583))="ICD","ICD Dhannad",IF(UPPER(TRIM(Sheet1!J583))="TIHI","ICD Tihi",Sheet1!J583))),0)</f>
        <v>ICD Tihi</v>
      </c>
      <c r="G583" s="43" t="str">
        <f>IFERROR(Sheet1!M583,0)</f>
        <v>Constanta</v>
      </c>
      <c r="H583" s="43" t="str">
        <f>IFERROR(Sheet1!H583,0)</f>
        <v>DSV</v>
      </c>
      <c r="I583" s="43" t="str">
        <f>IFERROR(Sheet1!G583,0)</f>
        <v>FOB</v>
      </c>
      <c r="J583" s="43" t="str">
        <f>IFERROR(Sheet1!K583,0)</f>
        <v>MSC</v>
      </c>
      <c r="K583" s="45">
        <f>IFERROR(Sheet1!A583,0)</f>
        <v>46153</v>
      </c>
      <c r="L583" s="45">
        <f>IFERROR(Sheet1!I583,0)</f>
        <v>46150</v>
      </c>
      <c r="M583" s="47" t="str">
        <f>IFERROR(Sheet1!P583,0)</f>
        <v>NA</v>
      </c>
      <c r="N583" s="46">
        <f>IFERROR(IF(ISNUMBER(Sheet1!N583),Sheet1!N583,0),0)</f>
        <v>0</v>
      </c>
      <c r="O583" s="46">
        <f>IFERROR(IF(TRIM(F583)="Nhava Sheva",SUMPRODUCT((UPPER(TRIM('Origin Costs'!$A$5:$A$44))=UPPER(TRIM(J583)))*'Origin Costs'!$C$5:$C$44),IF(TRIM(F583)="ICD Tihi",SUMPRODUCT((UPPER(TRIM('Origin Costs'!$A$49:$A$88))=UPPER(TRIM(J583)))*'Origin Costs'!$C$49:$C$88),IF(TRIM(F583)="ICD Dhannad",SUMPRODUCT((UPPER(TRIM('Origin Costs'!$A$93:$A$132))=UPPER(TRIM(J583)))*'Origin Costs'!$C$93:$C$132),0))),0)</f>
        <v>1081.3333333333333</v>
      </c>
      <c r="P583" s="46">
        <f t="shared" si="9"/>
        <v>1081.3333333333333</v>
      </c>
      <c r="Q583" s="13" t="str">
        <f>IF(OR(Dashboard!$C$4="All Customers",$E583=Dashboard!$C$4),IF($E583="","",$P583+ROW()/10000000),"")</f>
        <v/>
      </c>
    </row>
    <row r="584" spans="1:17" ht="14.25" customHeight="1" x14ac:dyDescent="0.3">
      <c r="A584" s="39" t="str">
        <f>IFERROR("FY"&amp;TEXT(MOD(IF(MONTH(Sheet1!A584)&gt;=4,YEAR(Sheet1!A584),YEAR(Sheet1!A584)-1),100),"00")&amp;"-"&amp;TEXT(MOD(IF(MONTH(Sheet1!A584)&gt;=4,YEAR(Sheet1!A584),YEAR(Sheet1!A584)-1)+1,100),"00"),"")</f>
        <v>FY26-27</v>
      </c>
      <c r="B584" s="40" t="str">
        <f>IFERROR("Q"&amp;IF(MONTH(Sheet1!A584)&gt;=4,IF(MONTH(Sheet1!A584)&lt;=6,1,IF(MONTH(Sheet1!A584)&lt;=9,2,3)),4),"")</f>
        <v>Q1</v>
      </c>
      <c r="C584" s="39" t="str">
        <f>IFERROR(Sheet1!C584,0)</f>
        <v>Africa</v>
      </c>
      <c r="D584" s="39" t="str">
        <f>IFERROR(Sheet1!F584,0)</f>
        <v>South Africa</v>
      </c>
      <c r="E584" s="39" t="str">
        <f>IFERROR(Sheet1!E584,0)</f>
        <v>Vaal Tyre, South Africa</v>
      </c>
      <c r="F584" s="39" t="str">
        <f>IFERROR(IF(UPPER(TRIM(Sheet1!J584))="NH","Nhava Sheva",IF(UPPER(TRIM(Sheet1!J584))="ICD","ICD Dhannad",IF(UPPER(TRIM(Sheet1!J584))="TIHI","ICD Tihi",Sheet1!J584))),0)</f>
        <v>Nhava Sheva</v>
      </c>
      <c r="G584" s="39" t="str">
        <f>IFERROR(Sheet1!M584,0)</f>
        <v>Durban</v>
      </c>
      <c r="H584" s="39" t="str">
        <f>IFERROR(Sheet1!H584,0)</f>
        <v>DP World</v>
      </c>
      <c r="I584" s="39" t="str">
        <f>IFERROR(Sheet1!G584,0)</f>
        <v>FOB</v>
      </c>
      <c r="J584" s="39" t="str">
        <f>IFERROR(Sheet1!K584,0)</f>
        <v>MSC</v>
      </c>
      <c r="K584" s="41">
        <f>IFERROR(Sheet1!A584,0)</f>
        <v>46153</v>
      </c>
      <c r="L584" s="41">
        <f>IFERROR(Sheet1!I584,0)</f>
        <v>46151</v>
      </c>
      <c r="M584" s="47" t="str">
        <f>IFERROR(Sheet1!P584,0)</f>
        <v>NA</v>
      </c>
      <c r="N584" s="42">
        <f>IFERROR(IF(ISNUMBER(Sheet1!N584),Sheet1!N584,0),0)</f>
        <v>0</v>
      </c>
      <c r="O584" s="42">
        <f>IFERROR(IF(TRIM(F584)="Nhava Sheva",SUMPRODUCT((UPPER(TRIM('Origin Costs'!$A$5:$A$44))=UPPER(TRIM(J584)))*'Origin Costs'!$C$5:$C$44),IF(TRIM(F584)="ICD Tihi",SUMPRODUCT((UPPER(TRIM('Origin Costs'!$A$49:$A$88))=UPPER(TRIM(J584)))*'Origin Costs'!$C$49:$C$88),IF(TRIM(F584)="ICD Dhannad",SUMPRODUCT((UPPER(TRIM('Origin Costs'!$A$93:$A$132))=UPPER(TRIM(J584)))*'Origin Costs'!$C$93:$C$132),0))),0)</f>
        <v>1168.8222222222223</v>
      </c>
      <c r="P584" s="42">
        <f t="shared" si="9"/>
        <v>1168.8222222222223</v>
      </c>
      <c r="Q584" s="13" t="str">
        <f>IF(OR(Dashboard!$C$4="All Customers",$E584=Dashboard!$C$4),IF($E584="","",$P584+ROW()/10000000),"")</f>
        <v/>
      </c>
    </row>
    <row r="585" spans="1:17" ht="14.25" customHeight="1" x14ac:dyDescent="0.3">
      <c r="A585" s="43" t="str">
        <f>IFERROR("FY"&amp;TEXT(MOD(IF(MONTH(Sheet1!A585)&gt;=4,YEAR(Sheet1!A585),YEAR(Sheet1!A585)-1),100),"00")&amp;"-"&amp;TEXT(MOD(IF(MONTH(Sheet1!A585)&gt;=4,YEAR(Sheet1!A585),YEAR(Sheet1!A585)-1)+1,100),"00"),"")</f>
        <v>FY26-27</v>
      </c>
      <c r="B585" s="44" t="str">
        <f>IFERROR("Q"&amp;IF(MONTH(Sheet1!A585)&gt;=4,IF(MONTH(Sheet1!A585)&lt;=6,1,IF(MONTH(Sheet1!A585)&lt;=9,2,3)),4),"")</f>
        <v>Q1</v>
      </c>
      <c r="C585" s="43" t="str">
        <f>IFERROR(Sheet1!C585,0)</f>
        <v>Europe</v>
      </c>
      <c r="D585" s="43" t="str">
        <f>IFERROR(Sheet1!F585,0)</f>
        <v>Croatia</v>
      </c>
      <c r="E585" s="43" t="str">
        <f>IFERROR(Sheet1!E585,0)</f>
        <v>Inter Cars, Croatia</v>
      </c>
      <c r="F585" s="43" t="str">
        <f>IFERROR(IF(UPPER(TRIM(Sheet1!J585))="NH","Nhava Sheva",IF(UPPER(TRIM(Sheet1!J585))="ICD","ICD Dhannad",IF(UPPER(TRIM(Sheet1!J585))="TIHI","ICD Tihi",Sheet1!J585))),0)</f>
        <v>Nhava Sheva</v>
      </c>
      <c r="G585" s="43" t="str">
        <f>IFERROR(Sheet1!M585,0)</f>
        <v>Rijeka</v>
      </c>
      <c r="H585" s="43" t="str">
        <f>IFERROR(Sheet1!H585,0)</f>
        <v>Cargo Partner</v>
      </c>
      <c r="I585" s="43" t="str">
        <f>IFERROR(Sheet1!G585,0)</f>
        <v>FOB</v>
      </c>
      <c r="J585" s="43" t="str">
        <f>IFERROR(Sheet1!K585,0)</f>
        <v>CMA</v>
      </c>
      <c r="K585" s="45">
        <f>IFERROR(Sheet1!A585,0)</f>
        <v>46154</v>
      </c>
      <c r="L585" s="45">
        <f>IFERROR(Sheet1!I585,0)</f>
        <v>46152</v>
      </c>
      <c r="M585" s="47" t="str">
        <f>IFERROR(Sheet1!P585,0)</f>
        <v>NA</v>
      </c>
      <c r="N585" s="46">
        <f>IFERROR(IF(ISNUMBER(Sheet1!N585),Sheet1!N585,0),0)</f>
        <v>0</v>
      </c>
      <c r="O585" s="46">
        <f>IFERROR(IF(TRIM(F585)="Nhava Sheva",SUMPRODUCT((UPPER(TRIM('Origin Costs'!$A$5:$A$44))=UPPER(TRIM(J585)))*'Origin Costs'!$C$5:$C$44),IF(TRIM(F585)="ICD Tihi",SUMPRODUCT((UPPER(TRIM('Origin Costs'!$A$49:$A$88))=UPPER(TRIM(J585)))*'Origin Costs'!$C$49:$C$88),IF(TRIM(F585)="ICD Dhannad",SUMPRODUCT((UPPER(TRIM('Origin Costs'!$A$93:$A$132))=UPPER(TRIM(J585)))*'Origin Costs'!$C$93:$C$132),0))),0)</f>
        <v>0</v>
      </c>
      <c r="P585" s="46">
        <f t="shared" si="9"/>
        <v>0</v>
      </c>
      <c r="Q585" s="13" t="str">
        <f>IF(OR(Dashboard!$C$4="All Customers",$E585=Dashboard!$C$4),IF($E585="","",$P585+ROW()/10000000),"")</f>
        <v/>
      </c>
    </row>
    <row r="586" spans="1:17" ht="14.25" customHeight="1" x14ac:dyDescent="0.3">
      <c r="A586" s="39" t="str">
        <f>IFERROR("FY"&amp;TEXT(MOD(IF(MONTH(Sheet1!A586)&gt;=4,YEAR(Sheet1!A586),YEAR(Sheet1!A586)-1),100),"00")&amp;"-"&amp;TEXT(MOD(IF(MONTH(Sheet1!A586)&gt;=4,YEAR(Sheet1!A586),YEAR(Sheet1!A586)-1)+1,100),"00"),"")</f>
        <v>FY26-27</v>
      </c>
      <c r="B586" s="40" t="str">
        <f>IFERROR("Q"&amp;IF(MONTH(Sheet1!A586)&gt;=4,IF(MONTH(Sheet1!A586)&lt;=6,1,IF(MONTH(Sheet1!A586)&lt;=9,2,3)),4),"")</f>
        <v>Q1</v>
      </c>
      <c r="C586" s="39" t="str">
        <f>IFERROR(Sheet1!C586,0)</f>
        <v>Europe</v>
      </c>
      <c r="D586" s="39" t="str">
        <f>IFERROR(Sheet1!F586,0)</f>
        <v>Croatia</v>
      </c>
      <c r="E586" s="39" t="str">
        <f>IFERROR(Sheet1!E586,0)</f>
        <v>Inter Cars, Croatia</v>
      </c>
      <c r="F586" s="39" t="str">
        <f>IFERROR(IF(UPPER(TRIM(Sheet1!J586))="NH","Nhava Sheva",IF(UPPER(TRIM(Sheet1!J586))="ICD","ICD Dhannad",IF(UPPER(TRIM(Sheet1!J586))="TIHI","ICD Tihi",Sheet1!J586))),0)</f>
        <v>Nhava Sheva</v>
      </c>
      <c r="G586" s="39" t="str">
        <f>IFERROR(Sheet1!M586,0)</f>
        <v>Rijeka</v>
      </c>
      <c r="H586" s="39" t="str">
        <f>IFERROR(Sheet1!H586,0)</f>
        <v>Cargo Partner</v>
      </c>
      <c r="I586" s="39" t="str">
        <f>IFERROR(Sheet1!G586,0)</f>
        <v>FOB</v>
      </c>
      <c r="J586" s="39" t="str">
        <f>IFERROR(Sheet1!K586,0)</f>
        <v>CMA</v>
      </c>
      <c r="K586" s="41">
        <f>IFERROR(Sheet1!A586,0)</f>
        <v>46154</v>
      </c>
      <c r="L586" s="41">
        <f>IFERROR(Sheet1!I586,0)</f>
        <v>46152</v>
      </c>
      <c r="M586" s="47" t="str">
        <f>IFERROR(Sheet1!P586,0)</f>
        <v>NA</v>
      </c>
      <c r="N586" s="42">
        <f>IFERROR(IF(ISNUMBER(Sheet1!N586),Sheet1!N586,0),0)</f>
        <v>0</v>
      </c>
      <c r="O586" s="42">
        <f>IFERROR(IF(TRIM(F586)="Nhava Sheva",SUMPRODUCT((UPPER(TRIM('Origin Costs'!$A$5:$A$44))=UPPER(TRIM(J586)))*'Origin Costs'!$C$5:$C$44),IF(TRIM(F586)="ICD Tihi",SUMPRODUCT((UPPER(TRIM('Origin Costs'!$A$49:$A$88))=UPPER(TRIM(J586)))*'Origin Costs'!$C$49:$C$88),IF(TRIM(F586)="ICD Dhannad",SUMPRODUCT((UPPER(TRIM('Origin Costs'!$A$93:$A$132))=UPPER(TRIM(J586)))*'Origin Costs'!$C$93:$C$132),0))),0)</f>
        <v>0</v>
      </c>
      <c r="P586" s="42">
        <f t="shared" si="9"/>
        <v>0</v>
      </c>
      <c r="Q586" s="13" t="str">
        <f>IF(OR(Dashboard!$C$4="All Customers",$E586=Dashboard!$C$4),IF($E586="","",$P586+ROW()/10000000),"")</f>
        <v/>
      </c>
    </row>
    <row r="587" spans="1:17" ht="14.25" customHeight="1" x14ac:dyDescent="0.3">
      <c r="A587" s="43" t="str">
        <f>IFERROR("FY"&amp;TEXT(MOD(IF(MONTH(Sheet1!A587)&gt;=4,YEAR(Sheet1!A587),YEAR(Sheet1!A587)-1),100),"00")&amp;"-"&amp;TEXT(MOD(IF(MONTH(Sheet1!A587)&gt;=4,YEAR(Sheet1!A587),YEAR(Sheet1!A587)-1)+1,100),"00"),"")</f>
        <v>FY26-27</v>
      </c>
      <c r="B587" s="44" t="str">
        <f>IFERROR("Q"&amp;IF(MONTH(Sheet1!A587)&gt;=4,IF(MONTH(Sheet1!A587)&lt;=6,1,IF(MONTH(Sheet1!A587)&lt;=9,2,3)),4),"")</f>
        <v>Q1</v>
      </c>
      <c r="C587" s="43" t="str">
        <f>IFERROR(Sheet1!C587,0)</f>
        <v>CIS</v>
      </c>
      <c r="D587" s="43" t="str">
        <f>IFERROR(Sheet1!F587,0)</f>
        <v>Russia</v>
      </c>
      <c r="E587" s="43" t="str">
        <f>IFERROR(Sheet1!E587,0)</f>
        <v>West Lake, Russia</v>
      </c>
      <c r="F587" s="43" t="str">
        <f>IFERROR(IF(UPPER(TRIM(Sheet1!J587))="NH","Nhava Sheva",IF(UPPER(TRIM(Sheet1!J587))="ICD","ICD Dhannad",IF(UPPER(TRIM(Sheet1!J587))="TIHI","ICD Tihi",Sheet1!J587))),0)</f>
        <v>Nhava Sheva</v>
      </c>
      <c r="G587" s="43" t="str">
        <f>IFERROR(Sheet1!M587,0)</f>
        <v>St. Petersburg</v>
      </c>
      <c r="H587" s="43" t="str">
        <f>IFERROR(Sheet1!H587,0)</f>
        <v>Hub &amp; Links</v>
      </c>
      <c r="I587" s="43" t="str">
        <f>IFERROR(Sheet1!G587,0)</f>
        <v>FOB</v>
      </c>
      <c r="J587" s="43" t="str">
        <f>IFERROR(Sheet1!K587,0)</f>
        <v>M Line</v>
      </c>
      <c r="K587" s="45">
        <f>IFERROR(Sheet1!A587,0)</f>
        <v>46154</v>
      </c>
      <c r="L587" s="45">
        <f>IFERROR(Sheet1!I587,0)</f>
        <v>46152</v>
      </c>
      <c r="M587" s="47" t="str">
        <f>IFERROR(Sheet1!P587,0)</f>
        <v>NA</v>
      </c>
      <c r="N587" s="46">
        <f>IFERROR(IF(ISNUMBER(Sheet1!N587),Sheet1!N587,0),0)</f>
        <v>0</v>
      </c>
      <c r="O587" s="46">
        <f>IFERROR(IF(TRIM(F587)="Nhava Sheva",SUMPRODUCT((UPPER(TRIM('Origin Costs'!$A$5:$A$44))=UPPER(TRIM(J587)))*'Origin Costs'!$C$5:$C$44),IF(TRIM(F587)="ICD Tihi",SUMPRODUCT((UPPER(TRIM('Origin Costs'!$A$49:$A$88))=UPPER(TRIM(J587)))*'Origin Costs'!$C$49:$C$88),IF(TRIM(F587)="ICD Dhannad",SUMPRODUCT((UPPER(TRIM('Origin Costs'!$A$93:$A$132))=UPPER(TRIM(J587)))*'Origin Costs'!$C$93:$C$132),0))),0)</f>
        <v>0</v>
      </c>
      <c r="P587" s="46">
        <f t="shared" si="9"/>
        <v>0</v>
      </c>
      <c r="Q587" s="13" t="str">
        <f>IF(OR(Dashboard!$C$4="All Customers",$E587=Dashboard!$C$4),IF($E587="","",$P587+ROW()/10000000),"")</f>
        <v/>
      </c>
    </row>
    <row r="588" spans="1:17" ht="14.25" customHeight="1" x14ac:dyDescent="0.3">
      <c r="A588" s="39" t="str">
        <f>IFERROR("FY"&amp;TEXT(MOD(IF(MONTH(Sheet1!A588)&gt;=4,YEAR(Sheet1!A588),YEAR(Sheet1!A588)-1),100),"00")&amp;"-"&amp;TEXT(MOD(IF(MONTH(Sheet1!A588)&gt;=4,YEAR(Sheet1!A588),YEAR(Sheet1!A588)-1)+1,100),"00"),"")</f>
        <v>FY26-27</v>
      </c>
      <c r="B588" s="40" t="str">
        <f>IFERROR("Q"&amp;IF(MONTH(Sheet1!A588)&gt;=4,IF(MONTH(Sheet1!A588)&lt;=6,1,IF(MONTH(Sheet1!A588)&lt;=9,2,3)),4),"")</f>
        <v>Q1</v>
      </c>
      <c r="C588" s="39" t="str">
        <f>IFERROR(Sheet1!C588,0)</f>
        <v>CIS</v>
      </c>
      <c r="D588" s="39" t="str">
        <f>IFERROR(Sheet1!F588,0)</f>
        <v>Russia</v>
      </c>
      <c r="E588" s="39" t="str">
        <f>IFERROR(Sheet1!E588,0)</f>
        <v>West Lake, Russia</v>
      </c>
      <c r="F588" s="39" t="str">
        <f>IFERROR(IF(UPPER(TRIM(Sheet1!J588))="NH","Nhava Sheva",IF(UPPER(TRIM(Sheet1!J588))="ICD","ICD Dhannad",IF(UPPER(TRIM(Sheet1!J588))="TIHI","ICD Tihi",Sheet1!J588))),0)</f>
        <v>Nhava Sheva</v>
      </c>
      <c r="G588" s="39" t="str">
        <f>IFERROR(Sheet1!M588,0)</f>
        <v>St. Petersburg</v>
      </c>
      <c r="H588" s="39" t="str">
        <f>IFERROR(Sheet1!H588,0)</f>
        <v>Hub &amp; Links</v>
      </c>
      <c r="I588" s="39" t="str">
        <f>IFERROR(Sheet1!G588,0)</f>
        <v>FOB</v>
      </c>
      <c r="J588" s="39" t="str">
        <f>IFERROR(Sheet1!K588,0)</f>
        <v>M Line</v>
      </c>
      <c r="K588" s="41">
        <f>IFERROR(Sheet1!A588,0)</f>
        <v>46154</v>
      </c>
      <c r="L588" s="41">
        <f>IFERROR(Sheet1!I588,0)</f>
        <v>46152</v>
      </c>
      <c r="M588" s="47" t="str">
        <f>IFERROR(Sheet1!P588,0)</f>
        <v>NA</v>
      </c>
      <c r="N588" s="42">
        <f>IFERROR(IF(ISNUMBER(Sheet1!N588),Sheet1!N588,0),0)</f>
        <v>0</v>
      </c>
      <c r="O588" s="42">
        <f>IFERROR(IF(TRIM(F588)="Nhava Sheva",SUMPRODUCT((UPPER(TRIM('Origin Costs'!$A$5:$A$44))=UPPER(TRIM(J588)))*'Origin Costs'!$C$5:$C$44),IF(TRIM(F588)="ICD Tihi",SUMPRODUCT((UPPER(TRIM('Origin Costs'!$A$49:$A$88))=UPPER(TRIM(J588)))*'Origin Costs'!$C$49:$C$88),IF(TRIM(F588)="ICD Dhannad",SUMPRODUCT((UPPER(TRIM('Origin Costs'!$A$93:$A$132))=UPPER(TRIM(J588)))*'Origin Costs'!$C$93:$C$132),0))),0)</f>
        <v>0</v>
      </c>
      <c r="P588" s="42">
        <f t="shared" si="9"/>
        <v>0</v>
      </c>
      <c r="Q588" s="13" t="str">
        <f>IF(OR(Dashboard!$C$4="All Customers",$E588=Dashboard!$C$4),IF($E588="","",$P588+ROW()/10000000),"")</f>
        <v/>
      </c>
    </row>
    <row r="589" spans="1:17" ht="14.25" customHeight="1" x14ac:dyDescent="0.3">
      <c r="A589" s="43" t="str">
        <f>IFERROR("FY"&amp;TEXT(MOD(IF(MONTH(Sheet1!A589)&gt;=4,YEAR(Sheet1!A589),YEAR(Sheet1!A589)-1),100),"00")&amp;"-"&amp;TEXT(MOD(IF(MONTH(Sheet1!A589)&gt;=4,YEAR(Sheet1!A589),YEAR(Sheet1!A589)-1)+1,100),"00"),"")</f>
        <v>FY26-27</v>
      </c>
      <c r="B589" s="44" t="str">
        <f>IFERROR("Q"&amp;IF(MONTH(Sheet1!A589)&gt;=4,IF(MONTH(Sheet1!A589)&lt;=6,1,IF(MONTH(Sheet1!A589)&lt;=9,2,3)),4),"")</f>
        <v>Q1</v>
      </c>
      <c r="C589" s="43" t="str">
        <f>IFERROR(Sheet1!C589,0)</f>
        <v>Africa</v>
      </c>
      <c r="D589" s="43" t="str">
        <f>IFERROR(Sheet1!F589,0)</f>
        <v>Tanzania</v>
      </c>
      <c r="E589" s="43" t="str">
        <f>IFERROR(Sheet1!E589,0)</f>
        <v>SUMERU GLOBAL DMCC-Tanzania</v>
      </c>
      <c r="F589" s="43" t="str">
        <f>IFERROR(IF(UPPER(TRIM(Sheet1!J589))="NH","Nhava Sheva",IF(UPPER(TRIM(Sheet1!J589))="ICD","ICD Dhannad",IF(UPPER(TRIM(Sheet1!J589))="TIHI","ICD Tihi",Sheet1!J589))),0)</f>
        <v>Nhava Sheva</v>
      </c>
      <c r="G589" s="43" t="str">
        <f>IFERROR(Sheet1!M589,0)</f>
        <v>Dar es Salaam</v>
      </c>
      <c r="H589" s="43" t="str">
        <f>IFERROR(Sheet1!H589,0)</f>
        <v>Deugro</v>
      </c>
      <c r="I589" s="43" t="str">
        <f>IFERROR(Sheet1!G589,0)</f>
        <v>FOB</v>
      </c>
      <c r="J589" s="43" t="str">
        <f>IFERROR(Sheet1!K589,0)</f>
        <v>Maersk</v>
      </c>
      <c r="K589" s="45">
        <f>IFERROR(Sheet1!A589,0)</f>
        <v>46156</v>
      </c>
      <c r="L589" s="45">
        <f>IFERROR(Sheet1!I589,0)</f>
        <v>46154</v>
      </c>
      <c r="M589" s="47" t="str">
        <f>IFERROR(Sheet1!P589,0)</f>
        <v>NA</v>
      </c>
      <c r="N589" s="46">
        <f>IFERROR(IF(ISNUMBER(Sheet1!N589),Sheet1!N589,0),0)</f>
        <v>0</v>
      </c>
      <c r="O589" s="46">
        <f>IFERROR(IF(TRIM(F589)="Nhava Sheva",SUMPRODUCT((UPPER(TRIM('Origin Costs'!$A$5:$A$44))=UPPER(TRIM(J589)))*'Origin Costs'!$C$5:$C$44),IF(TRIM(F589)="ICD Tihi",SUMPRODUCT((UPPER(TRIM('Origin Costs'!$A$49:$A$88))=UPPER(TRIM(J589)))*'Origin Costs'!$C$49:$C$88),IF(TRIM(F589)="ICD Dhannad",SUMPRODUCT((UPPER(TRIM('Origin Costs'!$A$93:$A$132))=UPPER(TRIM(J589)))*'Origin Costs'!$C$93:$C$132),0))),0)</f>
        <v>1148.588888888889</v>
      </c>
      <c r="P589" s="46">
        <f t="shared" si="9"/>
        <v>1148.588888888889</v>
      </c>
      <c r="Q589" s="13" t="str">
        <f>IF(OR(Dashboard!$C$4="All Customers",$E589=Dashboard!$C$4),IF($E589="","",$P589+ROW()/10000000),"")</f>
        <v/>
      </c>
    </row>
    <row r="590" spans="1:17" ht="14.25" customHeight="1" x14ac:dyDescent="0.3">
      <c r="A590" s="39" t="str">
        <f>IFERROR("FY"&amp;TEXT(MOD(IF(MONTH(Sheet1!A590)&gt;=4,YEAR(Sheet1!A590),YEAR(Sheet1!A590)-1),100),"00")&amp;"-"&amp;TEXT(MOD(IF(MONTH(Sheet1!A590)&gt;=4,YEAR(Sheet1!A590),YEAR(Sheet1!A590)-1)+1,100),"00"),"")</f>
        <v>FY26-27</v>
      </c>
      <c r="B590" s="40" t="str">
        <f>IFERROR("Q"&amp;IF(MONTH(Sheet1!A590)&gt;=4,IF(MONTH(Sheet1!A590)&lt;=6,1,IF(MONTH(Sheet1!A590)&lt;=9,2,3)),4),"")</f>
        <v>Q1</v>
      </c>
      <c r="C590" s="39" t="str">
        <f>IFERROR(Sheet1!C590,0)</f>
        <v>Africa</v>
      </c>
      <c r="D590" s="39" t="str">
        <f>IFERROR(Sheet1!F590,0)</f>
        <v>Tanzania</v>
      </c>
      <c r="E590" s="39" t="str">
        <f>IFERROR(Sheet1!E590,0)</f>
        <v>SUMERU GLOBAL DMCC-Tanzania</v>
      </c>
      <c r="F590" s="39" t="str">
        <f>IFERROR(IF(UPPER(TRIM(Sheet1!J590))="NH","Nhava Sheva",IF(UPPER(TRIM(Sheet1!J590))="ICD","ICD Dhannad",IF(UPPER(TRIM(Sheet1!J590))="TIHI","ICD Tihi",Sheet1!J590))),0)</f>
        <v>Nhava Sheva</v>
      </c>
      <c r="G590" s="39" t="str">
        <f>IFERROR(Sheet1!M590,0)</f>
        <v>Dar es Salaam</v>
      </c>
      <c r="H590" s="39" t="str">
        <f>IFERROR(Sheet1!H590,0)</f>
        <v>Deugro</v>
      </c>
      <c r="I590" s="39" t="str">
        <f>IFERROR(Sheet1!G590,0)</f>
        <v>FOB</v>
      </c>
      <c r="J590" s="39" t="str">
        <f>IFERROR(Sheet1!K590,0)</f>
        <v>Maersk</v>
      </c>
      <c r="K590" s="41">
        <f>IFERROR(Sheet1!A590,0)</f>
        <v>46156</v>
      </c>
      <c r="L590" s="41">
        <f>IFERROR(Sheet1!I590,0)</f>
        <v>46154</v>
      </c>
      <c r="M590" s="47" t="str">
        <f>IFERROR(Sheet1!P590,0)</f>
        <v>NA</v>
      </c>
      <c r="N590" s="42">
        <f>IFERROR(IF(ISNUMBER(Sheet1!N590),Sheet1!N590,0),0)</f>
        <v>0</v>
      </c>
      <c r="O590" s="42">
        <f>IFERROR(IF(TRIM(F590)="Nhava Sheva",SUMPRODUCT((UPPER(TRIM('Origin Costs'!$A$5:$A$44))=UPPER(TRIM(J590)))*'Origin Costs'!$C$5:$C$44),IF(TRIM(F590)="ICD Tihi",SUMPRODUCT((UPPER(TRIM('Origin Costs'!$A$49:$A$88))=UPPER(TRIM(J590)))*'Origin Costs'!$C$49:$C$88),IF(TRIM(F590)="ICD Dhannad",SUMPRODUCT((UPPER(TRIM('Origin Costs'!$A$93:$A$132))=UPPER(TRIM(J590)))*'Origin Costs'!$C$93:$C$132),0))),0)</f>
        <v>1148.588888888889</v>
      </c>
      <c r="P590" s="42">
        <f t="shared" si="9"/>
        <v>1148.588888888889</v>
      </c>
      <c r="Q590" s="13" t="str">
        <f>IF(OR(Dashboard!$C$4="All Customers",$E590=Dashboard!$C$4),IF($E590="","",$P590+ROW()/10000000),"")</f>
        <v/>
      </c>
    </row>
    <row r="591" spans="1:17" ht="14.25" customHeight="1" x14ac:dyDescent="0.3">
      <c r="A591" s="43" t="str">
        <f>IFERROR("FY"&amp;TEXT(MOD(IF(MONTH(Sheet1!A591)&gt;=4,YEAR(Sheet1!A591),YEAR(Sheet1!A591)-1),100),"00")&amp;"-"&amp;TEXT(MOD(IF(MONTH(Sheet1!A591)&gt;=4,YEAR(Sheet1!A591),YEAR(Sheet1!A591)-1)+1,100),"00"),"")</f>
        <v>FY26-27</v>
      </c>
      <c r="B591" s="44" t="str">
        <f>IFERROR("Q"&amp;IF(MONTH(Sheet1!A591)&gt;=4,IF(MONTH(Sheet1!A591)&lt;=6,1,IF(MONTH(Sheet1!A591)&lt;=9,2,3)),4),"")</f>
        <v>Q1</v>
      </c>
      <c r="C591" s="43" t="str">
        <f>IFERROR(Sheet1!C591,0)</f>
        <v>Africa</v>
      </c>
      <c r="D591" s="43" t="str">
        <f>IFERROR(Sheet1!F591,0)</f>
        <v>Uganda</v>
      </c>
      <c r="E591" s="43" t="str">
        <f>IFERROR(Sheet1!E591,0)</f>
        <v>SUMERU GLOBAL DMCC-Uganda</v>
      </c>
      <c r="F591" s="43" t="str">
        <f>IFERROR(IF(UPPER(TRIM(Sheet1!J591))="NH","Nhava Sheva",IF(UPPER(TRIM(Sheet1!J591))="ICD","ICD Dhannad",IF(UPPER(TRIM(Sheet1!J591))="TIHI","ICD Tihi",Sheet1!J591))),0)</f>
        <v>Nhava Sheva</v>
      </c>
      <c r="G591" s="43" t="str">
        <f>IFERROR(Sheet1!M591,0)</f>
        <v>Dar es Salaam</v>
      </c>
      <c r="H591" s="43" t="str">
        <f>IFERROR(Sheet1!H591,0)</f>
        <v>Deugro</v>
      </c>
      <c r="I591" s="43" t="str">
        <f>IFERROR(Sheet1!G591,0)</f>
        <v>FOB</v>
      </c>
      <c r="J591" s="43" t="str">
        <f>IFERROR(Sheet1!K591,0)</f>
        <v>Maersk</v>
      </c>
      <c r="K591" s="45">
        <f>IFERROR(Sheet1!A591,0)</f>
        <v>46156</v>
      </c>
      <c r="L591" s="45">
        <f>IFERROR(Sheet1!I591,0)</f>
        <v>46154</v>
      </c>
      <c r="M591" s="47" t="str">
        <f>IFERROR(Sheet1!P591,0)</f>
        <v>NA</v>
      </c>
      <c r="N591" s="46">
        <f>IFERROR(IF(ISNUMBER(Sheet1!N591),Sheet1!N591,0),0)</f>
        <v>0</v>
      </c>
      <c r="O591" s="46">
        <f>IFERROR(IF(TRIM(F591)="Nhava Sheva",SUMPRODUCT((UPPER(TRIM('Origin Costs'!$A$5:$A$44))=UPPER(TRIM(J591)))*'Origin Costs'!$C$5:$C$44),IF(TRIM(F591)="ICD Tihi",SUMPRODUCT((UPPER(TRIM('Origin Costs'!$A$49:$A$88))=UPPER(TRIM(J591)))*'Origin Costs'!$C$49:$C$88),IF(TRIM(F591)="ICD Dhannad",SUMPRODUCT((UPPER(TRIM('Origin Costs'!$A$93:$A$132))=UPPER(TRIM(J591)))*'Origin Costs'!$C$93:$C$132),0))),0)</f>
        <v>1148.588888888889</v>
      </c>
      <c r="P591" s="46">
        <f t="shared" si="9"/>
        <v>1148.588888888889</v>
      </c>
      <c r="Q591" s="13" t="str">
        <f>IF(OR(Dashboard!$C$4="All Customers",$E591=Dashboard!$C$4),IF($E591="","",$P591+ROW()/10000000),"")</f>
        <v/>
      </c>
    </row>
    <row r="592" spans="1:17" ht="14.25" customHeight="1" x14ac:dyDescent="0.3">
      <c r="A592" s="39" t="str">
        <f>IFERROR("FY"&amp;TEXT(MOD(IF(MONTH(Sheet1!A592)&gt;=4,YEAR(Sheet1!A592),YEAR(Sheet1!A592)-1),100),"00")&amp;"-"&amp;TEXT(MOD(IF(MONTH(Sheet1!A592)&gt;=4,YEAR(Sheet1!A592),YEAR(Sheet1!A592)-1)+1,100),"00"),"")</f>
        <v>FY26-27</v>
      </c>
      <c r="B592" s="40" t="str">
        <f>IFERROR("Q"&amp;IF(MONTH(Sheet1!A592)&gt;=4,IF(MONTH(Sheet1!A592)&lt;=6,1,IF(MONTH(Sheet1!A592)&lt;=9,2,3)),4),"")</f>
        <v>Q1</v>
      </c>
      <c r="C592" s="39" t="str">
        <f>IFERROR(Sheet1!C592,0)</f>
        <v>S.A.</v>
      </c>
      <c r="D592" s="39" t="str">
        <f>IFERROR(Sheet1!F592,0)</f>
        <v>Panama</v>
      </c>
      <c r="E592" s="39" t="str">
        <f>IFERROR(Sheet1!E592,0)</f>
        <v>Suministros y Exportaciones Primor</v>
      </c>
      <c r="F592" s="39" t="str">
        <f>IFERROR(IF(UPPER(TRIM(Sheet1!J592))="NH","Nhava Sheva",IF(UPPER(TRIM(Sheet1!J592))="ICD","ICD Dhannad",IF(UPPER(TRIM(Sheet1!J592))="TIHI","ICD Tihi",Sheet1!J592))),0)</f>
        <v>ICD Tihi</v>
      </c>
      <c r="G592" s="39" t="str">
        <f>IFERROR(Sheet1!M592,0)</f>
        <v>Colon Free Zone</v>
      </c>
      <c r="H592" s="39" t="str">
        <f>IFERROR(Sheet1!H592,0)</f>
        <v>Sanjay Forwarder</v>
      </c>
      <c r="I592" s="39" t="str">
        <f>IFERROR(Sheet1!G592,0)</f>
        <v>CIF</v>
      </c>
      <c r="J592" s="39" t="str">
        <f>IFERROR(Sheet1!K592,0)</f>
        <v>Maersk</v>
      </c>
      <c r="K592" s="41">
        <f>IFERROR(Sheet1!A592,0)</f>
        <v>46156</v>
      </c>
      <c r="L592" s="41">
        <f>IFERROR(Sheet1!I592,0)</f>
        <v>46156</v>
      </c>
      <c r="M592" s="47" t="str">
        <f>IFERROR(Sheet1!P592,0)</f>
        <v>NA</v>
      </c>
      <c r="N592" s="42">
        <f>IFERROR(IF(ISNUMBER(Sheet1!N592),Sheet1!N592,0),0)</f>
        <v>2735</v>
      </c>
      <c r="O592" s="42">
        <f>IFERROR(IF(TRIM(F592)="Nhava Sheva",SUMPRODUCT((UPPER(TRIM('Origin Costs'!$A$5:$A$44))=UPPER(TRIM(J592)))*'Origin Costs'!$C$5:$C$44),IF(TRIM(F592)="ICD Tihi",SUMPRODUCT((UPPER(TRIM('Origin Costs'!$A$49:$A$88))=UPPER(TRIM(J592)))*'Origin Costs'!$C$49:$C$88),IF(TRIM(F592)="ICD Dhannad",SUMPRODUCT((UPPER(TRIM('Origin Costs'!$A$93:$A$132))=UPPER(TRIM(J592)))*'Origin Costs'!$C$93:$C$132),0))),0)</f>
        <v>1186.6333333333334</v>
      </c>
      <c r="P592" s="42">
        <f t="shared" si="9"/>
        <v>3921.6333333333332</v>
      </c>
      <c r="Q592" s="13" t="str">
        <f>IF(OR(Dashboard!$C$4="All Customers",$E592=Dashboard!$C$4),IF($E592="","",$P592+ROW()/10000000),"")</f>
        <v/>
      </c>
    </row>
    <row r="593" spans="1:17" ht="14.25" customHeight="1" x14ac:dyDescent="0.3">
      <c r="A593" s="43" t="str">
        <f>IFERROR("FY"&amp;TEXT(MOD(IF(MONTH(Sheet1!A593)&gt;=4,YEAR(Sheet1!A593),YEAR(Sheet1!A593)-1),100),"00")&amp;"-"&amp;TEXT(MOD(IF(MONTH(Sheet1!A593)&gt;=4,YEAR(Sheet1!A593),YEAR(Sheet1!A593)-1)+1,100),"00"),"")</f>
        <v>FY26-27</v>
      </c>
      <c r="B593" s="44" t="str">
        <f>IFERROR("Q"&amp;IF(MONTH(Sheet1!A593)&gt;=4,IF(MONTH(Sheet1!A593)&lt;=6,1,IF(MONTH(Sheet1!A593)&lt;=9,2,3)),4),"")</f>
        <v>Q1</v>
      </c>
      <c r="C593" s="43" t="str">
        <f>IFERROR(Sheet1!C593,0)</f>
        <v>S.A.</v>
      </c>
      <c r="D593" s="43" t="str">
        <f>IFERROR(Sheet1!F593,0)</f>
        <v>Panama</v>
      </c>
      <c r="E593" s="43" t="str">
        <f>IFERROR(Sheet1!E593,0)</f>
        <v>Suministros y Exportaciones Primor</v>
      </c>
      <c r="F593" s="43" t="str">
        <f>IFERROR(IF(UPPER(TRIM(Sheet1!J593))="NH","Nhava Sheva",IF(UPPER(TRIM(Sheet1!J593))="ICD","ICD Dhannad",IF(UPPER(TRIM(Sheet1!J593))="TIHI","ICD Tihi",Sheet1!J593))),0)</f>
        <v>ICD Tihi</v>
      </c>
      <c r="G593" s="43" t="str">
        <f>IFERROR(Sheet1!M593,0)</f>
        <v>Colon Free Zone</v>
      </c>
      <c r="H593" s="43" t="str">
        <f>IFERROR(Sheet1!H593,0)</f>
        <v>Sanjay Forwarder</v>
      </c>
      <c r="I593" s="43" t="str">
        <f>IFERROR(Sheet1!G593,0)</f>
        <v>CIF</v>
      </c>
      <c r="J593" s="43" t="str">
        <f>IFERROR(Sheet1!K593,0)</f>
        <v>Maersk</v>
      </c>
      <c r="K593" s="45">
        <f>IFERROR(Sheet1!A593,0)</f>
        <v>46156</v>
      </c>
      <c r="L593" s="45">
        <f>IFERROR(Sheet1!I593,0)</f>
        <v>46156</v>
      </c>
      <c r="M593" s="47" t="str">
        <f>IFERROR(Sheet1!P593,0)</f>
        <v>NA</v>
      </c>
      <c r="N593" s="46">
        <f>IFERROR(IF(ISNUMBER(Sheet1!N593),Sheet1!N593,0),0)</f>
        <v>2735</v>
      </c>
      <c r="O593" s="46">
        <f>IFERROR(IF(TRIM(F593)="Nhava Sheva",SUMPRODUCT((UPPER(TRIM('Origin Costs'!$A$5:$A$44))=UPPER(TRIM(J593)))*'Origin Costs'!$C$5:$C$44),IF(TRIM(F593)="ICD Tihi",SUMPRODUCT((UPPER(TRIM('Origin Costs'!$A$49:$A$88))=UPPER(TRIM(J593)))*'Origin Costs'!$C$49:$C$88),IF(TRIM(F593)="ICD Dhannad",SUMPRODUCT((UPPER(TRIM('Origin Costs'!$A$93:$A$132))=UPPER(TRIM(J593)))*'Origin Costs'!$C$93:$C$132),0))),0)</f>
        <v>1186.6333333333334</v>
      </c>
      <c r="P593" s="46">
        <f t="shared" si="9"/>
        <v>3921.6333333333332</v>
      </c>
      <c r="Q593" s="13" t="str">
        <f>IF(OR(Dashboard!$C$4="All Customers",$E593=Dashboard!$C$4),IF($E593="","",$P593+ROW()/10000000),"")</f>
        <v/>
      </c>
    </row>
    <row r="594" spans="1:17" ht="14.25" customHeight="1" x14ac:dyDescent="0.3">
      <c r="A594" s="39" t="str">
        <f>IFERROR("FY"&amp;TEXT(MOD(IF(MONTH(Sheet1!A594)&gt;=4,YEAR(Sheet1!A594),YEAR(Sheet1!A594)-1),100),"00")&amp;"-"&amp;TEXT(MOD(IF(MONTH(Sheet1!A594)&gt;=4,YEAR(Sheet1!A594),YEAR(Sheet1!A594)-1)+1,100),"00"),"")</f>
        <v>FY26-27</v>
      </c>
      <c r="B594" s="40" t="str">
        <f>IFERROR("Q"&amp;IF(MONTH(Sheet1!A594)&gt;=4,IF(MONTH(Sheet1!A594)&lt;=6,1,IF(MONTH(Sheet1!A594)&lt;=9,2,3)),4),"")</f>
        <v>Q1</v>
      </c>
      <c r="C594" s="39" t="str">
        <f>IFERROR(Sheet1!C594,0)</f>
        <v>S.A.</v>
      </c>
      <c r="D594" s="39" t="str">
        <f>IFERROR(Sheet1!F594,0)</f>
        <v>Paraguay</v>
      </c>
      <c r="E594" s="39" t="str">
        <f>IFERROR(Sheet1!E594,0)</f>
        <v>Autopiezas comercial E Industrial</v>
      </c>
      <c r="F594" s="39" t="str">
        <f>IFERROR(IF(UPPER(TRIM(Sheet1!J594))="NH","Nhava Sheva",IF(UPPER(TRIM(Sheet1!J594))="ICD","ICD Dhannad",IF(UPPER(TRIM(Sheet1!J594))="TIHI","ICD Tihi",Sheet1!J594))),0)</f>
        <v>ICD Tihi</v>
      </c>
      <c r="G594" s="39" t="str">
        <f>IFERROR(Sheet1!M594,0)</f>
        <v>Asuncion Port</v>
      </c>
      <c r="H594" s="39" t="str">
        <f>IFERROR(Sheet1!H594,0)</f>
        <v>VAARIDHI LOGISTICS</v>
      </c>
      <c r="I594" s="39" t="str">
        <f>IFERROR(Sheet1!G594,0)</f>
        <v>FOB</v>
      </c>
      <c r="J594" s="39" t="str">
        <f>IFERROR(Sheet1!K594,0)</f>
        <v>MSC</v>
      </c>
      <c r="K594" s="41">
        <f>IFERROR(Sheet1!A594,0)</f>
        <v>46158</v>
      </c>
      <c r="L594" s="41">
        <f>IFERROR(Sheet1!I594,0)</f>
        <v>46158</v>
      </c>
      <c r="M594" s="47" t="str">
        <f>IFERROR(Sheet1!P594,0)</f>
        <v>NA</v>
      </c>
      <c r="N594" s="42">
        <f>IFERROR(IF(ISNUMBER(Sheet1!N594),Sheet1!N594,0),0)</f>
        <v>0</v>
      </c>
      <c r="O594" s="42">
        <f>IFERROR(IF(TRIM(F594)="Nhava Sheva",SUMPRODUCT((UPPER(TRIM('Origin Costs'!$A$5:$A$44))=UPPER(TRIM(J594)))*'Origin Costs'!$C$5:$C$44),IF(TRIM(F594)="ICD Tihi",SUMPRODUCT((UPPER(TRIM('Origin Costs'!$A$49:$A$88))=UPPER(TRIM(J594)))*'Origin Costs'!$C$49:$C$88),IF(TRIM(F594)="ICD Dhannad",SUMPRODUCT((UPPER(TRIM('Origin Costs'!$A$93:$A$132))=UPPER(TRIM(J594)))*'Origin Costs'!$C$93:$C$132),0))),0)</f>
        <v>1081.3333333333333</v>
      </c>
      <c r="P594" s="42">
        <f t="shared" si="9"/>
        <v>1081.3333333333333</v>
      </c>
      <c r="Q594" s="13" t="str">
        <f>IF(OR(Dashboard!$C$4="All Customers",$E594=Dashboard!$C$4),IF($E594="","",$P594+ROW()/10000000),"")</f>
        <v/>
      </c>
    </row>
    <row r="595" spans="1:17" ht="14.25" customHeight="1" x14ac:dyDescent="0.3">
      <c r="A595" s="43" t="str">
        <f>IFERROR("FY"&amp;TEXT(MOD(IF(MONTH(Sheet1!A595)&gt;=4,YEAR(Sheet1!A595),YEAR(Sheet1!A595)-1),100),"00")&amp;"-"&amp;TEXT(MOD(IF(MONTH(Sheet1!A595)&gt;=4,YEAR(Sheet1!A595),YEAR(Sheet1!A595)-1)+1,100),"00"),"")</f>
        <v>FY26-27</v>
      </c>
      <c r="B595" s="44" t="str">
        <f>IFERROR("Q"&amp;IF(MONTH(Sheet1!A595)&gt;=4,IF(MONTH(Sheet1!A595)&lt;=6,1,IF(MONTH(Sheet1!A595)&lt;=9,2,3)),4),"")</f>
        <v>Q1</v>
      </c>
      <c r="C595" s="43" t="str">
        <f>IFERROR(Sheet1!C595,0)</f>
        <v>S.A.</v>
      </c>
      <c r="D595" s="43" t="str">
        <f>IFERROR(Sheet1!F595,0)</f>
        <v>Paraguay</v>
      </c>
      <c r="E595" s="43" t="str">
        <f>IFERROR(Sheet1!E595,0)</f>
        <v>Autopiezas comercial E Industrial</v>
      </c>
      <c r="F595" s="43" t="str">
        <f>IFERROR(IF(UPPER(TRIM(Sheet1!J595))="NH","Nhava Sheva",IF(UPPER(TRIM(Sheet1!J595))="ICD","ICD Dhannad",IF(UPPER(TRIM(Sheet1!J595))="TIHI","ICD Tihi",Sheet1!J595))),0)</f>
        <v>ICD Tihi</v>
      </c>
      <c r="G595" s="43" t="str">
        <f>IFERROR(Sheet1!M595,0)</f>
        <v>Asuncion Port</v>
      </c>
      <c r="H595" s="43" t="str">
        <f>IFERROR(Sheet1!H595,0)</f>
        <v>VAARIDHI LOGISTICS</v>
      </c>
      <c r="I595" s="43" t="str">
        <f>IFERROR(Sheet1!G595,0)</f>
        <v>FOB</v>
      </c>
      <c r="J595" s="43" t="str">
        <f>IFERROR(Sheet1!K595,0)</f>
        <v>MSC</v>
      </c>
      <c r="K595" s="45">
        <f>IFERROR(Sheet1!A595,0)</f>
        <v>46158</v>
      </c>
      <c r="L595" s="45">
        <f>IFERROR(Sheet1!I595,0)</f>
        <v>46158</v>
      </c>
      <c r="M595" s="47" t="str">
        <f>IFERROR(Sheet1!P595,0)</f>
        <v>NA</v>
      </c>
      <c r="N595" s="46">
        <f>IFERROR(IF(ISNUMBER(Sheet1!N595),Sheet1!N595,0),0)</f>
        <v>0</v>
      </c>
      <c r="O595" s="46">
        <f>IFERROR(IF(TRIM(F595)="Nhava Sheva",SUMPRODUCT((UPPER(TRIM('Origin Costs'!$A$5:$A$44))=UPPER(TRIM(J595)))*'Origin Costs'!$C$5:$C$44),IF(TRIM(F595)="ICD Tihi",SUMPRODUCT((UPPER(TRIM('Origin Costs'!$A$49:$A$88))=UPPER(TRIM(J595)))*'Origin Costs'!$C$49:$C$88),IF(TRIM(F595)="ICD Dhannad",SUMPRODUCT((UPPER(TRIM('Origin Costs'!$A$93:$A$132))=UPPER(TRIM(J595)))*'Origin Costs'!$C$93:$C$132),0))),0)</f>
        <v>1081.3333333333333</v>
      </c>
      <c r="P595" s="46">
        <f t="shared" si="9"/>
        <v>1081.3333333333333</v>
      </c>
      <c r="Q595" s="13" t="str">
        <f>IF(OR(Dashboard!$C$4="All Customers",$E595=Dashboard!$C$4),IF($E595="","",$P595+ROW()/10000000),"")</f>
        <v/>
      </c>
    </row>
    <row r="596" spans="1:17" ht="14.25" customHeight="1" x14ac:dyDescent="0.3">
      <c r="A596" s="39" t="str">
        <f>IFERROR("FY"&amp;TEXT(MOD(IF(MONTH(Sheet1!A596)&gt;=4,YEAR(Sheet1!A596),YEAR(Sheet1!A596)-1),100),"00")&amp;"-"&amp;TEXT(MOD(IF(MONTH(Sheet1!A596)&gt;=4,YEAR(Sheet1!A596),YEAR(Sheet1!A596)-1)+1,100),"00"),"")</f>
        <v>FY26-27</v>
      </c>
      <c r="B596" s="40" t="str">
        <f>IFERROR("Q"&amp;IF(MONTH(Sheet1!A596)&gt;=4,IF(MONTH(Sheet1!A596)&lt;=6,1,IF(MONTH(Sheet1!A596)&lt;=9,2,3)),4),"")</f>
        <v>Q1</v>
      </c>
      <c r="C596" s="39" t="str">
        <f>IFERROR(Sheet1!C596,0)</f>
        <v>Europe</v>
      </c>
      <c r="D596" s="39" t="str">
        <f>IFERROR(Sheet1!F596,0)</f>
        <v>Greece</v>
      </c>
      <c r="E596" s="39" t="str">
        <f>IFERROR(Sheet1!E596,0)</f>
        <v>Inter Cars, Greece</v>
      </c>
      <c r="F596" s="39" t="str">
        <f>IFERROR(IF(UPPER(TRIM(Sheet1!J596))="NH","Nhava Sheva",IF(UPPER(TRIM(Sheet1!J596))="ICD","ICD Dhannad",IF(UPPER(TRIM(Sheet1!J596))="TIHI","ICD Tihi",Sheet1!J596))),0)</f>
        <v>Nhava Sheva</v>
      </c>
      <c r="G596" s="39" t="str">
        <f>IFERROR(Sheet1!M596,0)</f>
        <v>PIRAEUS</v>
      </c>
      <c r="H596" s="39" t="str">
        <f>IFERROR(Sheet1!H596,0)</f>
        <v>Team Global</v>
      </c>
      <c r="I596" s="39" t="str">
        <f>IFERROR(Sheet1!G596,0)</f>
        <v>FOB</v>
      </c>
      <c r="J596" s="39" t="str">
        <f>IFERROR(Sheet1!K596,0)</f>
        <v>CMA</v>
      </c>
      <c r="K596" s="41">
        <f>IFERROR(Sheet1!A596,0)</f>
        <v>46158</v>
      </c>
      <c r="L596" s="41">
        <f>IFERROR(Sheet1!I596,0)</f>
        <v>46156</v>
      </c>
      <c r="M596" s="47" t="str">
        <f>IFERROR(Sheet1!P596,0)</f>
        <v>NA</v>
      </c>
      <c r="N596" s="42">
        <f>IFERROR(IF(ISNUMBER(Sheet1!N596),Sheet1!N596,0),0)</f>
        <v>0</v>
      </c>
      <c r="O596" s="42">
        <f>IFERROR(IF(TRIM(F596)="Nhava Sheva",SUMPRODUCT((UPPER(TRIM('Origin Costs'!$A$5:$A$44))=UPPER(TRIM(J596)))*'Origin Costs'!$C$5:$C$44),IF(TRIM(F596)="ICD Tihi",SUMPRODUCT((UPPER(TRIM('Origin Costs'!$A$49:$A$88))=UPPER(TRIM(J596)))*'Origin Costs'!$C$49:$C$88),IF(TRIM(F596)="ICD Dhannad",SUMPRODUCT((UPPER(TRIM('Origin Costs'!$A$93:$A$132))=UPPER(TRIM(J596)))*'Origin Costs'!$C$93:$C$132),0))),0)</f>
        <v>0</v>
      </c>
      <c r="P596" s="42">
        <f t="shared" si="9"/>
        <v>0</v>
      </c>
      <c r="Q596" s="13" t="str">
        <f>IF(OR(Dashboard!$C$4="All Customers",$E596=Dashboard!$C$4),IF($E596="","",$P596+ROW()/10000000),"")</f>
        <v/>
      </c>
    </row>
    <row r="597" spans="1:17" ht="14.25" customHeight="1" x14ac:dyDescent="0.3">
      <c r="A597" s="43" t="str">
        <f>IFERROR("FY"&amp;TEXT(MOD(IF(MONTH(Sheet1!A597)&gt;=4,YEAR(Sheet1!A597),YEAR(Sheet1!A597)-1),100),"00")&amp;"-"&amp;TEXT(MOD(IF(MONTH(Sheet1!A597)&gt;=4,YEAR(Sheet1!A597),YEAR(Sheet1!A597)-1)+1,100),"00"),"")</f>
        <v>FY26-27</v>
      </c>
      <c r="B597" s="44" t="str">
        <f>IFERROR("Q"&amp;IF(MONTH(Sheet1!A597)&gt;=4,IF(MONTH(Sheet1!A597)&lt;=6,1,IF(MONTH(Sheet1!A597)&lt;=9,2,3)),4),"")</f>
        <v>Q1</v>
      </c>
      <c r="C597" s="43" t="str">
        <f>IFERROR(Sheet1!C597,0)</f>
        <v>Europe</v>
      </c>
      <c r="D597" s="43" t="str">
        <f>IFERROR(Sheet1!F597,0)</f>
        <v>Greece</v>
      </c>
      <c r="E597" s="43" t="str">
        <f>IFERROR(Sheet1!E597,0)</f>
        <v>Inter Cars, Greece</v>
      </c>
      <c r="F597" s="43" t="str">
        <f>IFERROR(IF(UPPER(TRIM(Sheet1!J597))="NH","Nhava Sheva",IF(UPPER(TRIM(Sheet1!J597))="ICD","ICD Dhannad",IF(UPPER(TRIM(Sheet1!J597))="TIHI","ICD Tihi",Sheet1!J597))),0)</f>
        <v>Nhava Sheva</v>
      </c>
      <c r="G597" s="43" t="str">
        <f>IFERROR(Sheet1!M597,0)</f>
        <v>PIRAEUS</v>
      </c>
      <c r="H597" s="43" t="str">
        <f>IFERROR(Sheet1!H597,0)</f>
        <v>Team Global</v>
      </c>
      <c r="I597" s="43" t="str">
        <f>IFERROR(Sheet1!G597,0)</f>
        <v>FOB</v>
      </c>
      <c r="J597" s="43" t="str">
        <f>IFERROR(Sheet1!K597,0)</f>
        <v>CMA</v>
      </c>
      <c r="K597" s="45">
        <f>IFERROR(Sheet1!A597,0)</f>
        <v>46158</v>
      </c>
      <c r="L597" s="45">
        <f>IFERROR(Sheet1!I597,0)</f>
        <v>46156</v>
      </c>
      <c r="M597" s="47" t="str">
        <f>IFERROR(Sheet1!P597,0)</f>
        <v>NA</v>
      </c>
      <c r="N597" s="46">
        <f>IFERROR(IF(ISNUMBER(Sheet1!N597),Sheet1!N597,0),0)</f>
        <v>0</v>
      </c>
      <c r="O597" s="46">
        <f>IFERROR(IF(TRIM(F597)="Nhava Sheva",SUMPRODUCT((UPPER(TRIM('Origin Costs'!$A$5:$A$44))=UPPER(TRIM(J597)))*'Origin Costs'!$C$5:$C$44),IF(TRIM(F597)="ICD Tihi",SUMPRODUCT((UPPER(TRIM('Origin Costs'!$A$49:$A$88))=UPPER(TRIM(J597)))*'Origin Costs'!$C$49:$C$88),IF(TRIM(F597)="ICD Dhannad",SUMPRODUCT((UPPER(TRIM('Origin Costs'!$A$93:$A$132))=UPPER(TRIM(J597)))*'Origin Costs'!$C$93:$C$132),0))),0)</f>
        <v>0</v>
      </c>
      <c r="P597" s="46">
        <f t="shared" si="9"/>
        <v>0</v>
      </c>
      <c r="Q597" s="13" t="str">
        <f>IF(OR(Dashboard!$C$4="All Customers",$E597=Dashboard!$C$4),IF($E597="","",$P597+ROW()/10000000),"")</f>
        <v/>
      </c>
    </row>
    <row r="598" spans="1:17" ht="14.25" customHeight="1" x14ac:dyDescent="0.3">
      <c r="A598" s="39" t="str">
        <f>IFERROR("FY"&amp;TEXT(MOD(IF(MONTH(Sheet1!A598)&gt;=4,YEAR(Sheet1!A598),YEAR(Sheet1!A598)-1),100),"00")&amp;"-"&amp;TEXT(MOD(IF(MONTH(Sheet1!A598)&gt;=4,YEAR(Sheet1!A598),YEAR(Sheet1!A598)-1)+1,100),"00"),"")</f>
        <v>FY26-27</v>
      </c>
      <c r="B598" s="40" t="str">
        <f>IFERROR("Q"&amp;IF(MONTH(Sheet1!A598)&gt;=4,IF(MONTH(Sheet1!A598)&lt;=6,1,IF(MONTH(Sheet1!A598)&lt;=9,2,3)),4),"")</f>
        <v>Q1</v>
      </c>
      <c r="C598" s="39" t="str">
        <f>IFERROR(Sheet1!C598,0)</f>
        <v>Europe</v>
      </c>
      <c r="D598" s="39" t="str">
        <f>IFERROR(Sheet1!F598,0)</f>
        <v>Bulgaria</v>
      </c>
      <c r="E598" s="39" t="str">
        <f>IFERROR(Sheet1!E598,0)</f>
        <v>Transcar Vladi, Bulgaria</v>
      </c>
      <c r="F598" s="39" t="str">
        <f>IFERROR(IF(UPPER(TRIM(Sheet1!J598))="NH","Nhava Sheva",IF(UPPER(TRIM(Sheet1!J598))="ICD","ICD Dhannad",IF(UPPER(TRIM(Sheet1!J598))="TIHI","ICD Tihi",Sheet1!J598))),0)</f>
        <v>Nhava Sheva</v>
      </c>
      <c r="G598" s="39" t="str">
        <f>IFERROR(Sheet1!M598,0)</f>
        <v>Thessaloniki</v>
      </c>
      <c r="H598" s="39" t="str">
        <f>IFERROR(Sheet1!H598,0)</f>
        <v>Fortune GLS</v>
      </c>
      <c r="I598" s="39" t="str">
        <f>IFERROR(Sheet1!G598,0)</f>
        <v>FOB</v>
      </c>
      <c r="J598" s="39" t="str">
        <f>IFERROR(Sheet1!K598,0)</f>
        <v>Cosco</v>
      </c>
      <c r="K598" s="41">
        <f>IFERROR(Sheet1!A598,0)</f>
        <v>46158</v>
      </c>
      <c r="L598" s="41">
        <f>IFERROR(Sheet1!I598,0)</f>
        <v>46156</v>
      </c>
      <c r="M598" s="47" t="str">
        <f>IFERROR(Sheet1!P598,0)</f>
        <v>NA</v>
      </c>
      <c r="N598" s="42">
        <f>IFERROR(IF(ISNUMBER(Sheet1!N598),Sheet1!N598,0),0)</f>
        <v>0</v>
      </c>
      <c r="O598" s="42">
        <f>IFERROR(IF(TRIM(F598)="Nhava Sheva",SUMPRODUCT((UPPER(TRIM('Origin Costs'!$A$5:$A$44))=UPPER(TRIM(J598)))*'Origin Costs'!$C$5:$C$44),IF(TRIM(F598)="ICD Tihi",SUMPRODUCT((UPPER(TRIM('Origin Costs'!$A$49:$A$88))=UPPER(TRIM(J598)))*'Origin Costs'!$C$49:$C$88),IF(TRIM(F598)="ICD Dhannad",SUMPRODUCT((UPPER(TRIM('Origin Costs'!$A$93:$A$132))=UPPER(TRIM(J598)))*'Origin Costs'!$C$93:$C$132),0))),0)</f>
        <v>0</v>
      </c>
      <c r="P598" s="42">
        <f t="shared" si="9"/>
        <v>0</v>
      </c>
      <c r="Q598" s="13" t="str">
        <f>IF(OR(Dashboard!$C$4="All Customers",$E598=Dashboard!$C$4),IF($E598="","",$P598+ROW()/10000000),"")</f>
        <v/>
      </c>
    </row>
    <row r="599" spans="1:17" ht="14.25" customHeight="1" x14ac:dyDescent="0.3">
      <c r="A599" s="43" t="str">
        <f>IFERROR("FY"&amp;TEXT(MOD(IF(MONTH(Sheet1!A599)&gt;=4,YEAR(Sheet1!A599),YEAR(Sheet1!A599)-1),100),"00")&amp;"-"&amp;TEXT(MOD(IF(MONTH(Sheet1!A599)&gt;=4,YEAR(Sheet1!A599),YEAR(Sheet1!A599)-1)+1,100),"00"),"")</f>
        <v>FY26-27</v>
      </c>
      <c r="B599" s="44" t="str">
        <f>IFERROR("Q"&amp;IF(MONTH(Sheet1!A599)&gt;=4,IF(MONTH(Sheet1!A599)&lt;=6,1,IF(MONTH(Sheet1!A599)&lt;=9,2,3)),4),"")</f>
        <v>Q1</v>
      </c>
      <c r="C599" s="43" t="str">
        <f>IFERROR(Sheet1!C599,0)</f>
        <v>Europe</v>
      </c>
      <c r="D599" s="43" t="str">
        <f>IFERROR(Sheet1!F599,0)</f>
        <v>Bulgaria</v>
      </c>
      <c r="E599" s="43" t="str">
        <f>IFERROR(Sheet1!E599,0)</f>
        <v>Transcar Vladi, Bulgaria</v>
      </c>
      <c r="F599" s="43" t="str">
        <f>IFERROR(IF(UPPER(TRIM(Sheet1!J599))="NH","Nhava Sheva",IF(UPPER(TRIM(Sheet1!J599))="ICD","ICD Dhannad",IF(UPPER(TRIM(Sheet1!J599))="TIHI","ICD Tihi",Sheet1!J599))),0)</f>
        <v>Nhava Sheva</v>
      </c>
      <c r="G599" s="43" t="str">
        <f>IFERROR(Sheet1!M599,0)</f>
        <v>Thessaloniki</v>
      </c>
      <c r="H599" s="43" t="str">
        <f>IFERROR(Sheet1!H599,0)</f>
        <v>Fortune GLS</v>
      </c>
      <c r="I599" s="43" t="str">
        <f>IFERROR(Sheet1!G599,0)</f>
        <v>FOB</v>
      </c>
      <c r="J599" s="43" t="str">
        <f>IFERROR(Sheet1!K599,0)</f>
        <v>Cosco</v>
      </c>
      <c r="K599" s="45">
        <f>IFERROR(Sheet1!A599,0)</f>
        <v>46158</v>
      </c>
      <c r="L599" s="45">
        <f>IFERROR(Sheet1!I599,0)</f>
        <v>46156</v>
      </c>
      <c r="M599" s="47" t="str">
        <f>IFERROR(Sheet1!P599,0)</f>
        <v>NA</v>
      </c>
      <c r="N599" s="46">
        <f>IFERROR(IF(ISNUMBER(Sheet1!N599),Sheet1!N599,0),0)</f>
        <v>0</v>
      </c>
      <c r="O599" s="46">
        <f>IFERROR(IF(TRIM(F599)="Nhava Sheva",SUMPRODUCT((UPPER(TRIM('Origin Costs'!$A$5:$A$44))=UPPER(TRIM(J599)))*'Origin Costs'!$C$5:$C$44),IF(TRIM(F599)="ICD Tihi",SUMPRODUCT((UPPER(TRIM('Origin Costs'!$A$49:$A$88))=UPPER(TRIM(J599)))*'Origin Costs'!$C$49:$C$88),IF(TRIM(F599)="ICD Dhannad",SUMPRODUCT((UPPER(TRIM('Origin Costs'!$A$93:$A$132))=UPPER(TRIM(J599)))*'Origin Costs'!$C$93:$C$132),0))),0)</f>
        <v>0</v>
      </c>
      <c r="P599" s="46">
        <f t="shared" si="9"/>
        <v>0</v>
      </c>
      <c r="Q599" s="13" t="str">
        <f>IF(OR(Dashboard!$C$4="All Customers",$E599=Dashboard!$C$4),IF($E599="","",$P599+ROW()/10000000),"")</f>
        <v/>
      </c>
    </row>
    <row r="600" spans="1:17" ht="14.25" customHeight="1" x14ac:dyDescent="0.3">
      <c r="A600" s="39" t="str">
        <f>IFERROR("FY"&amp;TEXT(MOD(IF(MONTH(Sheet1!A600)&gt;=4,YEAR(Sheet1!A600),YEAR(Sheet1!A600)-1),100),"00")&amp;"-"&amp;TEXT(MOD(IF(MONTH(Sheet1!A600)&gt;=4,YEAR(Sheet1!A600),YEAR(Sheet1!A600)-1)+1,100),"00"),"")</f>
        <v>FY26-27</v>
      </c>
      <c r="B600" s="40" t="str">
        <f>IFERROR("Q"&amp;IF(MONTH(Sheet1!A600)&gt;=4,IF(MONTH(Sheet1!A600)&lt;=6,1,IF(MONTH(Sheet1!A600)&lt;=9,2,3)),4),"")</f>
        <v>Q1</v>
      </c>
      <c r="C600" s="39" t="str">
        <f>IFERROR(Sheet1!C600,0)</f>
        <v>MEA</v>
      </c>
      <c r="D600" s="39" t="str">
        <f>IFERROR(Sheet1!F600,0)</f>
        <v>Saudi Arabia</v>
      </c>
      <c r="E600" s="39" t="str">
        <f>IFERROR(Sheet1!E600,0)</f>
        <v>BAHWAN COMMERCIAL COMPANY</v>
      </c>
      <c r="F600" s="39" t="str">
        <f>IFERROR(IF(UPPER(TRIM(Sheet1!J600))="NH","Nhava Sheva",IF(UPPER(TRIM(Sheet1!J600))="ICD","ICD Dhannad",IF(UPPER(TRIM(Sheet1!J600))="TIHI","ICD Tihi",Sheet1!J600))),0)</f>
        <v>ICD Tihi</v>
      </c>
      <c r="G600" s="39" t="str">
        <f>IFERROR(Sheet1!M600,0)</f>
        <v>Jeddah</v>
      </c>
      <c r="H600" s="39" t="str">
        <f>IFERROR(Sheet1!H600,0)</f>
        <v>MM Global</v>
      </c>
      <c r="I600" s="39" t="str">
        <f>IFERROR(Sheet1!G600,0)</f>
        <v>FOB</v>
      </c>
      <c r="J600" s="39" t="str">
        <f>IFERROR(Sheet1!K600,0)</f>
        <v>Maersk</v>
      </c>
      <c r="K600" s="41">
        <f>IFERROR(Sheet1!A600,0)</f>
        <v>46159</v>
      </c>
      <c r="L600" s="41">
        <f>IFERROR(Sheet1!I600,0)</f>
        <v>46159</v>
      </c>
      <c r="M600" s="47" t="str">
        <f>IFERROR(Sheet1!P600,0)</f>
        <v>NA</v>
      </c>
      <c r="N600" s="42">
        <f>IFERROR(IF(ISNUMBER(Sheet1!N600),Sheet1!N600,0),0)</f>
        <v>0</v>
      </c>
      <c r="O600" s="42">
        <f>IFERROR(IF(TRIM(F600)="Nhava Sheva",SUMPRODUCT((UPPER(TRIM('Origin Costs'!$A$5:$A$44))=UPPER(TRIM(J600)))*'Origin Costs'!$C$5:$C$44),IF(TRIM(F600)="ICD Tihi",SUMPRODUCT((UPPER(TRIM('Origin Costs'!$A$49:$A$88))=UPPER(TRIM(J600)))*'Origin Costs'!$C$49:$C$88),IF(TRIM(F600)="ICD Dhannad",SUMPRODUCT((UPPER(TRIM('Origin Costs'!$A$93:$A$132))=UPPER(TRIM(J600)))*'Origin Costs'!$C$93:$C$132),0))),0)</f>
        <v>1186.6333333333334</v>
      </c>
      <c r="P600" s="42">
        <f t="shared" si="9"/>
        <v>1186.6333333333334</v>
      </c>
      <c r="Q600" s="13" t="str">
        <f>IF(OR(Dashboard!$C$4="All Customers",$E600=Dashboard!$C$4),IF($E600="","",$P600+ROW()/10000000),"")</f>
        <v/>
      </c>
    </row>
    <row r="601" spans="1:17" ht="14.25" customHeight="1" x14ac:dyDescent="0.3">
      <c r="A601" s="43" t="str">
        <f>IFERROR("FY"&amp;TEXT(MOD(IF(MONTH(Sheet1!A601)&gt;=4,YEAR(Sheet1!A601),YEAR(Sheet1!A601)-1),100),"00")&amp;"-"&amp;TEXT(MOD(IF(MONTH(Sheet1!A601)&gt;=4,YEAR(Sheet1!A601),YEAR(Sheet1!A601)-1)+1,100),"00"),"")</f>
        <v>FY26-27</v>
      </c>
      <c r="B601" s="44" t="str">
        <f>IFERROR("Q"&amp;IF(MONTH(Sheet1!A601)&gt;=4,IF(MONTH(Sheet1!A601)&lt;=6,1,IF(MONTH(Sheet1!A601)&lt;=9,2,3)),4),"")</f>
        <v>Q1</v>
      </c>
      <c r="C601" s="43" t="str">
        <f>IFERROR(Sheet1!C601,0)</f>
        <v>Africa</v>
      </c>
      <c r="D601" s="43" t="str">
        <f>IFERROR(Sheet1!F601,0)</f>
        <v>Mozambique</v>
      </c>
      <c r="E601" s="43" t="str">
        <f>IFERROR(Sheet1!E601,0)</f>
        <v>Sumeru Global, Mozambique</v>
      </c>
      <c r="F601" s="43" t="str">
        <f>IFERROR(IF(UPPER(TRIM(Sheet1!J601))="NH","Nhava Sheva",IF(UPPER(TRIM(Sheet1!J601))="ICD","ICD Dhannad",IF(UPPER(TRIM(Sheet1!J601))="TIHI","ICD Tihi",Sheet1!J601))),0)</f>
        <v>Nhava Sheva</v>
      </c>
      <c r="G601" s="43" t="str">
        <f>IFERROR(Sheet1!M601,0)</f>
        <v>Beira</v>
      </c>
      <c r="H601" s="43" t="str">
        <f>IFERROR(Sheet1!H601,0)</f>
        <v>Deugro</v>
      </c>
      <c r="I601" s="43" t="str">
        <f>IFERROR(Sheet1!G601,0)</f>
        <v>FOB</v>
      </c>
      <c r="J601" s="43" t="str">
        <f>IFERROR(Sheet1!K601,0)</f>
        <v>CMA</v>
      </c>
      <c r="K601" s="45">
        <f>IFERROR(Sheet1!A601,0)</f>
        <v>46161</v>
      </c>
      <c r="L601" s="45">
        <f>IFERROR(Sheet1!I601,0)</f>
        <v>46159</v>
      </c>
      <c r="M601" s="47" t="str">
        <f>IFERROR(Sheet1!P601,0)</f>
        <v>NA</v>
      </c>
      <c r="N601" s="46">
        <f>IFERROR(IF(ISNUMBER(Sheet1!N601),Sheet1!N601,0),0)</f>
        <v>0</v>
      </c>
      <c r="O601" s="46">
        <f>IFERROR(IF(TRIM(F601)="Nhava Sheva",SUMPRODUCT((UPPER(TRIM('Origin Costs'!$A$5:$A$44))=UPPER(TRIM(J601)))*'Origin Costs'!$C$5:$C$44),IF(TRIM(F601)="ICD Tihi",SUMPRODUCT((UPPER(TRIM('Origin Costs'!$A$49:$A$88))=UPPER(TRIM(J601)))*'Origin Costs'!$C$49:$C$88),IF(TRIM(F601)="ICD Dhannad",SUMPRODUCT((UPPER(TRIM('Origin Costs'!$A$93:$A$132))=UPPER(TRIM(J601)))*'Origin Costs'!$C$93:$C$132),0))),0)</f>
        <v>0</v>
      </c>
      <c r="P601" s="46">
        <f t="shared" si="9"/>
        <v>0</v>
      </c>
      <c r="Q601" s="13" t="str">
        <f>IF(OR(Dashboard!$C$4="All Customers",$E601=Dashboard!$C$4),IF($E601="","",$P601+ROW()/10000000),"")</f>
        <v/>
      </c>
    </row>
    <row r="602" spans="1:17" ht="14.25" customHeight="1" x14ac:dyDescent="0.3">
      <c r="A602" s="39" t="str">
        <f>IFERROR("FY"&amp;TEXT(MOD(IF(MONTH(Sheet1!A602)&gt;=4,YEAR(Sheet1!A602),YEAR(Sheet1!A602)-1),100),"00")&amp;"-"&amp;TEXT(MOD(IF(MONTH(Sheet1!A602)&gt;=4,YEAR(Sheet1!A602),YEAR(Sheet1!A602)-1)+1,100),"00"),"")</f>
        <v>FY26-27</v>
      </c>
      <c r="B602" s="40" t="str">
        <f>IFERROR("Q"&amp;IF(MONTH(Sheet1!A602)&gt;=4,IF(MONTH(Sheet1!A602)&lt;=6,1,IF(MONTH(Sheet1!A602)&lt;=9,2,3)),4),"")</f>
        <v>Q1</v>
      </c>
      <c r="C602" s="39" t="str">
        <f>IFERROR(Sheet1!C602,0)</f>
        <v>Africa</v>
      </c>
      <c r="D602" s="39" t="str">
        <f>IFERROR(Sheet1!F602,0)</f>
        <v>Mozambique</v>
      </c>
      <c r="E602" s="39" t="str">
        <f>IFERROR(Sheet1!E602,0)</f>
        <v>Sumeru Global, Mozambique</v>
      </c>
      <c r="F602" s="39" t="str">
        <f>IFERROR(IF(UPPER(TRIM(Sheet1!J602))="NH","Nhava Sheva",IF(UPPER(TRIM(Sheet1!J602))="ICD","ICD Dhannad",IF(UPPER(TRIM(Sheet1!J602))="TIHI","ICD Tihi",Sheet1!J602))),0)</f>
        <v>Nhava Sheva</v>
      </c>
      <c r="G602" s="39" t="str">
        <f>IFERROR(Sheet1!M602,0)</f>
        <v>Beira</v>
      </c>
      <c r="H602" s="39" t="str">
        <f>IFERROR(Sheet1!H602,0)</f>
        <v>Deugro</v>
      </c>
      <c r="I602" s="39" t="str">
        <f>IFERROR(Sheet1!G602,0)</f>
        <v>FOB</v>
      </c>
      <c r="J602" s="39" t="str">
        <f>IFERROR(Sheet1!K602,0)</f>
        <v>CMA</v>
      </c>
      <c r="K602" s="41">
        <f>IFERROR(Sheet1!A602,0)</f>
        <v>46161</v>
      </c>
      <c r="L602" s="41">
        <f>IFERROR(Sheet1!I602,0)</f>
        <v>46159</v>
      </c>
      <c r="M602" s="47" t="str">
        <f>IFERROR(Sheet1!P602,0)</f>
        <v>NA</v>
      </c>
      <c r="N602" s="42">
        <f>IFERROR(IF(ISNUMBER(Sheet1!N602),Sheet1!N602,0),0)</f>
        <v>0</v>
      </c>
      <c r="O602" s="42">
        <f>IFERROR(IF(TRIM(F602)="Nhava Sheva",SUMPRODUCT((UPPER(TRIM('Origin Costs'!$A$5:$A$44))=UPPER(TRIM(J602)))*'Origin Costs'!$C$5:$C$44),IF(TRIM(F602)="ICD Tihi",SUMPRODUCT((UPPER(TRIM('Origin Costs'!$A$49:$A$88))=UPPER(TRIM(J602)))*'Origin Costs'!$C$49:$C$88),IF(TRIM(F602)="ICD Dhannad",SUMPRODUCT((UPPER(TRIM('Origin Costs'!$A$93:$A$132))=UPPER(TRIM(J602)))*'Origin Costs'!$C$93:$C$132),0))),0)</f>
        <v>0</v>
      </c>
      <c r="P602" s="42">
        <f t="shared" si="9"/>
        <v>0</v>
      </c>
      <c r="Q602" s="13" t="str">
        <f>IF(OR(Dashboard!$C$4="All Customers",$E602=Dashboard!$C$4),IF($E602="","",$P602+ROW()/10000000),"")</f>
        <v/>
      </c>
    </row>
    <row r="603" spans="1:17" ht="14.25" customHeight="1" x14ac:dyDescent="0.3">
      <c r="A603" s="43" t="str">
        <f>IFERROR("FY"&amp;TEXT(MOD(IF(MONTH(Sheet1!A603)&gt;=4,YEAR(Sheet1!A603),YEAR(Sheet1!A603)-1),100),"00")&amp;"-"&amp;TEXT(MOD(IF(MONTH(Sheet1!A603)&gt;=4,YEAR(Sheet1!A603),YEAR(Sheet1!A603)-1)+1,100),"00"),"")</f>
        <v>FY26-27</v>
      </c>
      <c r="B603" s="44" t="str">
        <f>IFERROR("Q"&amp;IF(MONTH(Sheet1!A603)&gt;=4,IF(MONTH(Sheet1!A603)&lt;=6,1,IF(MONTH(Sheet1!A603)&lt;=9,2,3)),4),"")</f>
        <v>Q1</v>
      </c>
      <c r="C603" s="43" t="str">
        <f>IFERROR(Sheet1!C603,0)</f>
        <v>S.A.</v>
      </c>
      <c r="D603" s="43" t="str">
        <f>IFERROR(Sheet1!F603,0)</f>
        <v>Columbia</v>
      </c>
      <c r="E603" s="43" t="str">
        <f>IFERROR(Sheet1!E603,0)</f>
        <v>Redllantas, Colombia</v>
      </c>
      <c r="F603" s="43" t="str">
        <f>IFERROR(IF(UPPER(TRIM(Sheet1!J603))="NH","Nhava Sheva",IF(UPPER(TRIM(Sheet1!J603))="ICD","ICD Dhannad",IF(UPPER(TRIM(Sheet1!J603))="TIHI","ICD Tihi",Sheet1!J603))),0)</f>
        <v>Nhava Sheva</v>
      </c>
      <c r="G603" s="43" t="str">
        <f>IFERROR(Sheet1!M603,0)</f>
        <v>Buenaventura</v>
      </c>
      <c r="H603" s="43" t="str">
        <f>IFERROR(Sheet1!H603,0)</f>
        <v>Mentor Freight</v>
      </c>
      <c r="I603" s="43" t="str">
        <f>IFERROR(Sheet1!G603,0)</f>
        <v>FOB</v>
      </c>
      <c r="J603" s="43" t="str">
        <f>IFERROR(Sheet1!K603,0)</f>
        <v>MSC</v>
      </c>
      <c r="K603" s="45">
        <f>IFERROR(Sheet1!A603,0)</f>
        <v>46162</v>
      </c>
      <c r="L603" s="45">
        <f>IFERROR(Sheet1!I603,0)</f>
        <v>46160</v>
      </c>
      <c r="M603" s="47" t="str">
        <f>IFERROR(Sheet1!P603,0)</f>
        <v>NA</v>
      </c>
      <c r="N603" s="46">
        <f>IFERROR(IF(ISNUMBER(Sheet1!N603),Sheet1!N603,0),0)</f>
        <v>0</v>
      </c>
      <c r="O603" s="46">
        <f>IFERROR(IF(TRIM(F603)="Nhava Sheva",SUMPRODUCT((UPPER(TRIM('Origin Costs'!$A$5:$A$44))=UPPER(TRIM(J603)))*'Origin Costs'!$C$5:$C$44),IF(TRIM(F603)="ICD Tihi",SUMPRODUCT((UPPER(TRIM('Origin Costs'!$A$49:$A$88))=UPPER(TRIM(J603)))*'Origin Costs'!$C$49:$C$88),IF(TRIM(F603)="ICD Dhannad",SUMPRODUCT((UPPER(TRIM('Origin Costs'!$A$93:$A$132))=UPPER(TRIM(J603)))*'Origin Costs'!$C$93:$C$132),0))),0)</f>
        <v>1168.8222222222223</v>
      </c>
      <c r="P603" s="46">
        <f t="shared" si="9"/>
        <v>1168.8222222222223</v>
      </c>
      <c r="Q603" s="13" t="str">
        <f>IF(OR(Dashboard!$C$4="All Customers",$E603=Dashboard!$C$4),IF($E603="","",$P603+ROW()/10000000),"")</f>
        <v/>
      </c>
    </row>
    <row r="604" spans="1:17" ht="14.25" customHeight="1" x14ac:dyDescent="0.3">
      <c r="A604" s="39" t="str">
        <f>IFERROR("FY"&amp;TEXT(MOD(IF(MONTH(Sheet1!A604)&gt;=4,YEAR(Sheet1!A604),YEAR(Sheet1!A604)-1),100),"00")&amp;"-"&amp;TEXT(MOD(IF(MONTH(Sheet1!A604)&gt;=4,YEAR(Sheet1!A604),YEAR(Sheet1!A604)-1)+1,100),"00"),"")</f>
        <v>FY26-27</v>
      </c>
      <c r="B604" s="40" t="str">
        <f>IFERROR("Q"&amp;IF(MONTH(Sheet1!A604)&gt;=4,IF(MONTH(Sheet1!A604)&lt;=6,1,IF(MONTH(Sheet1!A604)&lt;=9,2,3)),4),"")</f>
        <v>Q1</v>
      </c>
      <c r="C604" s="39" t="str">
        <f>IFERROR(Sheet1!C604,0)</f>
        <v>S.A.</v>
      </c>
      <c r="D604" s="39" t="str">
        <f>IFERROR(Sheet1!F604,0)</f>
        <v>Columbia</v>
      </c>
      <c r="E604" s="39" t="str">
        <f>IFERROR(Sheet1!E604,0)</f>
        <v>Redllantas, Colombia</v>
      </c>
      <c r="F604" s="39" t="str">
        <f>IFERROR(IF(UPPER(TRIM(Sheet1!J604))="NH","Nhava Sheva",IF(UPPER(TRIM(Sheet1!J604))="ICD","ICD Dhannad",IF(UPPER(TRIM(Sheet1!J604))="TIHI","ICD Tihi",Sheet1!J604))),0)</f>
        <v>Nhava Sheva</v>
      </c>
      <c r="G604" s="39" t="str">
        <f>IFERROR(Sheet1!M604,0)</f>
        <v>Buenaventura</v>
      </c>
      <c r="H604" s="39" t="str">
        <f>IFERROR(Sheet1!H604,0)</f>
        <v>Mentor Freight</v>
      </c>
      <c r="I604" s="39" t="str">
        <f>IFERROR(Sheet1!G604,0)</f>
        <v>FOB</v>
      </c>
      <c r="J604" s="39" t="str">
        <f>IFERROR(Sheet1!K604,0)</f>
        <v>MSC</v>
      </c>
      <c r="K604" s="41">
        <f>IFERROR(Sheet1!A604,0)</f>
        <v>46162</v>
      </c>
      <c r="L604" s="41">
        <f>IFERROR(Sheet1!I604,0)</f>
        <v>46160</v>
      </c>
      <c r="M604" s="47" t="str">
        <f>IFERROR(Sheet1!P604,0)</f>
        <v>NA</v>
      </c>
      <c r="N604" s="42">
        <f>IFERROR(IF(ISNUMBER(Sheet1!N604),Sheet1!N604,0),0)</f>
        <v>0</v>
      </c>
      <c r="O604" s="42">
        <f>IFERROR(IF(TRIM(F604)="Nhava Sheva",SUMPRODUCT((UPPER(TRIM('Origin Costs'!$A$5:$A$44))=UPPER(TRIM(J604)))*'Origin Costs'!$C$5:$C$44),IF(TRIM(F604)="ICD Tihi",SUMPRODUCT((UPPER(TRIM('Origin Costs'!$A$49:$A$88))=UPPER(TRIM(J604)))*'Origin Costs'!$C$49:$C$88),IF(TRIM(F604)="ICD Dhannad",SUMPRODUCT((UPPER(TRIM('Origin Costs'!$A$93:$A$132))=UPPER(TRIM(J604)))*'Origin Costs'!$C$93:$C$132),0))),0)</f>
        <v>1168.8222222222223</v>
      </c>
      <c r="P604" s="42">
        <f t="shared" si="9"/>
        <v>1168.8222222222223</v>
      </c>
      <c r="Q604" s="13" t="str">
        <f>IF(OR(Dashboard!$C$4="All Customers",$E604=Dashboard!$C$4),IF($E604="","",$P604+ROW()/10000000),"")</f>
        <v/>
      </c>
    </row>
    <row r="605" spans="1:17" ht="14.25" customHeight="1" x14ac:dyDescent="0.3">
      <c r="A605" s="43" t="str">
        <f>IFERROR("FY"&amp;TEXT(MOD(IF(MONTH(Sheet1!A605)&gt;=4,YEAR(Sheet1!A605),YEAR(Sheet1!A605)-1),100),"00")&amp;"-"&amp;TEXT(MOD(IF(MONTH(Sheet1!A605)&gt;=4,YEAR(Sheet1!A605),YEAR(Sheet1!A605)-1)+1,100),"00"),"")</f>
        <v>FY26-27</v>
      </c>
      <c r="B605" s="44" t="str">
        <f>IFERROR("Q"&amp;IF(MONTH(Sheet1!A605)&gt;=4,IF(MONTH(Sheet1!A605)&lt;=6,1,IF(MONTH(Sheet1!A605)&lt;=9,2,3)),4),"")</f>
        <v>Q1</v>
      </c>
      <c r="C605" s="43" t="str">
        <f>IFERROR(Sheet1!C605,0)</f>
        <v>MEA</v>
      </c>
      <c r="D605" s="43" t="str">
        <f>IFERROR(Sheet1!F605,0)</f>
        <v>Oman</v>
      </c>
      <c r="E605" s="43" t="str">
        <f>IFERROR(Sheet1!E605,0)</f>
        <v>United Motors, Oman</v>
      </c>
      <c r="F605" s="43" t="str">
        <f>IFERROR(IF(UPPER(TRIM(Sheet1!J605))="NH","Nhava Sheva",IF(UPPER(TRIM(Sheet1!J605))="ICD","ICD Dhannad",IF(UPPER(TRIM(Sheet1!J605))="TIHI","ICD Tihi",Sheet1!J605))),0)</f>
        <v>Nhava Sheva</v>
      </c>
      <c r="G605" s="43" t="str">
        <f>IFERROR(Sheet1!M605,0)</f>
        <v>Sohar</v>
      </c>
      <c r="H605" s="43" t="str">
        <f>IFERROR(Sheet1!H605,0)</f>
        <v>DP World</v>
      </c>
      <c r="I605" s="43" t="str">
        <f>IFERROR(Sheet1!G605,0)</f>
        <v>CIF</v>
      </c>
      <c r="J605" s="43" t="str">
        <f>IFERROR(Sheet1!K605,0)</f>
        <v>MSC</v>
      </c>
      <c r="K605" s="45">
        <f>IFERROR(Sheet1!A605,0)</f>
        <v>46163</v>
      </c>
      <c r="L605" s="45">
        <f>IFERROR(Sheet1!I605,0)</f>
        <v>46160</v>
      </c>
      <c r="M605" s="47" t="str">
        <f>IFERROR(Sheet1!P605,0)</f>
        <v>NA</v>
      </c>
      <c r="N605" s="46">
        <f>IFERROR(IF(ISNUMBER(Sheet1!N605),Sheet1!N605,0),0)</f>
        <v>2900</v>
      </c>
      <c r="O605" s="46">
        <f>IFERROR(IF(TRIM(F605)="Nhava Sheva",SUMPRODUCT((UPPER(TRIM('Origin Costs'!$A$5:$A$44))=UPPER(TRIM(J605)))*'Origin Costs'!$C$5:$C$44),IF(TRIM(F605)="ICD Tihi",SUMPRODUCT((UPPER(TRIM('Origin Costs'!$A$49:$A$88))=UPPER(TRIM(J605)))*'Origin Costs'!$C$49:$C$88),IF(TRIM(F605)="ICD Dhannad",SUMPRODUCT((UPPER(TRIM('Origin Costs'!$A$93:$A$132))=UPPER(TRIM(J605)))*'Origin Costs'!$C$93:$C$132),0))),0)</f>
        <v>1168.8222222222223</v>
      </c>
      <c r="P605" s="46">
        <f t="shared" si="9"/>
        <v>4068.8222222222221</v>
      </c>
      <c r="Q605" s="13" t="str">
        <f>IF(OR(Dashboard!$C$4="All Customers",$E605=Dashboard!$C$4),IF($E605="","",$P605+ROW()/10000000),"")</f>
        <v/>
      </c>
    </row>
    <row r="606" spans="1:17" ht="14.25" customHeight="1" x14ac:dyDescent="0.3">
      <c r="A606" s="39" t="str">
        <f>IFERROR("FY"&amp;TEXT(MOD(IF(MONTH(Sheet1!A606)&gt;=4,YEAR(Sheet1!A606),YEAR(Sheet1!A606)-1),100),"00")&amp;"-"&amp;TEXT(MOD(IF(MONTH(Sheet1!A606)&gt;=4,YEAR(Sheet1!A606),YEAR(Sheet1!A606)-1)+1,100),"00"),"")</f>
        <v>FY26-27</v>
      </c>
      <c r="B606" s="40" t="str">
        <f>IFERROR("Q"&amp;IF(MONTH(Sheet1!A606)&gt;=4,IF(MONTH(Sheet1!A606)&lt;=6,1,IF(MONTH(Sheet1!A606)&lt;=9,2,3)),4),"")</f>
        <v>Q1</v>
      </c>
      <c r="C606" s="39" t="str">
        <f>IFERROR(Sheet1!C606,0)</f>
        <v>MEA</v>
      </c>
      <c r="D606" s="39" t="str">
        <f>IFERROR(Sheet1!F606,0)</f>
        <v>Oman</v>
      </c>
      <c r="E606" s="39" t="str">
        <f>IFERROR(Sheet1!E606,0)</f>
        <v>United Motors, Oman</v>
      </c>
      <c r="F606" s="39" t="str">
        <f>IFERROR(IF(UPPER(TRIM(Sheet1!J606))="NH","Nhava Sheva",IF(UPPER(TRIM(Sheet1!J606))="ICD","ICD Dhannad",IF(UPPER(TRIM(Sheet1!J606))="TIHI","ICD Tihi",Sheet1!J606))),0)</f>
        <v>Nhava Sheva</v>
      </c>
      <c r="G606" s="39" t="str">
        <f>IFERROR(Sheet1!M606,0)</f>
        <v>Sohar</v>
      </c>
      <c r="H606" s="39" t="str">
        <f>IFERROR(Sheet1!H606,0)</f>
        <v>DP World</v>
      </c>
      <c r="I606" s="39" t="str">
        <f>IFERROR(Sheet1!G606,0)</f>
        <v>CIF</v>
      </c>
      <c r="J606" s="39" t="str">
        <f>IFERROR(Sheet1!K606,0)</f>
        <v>MSC</v>
      </c>
      <c r="K606" s="41">
        <f>IFERROR(Sheet1!A606,0)</f>
        <v>46163</v>
      </c>
      <c r="L606" s="41">
        <f>IFERROR(Sheet1!I606,0)</f>
        <v>46160</v>
      </c>
      <c r="M606" s="47" t="str">
        <f>IFERROR(Sheet1!P606,0)</f>
        <v>NA</v>
      </c>
      <c r="N606" s="42">
        <f>IFERROR(IF(ISNUMBER(Sheet1!N606),Sheet1!N606,0),0)</f>
        <v>2900</v>
      </c>
      <c r="O606" s="42">
        <f>IFERROR(IF(TRIM(F606)="Nhava Sheva",SUMPRODUCT((UPPER(TRIM('Origin Costs'!$A$5:$A$44))=UPPER(TRIM(J606)))*'Origin Costs'!$C$5:$C$44),IF(TRIM(F606)="ICD Tihi",SUMPRODUCT((UPPER(TRIM('Origin Costs'!$A$49:$A$88))=UPPER(TRIM(J606)))*'Origin Costs'!$C$49:$C$88),IF(TRIM(F606)="ICD Dhannad",SUMPRODUCT((UPPER(TRIM('Origin Costs'!$A$93:$A$132))=UPPER(TRIM(J606)))*'Origin Costs'!$C$93:$C$132),0))),0)</f>
        <v>1168.8222222222223</v>
      </c>
      <c r="P606" s="42">
        <f t="shared" si="9"/>
        <v>4068.8222222222221</v>
      </c>
      <c r="Q606" s="13" t="str">
        <f>IF(OR(Dashboard!$C$4="All Customers",$E606=Dashboard!$C$4),IF($E606="","",$P606+ROW()/10000000),"")</f>
        <v/>
      </c>
    </row>
    <row r="607" spans="1:17" ht="14.25" customHeight="1" x14ac:dyDescent="0.3">
      <c r="A607" s="43" t="str">
        <f>IFERROR("FY"&amp;TEXT(MOD(IF(MONTH(Sheet1!A607)&gt;=4,YEAR(Sheet1!A607),YEAR(Sheet1!A607)-1),100),"00")&amp;"-"&amp;TEXT(MOD(IF(MONTH(Sheet1!A607)&gt;=4,YEAR(Sheet1!A607),YEAR(Sheet1!A607)-1)+1,100),"00"),"")</f>
        <v>FY26-27</v>
      </c>
      <c r="B607" s="44" t="str">
        <f>IFERROR("Q"&amp;IF(MONTH(Sheet1!A607)&gt;=4,IF(MONTH(Sheet1!A607)&lt;=6,1,IF(MONTH(Sheet1!A607)&lt;=9,2,3)),4),"")</f>
        <v>Q1</v>
      </c>
      <c r="C607" s="43" t="str">
        <f>IFERROR(Sheet1!C607,0)</f>
        <v>MEA</v>
      </c>
      <c r="D607" s="43" t="str">
        <f>IFERROR(Sheet1!F607,0)</f>
        <v>Oman</v>
      </c>
      <c r="E607" s="43" t="str">
        <f>IFERROR(Sheet1!E607,0)</f>
        <v>United Motors, Oman</v>
      </c>
      <c r="F607" s="43" t="str">
        <f>IFERROR(IF(UPPER(TRIM(Sheet1!J607))="NH","Nhava Sheva",IF(UPPER(TRIM(Sheet1!J607))="ICD","ICD Dhannad",IF(UPPER(TRIM(Sheet1!J607))="TIHI","ICD Tihi",Sheet1!J607))),0)</f>
        <v>Nhava Sheva</v>
      </c>
      <c r="G607" s="43" t="str">
        <f>IFERROR(Sheet1!M607,0)</f>
        <v>Sohar</v>
      </c>
      <c r="H607" s="43" t="str">
        <f>IFERROR(Sheet1!H607,0)</f>
        <v>DP World</v>
      </c>
      <c r="I607" s="43" t="str">
        <f>IFERROR(Sheet1!G607,0)</f>
        <v>CIF</v>
      </c>
      <c r="J607" s="43" t="str">
        <f>IFERROR(Sheet1!K607,0)</f>
        <v>MSC</v>
      </c>
      <c r="K607" s="45">
        <f>IFERROR(Sheet1!A607,0)</f>
        <v>46163</v>
      </c>
      <c r="L607" s="45">
        <f>IFERROR(Sheet1!I607,0)</f>
        <v>46160</v>
      </c>
      <c r="M607" s="47" t="str">
        <f>IFERROR(Sheet1!P607,0)</f>
        <v>NA</v>
      </c>
      <c r="N607" s="46">
        <f>IFERROR(IF(ISNUMBER(Sheet1!N607),Sheet1!N607,0),0)</f>
        <v>2900</v>
      </c>
      <c r="O607" s="46">
        <f>IFERROR(IF(TRIM(F607)="Nhava Sheva",SUMPRODUCT((UPPER(TRIM('Origin Costs'!$A$5:$A$44))=UPPER(TRIM(J607)))*'Origin Costs'!$C$5:$C$44),IF(TRIM(F607)="ICD Tihi",SUMPRODUCT((UPPER(TRIM('Origin Costs'!$A$49:$A$88))=UPPER(TRIM(J607)))*'Origin Costs'!$C$49:$C$88),IF(TRIM(F607)="ICD Dhannad",SUMPRODUCT((UPPER(TRIM('Origin Costs'!$A$93:$A$132))=UPPER(TRIM(J607)))*'Origin Costs'!$C$93:$C$132),0))),0)</f>
        <v>1168.8222222222223</v>
      </c>
      <c r="P607" s="46">
        <f t="shared" si="9"/>
        <v>4068.8222222222221</v>
      </c>
      <c r="Q607" s="13" t="str">
        <f>IF(OR(Dashboard!$C$4="All Customers",$E607=Dashboard!$C$4),IF($E607="","",$P607+ROW()/10000000),"")</f>
        <v/>
      </c>
    </row>
    <row r="608" spans="1:17" ht="14.25" customHeight="1" x14ac:dyDescent="0.3">
      <c r="A608" s="39" t="str">
        <f>IFERROR("FY"&amp;TEXT(MOD(IF(MONTH(Sheet1!A608)&gt;=4,YEAR(Sheet1!A608),YEAR(Sheet1!A608)-1),100),"00")&amp;"-"&amp;TEXT(MOD(IF(MONTH(Sheet1!A608)&gt;=4,YEAR(Sheet1!A608),YEAR(Sheet1!A608)-1)+1,100),"00"),"")</f>
        <v>FY26-27</v>
      </c>
      <c r="B608" s="40" t="str">
        <f>IFERROR("Q"&amp;IF(MONTH(Sheet1!A608)&gt;=4,IF(MONTH(Sheet1!A608)&lt;=6,1,IF(MONTH(Sheet1!A608)&lt;=9,2,3)),4),"")</f>
        <v>Q1</v>
      </c>
      <c r="C608" s="39" t="str">
        <f>IFERROR(Sheet1!C608,0)</f>
        <v>S.A.</v>
      </c>
      <c r="D608" s="39" t="str">
        <f>IFERROR(Sheet1!F608,0)</f>
        <v>Brazil</v>
      </c>
      <c r="E608" s="39" t="str">
        <f>IFERROR(Sheet1!E608,0)</f>
        <v>CPX Distribuidora, Brazil</v>
      </c>
      <c r="F608" s="39" t="str">
        <f>IFERROR(IF(UPPER(TRIM(Sheet1!J608))="NH","Nhava Sheva",IF(UPPER(TRIM(Sheet1!J608))="ICD","ICD Dhannad",IF(UPPER(TRIM(Sheet1!J608))="TIHI","ICD Tihi",Sheet1!J608))),0)</f>
        <v>ICD Tihi</v>
      </c>
      <c r="G608" s="39" t="str">
        <f>IFERROR(Sheet1!M608,0)</f>
        <v>Itajai</v>
      </c>
      <c r="H608" s="39" t="str">
        <f>IFERROR(Sheet1!H608,0)</f>
        <v>Asia Shipping</v>
      </c>
      <c r="I608" s="39" t="str">
        <f>IFERROR(Sheet1!G608,0)</f>
        <v>FOB</v>
      </c>
      <c r="J608" s="39" t="str">
        <f>IFERROR(Sheet1!K608,0)</f>
        <v>MSC</v>
      </c>
      <c r="K608" s="41">
        <f>IFERROR(Sheet1!A608,0)</f>
        <v>46164</v>
      </c>
      <c r="L608" s="41">
        <f>IFERROR(Sheet1!I608,0)</f>
        <v>46161</v>
      </c>
      <c r="M608" s="47" t="str">
        <f>IFERROR(Sheet1!P608,0)</f>
        <v>NA</v>
      </c>
      <c r="N608" s="42">
        <f>IFERROR(IF(ISNUMBER(Sheet1!N608),Sheet1!N608,0),0)</f>
        <v>0</v>
      </c>
      <c r="O608" s="42">
        <f>IFERROR(IF(TRIM(F608)="Nhava Sheva",SUMPRODUCT((UPPER(TRIM('Origin Costs'!$A$5:$A$44))=UPPER(TRIM(J608)))*'Origin Costs'!$C$5:$C$44),IF(TRIM(F608)="ICD Tihi",SUMPRODUCT((UPPER(TRIM('Origin Costs'!$A$49:$A$88))=UPPER(TRIM(J608)))*'Origin Costs'!$C$49:$C$88),IF(TRIM(F608)="ICD Dhannad",SUMPRODUCT((UPPER(TRIM('Origin Costs'!$A$93:$A$132))=UPPER(TRIM(J608)))*'Origin Costs'!$C$93:$C$132),0))),0)</f>
        <v>1081.3333333333333</v>
      </c>
      <c r="P608" s="42">
        <f t="shared" si="9"/>
        <v>1081.3333333333333</v>
      </c>
      <c r="Q608" s="13" t="str">
        <f>IF(OR(Dashboard!$C$4="All Customers",$E608=Dashboard!$C$4),IF($E608="","",$P608+ROW()/10000000),"")</f>
        <v/>
      </c>
    </row>
    <row r="609" spans="1:17" ht="14.25" customHeight="1" x14ac:dyDescent="0.3">
      <c r="A609" s="43" t="str">
        <f>IFERROR("FY"&amp;TEXT(MOD(IF(MONTH(Sheet1!A609)&gt;=4,YEAR(Sheet1!A609),YEAR(Sheet1!A609)-1),100),"00")&amp;"-"&amp;TEXT(MOD(IF(MONTH(Sheet1!A609)&gt;=4,YEAR(Sheet1!A609),YEAR(Sheet1!A609)-1)+1,100),"00"),"")</f>
        <v>FY26-27</v>
      </c>
      <c r="B609" s="44" t="str">
        <f>IFERROR("Q"&amp;IF(MONTH(Sheet1!A609)&gt;=4,IF(MONTH(Sheet1!A609)&lt;=6,1,IF(MONTH(Sheet1!A609)&lt;=9,2,3)),4),"")</f>
        <v>Q1</v>
      </c>
      <c r="C609" s="43" t="str">
        <f>IFERROR(Sheet1!C609,0)</f>
        <v>S.A.</v>
      </c>
      <c r="D609" s="43" t="str">
        <f>IFERROR(Sheet1!F609,0)</f>
        <v>Brazil</v>
      </c>
      <c r="E609" s="43" t="str">
        <f>IFERROR(Sheet1!E609,0)</f>
        <v>CPX Distribuidora, Brazil</v>
      </c>
      <c r="F609" s="43" t="str">
        <f>IFERROR(IF(UPPER(TRIM(Sheet1!J609))="NH","Nhava Sheva",IF(UPPER(TRIM(Sheet1!J609))="ICD","ICD Dhannad",IF(UPPER(TRIM(Sheet1!J609))="TIHI","ICD Tihi",Sheet1!J609))),0)</f>
        <v>ICD Tihi</v>
      </c>
      <c r="G609" s="43" t="str">
        <f>IFERROR(Sheet1!M609,0)</f>
        <v>Suape</v>
      </c>
      <c r="H609" s="43" t="str">
        <f>IFERROR(Sheet1!H609,0)</f>
        <v>Asia Shipping</v>
      </c>
      <c r="I609" s="43" t="str">
        <f>IFERROR(Sheet1!G609,0)</f>
        <v>FOB</v>
      </c>
      <c r="J609" s="43" t="str">
        <f>IFERROR(Sheet1!K609,0)</f>
        <v>MSC</v>
      </c>
      <c r="K609" s="45">
        <f>IFERROR(Sheet1!A609,0)</f>
        <v>46165</v>
      </c>
      <c r="L609" s="45">
        <f>IFERROR(Sheet1!I609,0)</f>
        <v>46164</v>
      </c>
      <c r="M609" s="47" t="str">
        <f>IFERROR(Sheet1!P609,0)</f>
        <v>NA</v>
      </c>
      <c r="N609" s="46">
        <f>IFERROR(IF(ISNUMBER(Sheet1!N609),Sheet1!N609,0),0)</f>
        <v>0</v>
      </c>
      <c r="O609" s="46">
        <f>IFERROR(IF(TRIM(F609)="Nhava Sheva",SUMPRODUCT((UPPER(TRIM('Origin Costs'!$A$5:$A$44))=UPPER(TRIM(J609)))*'Origin Costs'!$C$5:$C$44),IF(TRIM(F609)="ICD Tihi",SUMPRODUCT((UPPER(TRIM('Origin Costs'!$A$49:$A$88))=UPPER(TRIM(J609)))*'Origin Costs'!$C$49:$C$88),IF(TRIM(F609)="ICD Dhannad",SUMPRODUCT((UPPER(TRIM('Origin Costs'!$A$93:$A$132))=UPPER(TRIM(J609)))*'Origin Costs'!$C$93:$C$132),0))),0)</f>
        <v>1081.3333333333333</v>
      </c>
      <c r="P609" s="46">
        <f t="shared" si="9"/>
        <v>1081.3333333333333</v>
      </c>
      <c r="Q609" s="13" t="str">
        <f>IF(OR(Dashboard!$C$4="All Customers",$E609=Dashboard!$C$4),IF($E609="","",$P609+ROW()/10000000),"")</f>
        <v/>
      </c>
    </row>
    <row r="610" spans="1:17" ht="14.25" customHeight="1" x14ac:dyDescent="0.3">
      <c r="A610" s="39" t="str">
        <f>IFERROR("FY"&amp;TEXT(MOD(IF(MONTH(Sheet1!A610)&gt;=4,YEAR(Sheet1!A610),YEAR(Sheet1!A610)-1),100),"00")&amp;"-"&amp;TEXT(MOD(IF(MONTH(Sheet1!A610)&gt;=4,YEAR(Sheet1!A610),YEAR(Sheet1!A610)-1)+1,100),"00"),"")</f>
        <v>FY26-27</v>
      </c>
      <c r="B610" s="40" t="str">
        <f>IFERROR("Q"&amp;IF(MONTH(Sheet1!A610)&gt;=4,IF(MONTH(Sheet1!A610)&lt;=6,1,IF(MONTH(Sheet1!A610)&lt;=9,2,3)),4),"")</f>
        <v>Q1</v>
      </c>
      <c r="C610" s="39" t="str">
        <f>IFERROR(Sheet1!C610,0)</f>
        <v>Europe</v>
      </c>
      <c r="D610" s="39" t="str">
        <f>IFERROR(Sheet1!F610,0)</f>
        <v>Poland</v>
      </c>
      <c r="E610" s="39" t="str">
        <f>IFERROR(Sheet1!E610,0)</f>
        <v>Inter Cars S.A.</v>
      </c>
      <c r="F610" s="39" t="str">
        <f>IFERROR(IF(UPPER(TRIM(Sheet1!J610))="NH","Nhava Sheva",IF(UPPER(TRIM(Sheet1!J610))="ICD","ICD Dhannad",IF(UPPER(TRIM(Sheet1!J610))="TIHI","ICD Tihi",Sheet1!J610))),0)</f>
        <v>Nhava Sheva</v>
      </c>
      <c r="G610" s="39" t="str">
        <f>IFERROR(Sheet1!M610,0)</f>
        <v>GDYNIA</v>
      </c>
      <c r="H610" s="39" t="str">
        <f>IFERROR(Sheet1!H610,0)</f>
        <v>VS Trans Lojistik</v>
      </c>
      <c r="I610" s="39" t="str">
        <f>IFERROR(Sheet1!G610,0)</f>
        <v>FOB</v>
      </c>
      <c r="J610" s="39" t="str">
        <f>IFERROR(Sheet1!K610,0)</f>
        <v>Maersk</v>
      </c>
      <c r="K610" s="41">
        <f>IFERROR(Sheet1!A610,0)</f>
        <v>46165</v>
      </c>
      <c r="L610" s="41">
        <f>IFERROR(Sheet1!I610,0)</f>
        <v>46165</v>
      </c>
      <c r="M610" s="47" t="str">
        <f>IFERROR(Sheet1!P610,0)</f>
        <v>NA</v>
      </c>
      <c r="N610" s="42">
        <f>IFERROR(IF(ISNUMBER(Sheet1!N610),Sheet1!N610,0),0)</f>
        <v>0</v>
      </c>
      <c r="O610" s="42">
        <f>IFERROR(IF(TRIM(F610)="Nhava Sheva",SUMPRODUCT((UPPER(TRIM('Origin Costs'!$A$5:$A$44))=UPPER(TRIM(J610)))*'Origin Costs'!$C$5:$C$44),IF(TRIM(F610)="ICD Tihi",SUMPRODUCT((UPPER(TRIM('Origin Costs'!$A$49:$A$88))=UPPER(TRIM(J610)))*'Origin Costs'!$C$49:$C$88),IF(TRIM(F610)="ICD Dhannad",SUMPRODUCT((UPPER(TRIM('Origin Costs'!$A$93:$A$132))=UPPER(TRIM(J610)))*'Origin Costs'!$C$93:$C$132),0))),0)</f>
        <v>1148.588888888889</v>
      </c>
      <c r="P610" s="42">
        <f t="shared" si="9"/>
        <v>1148.588888888889</v>
      </c>
      <c r="Q610" s="13" t="str">
        <f>IF(OR(Dashboard!$C$4="All Customers",$E610=Dashboard!$C$4),IF($E610="","",$P610+ROW()/10000000),"")</f>
        <v/>
      </c>
    </row>
    <row r="611" spans="1:17" ht="14.25" customHeight="1" x14ac:dyDescent="0.3">
      <c r="A611" s="43" t="str">
        <f>IFERROR("FY"&amp;TEXT(MOD(IF(MONTH(Sheet1!A611)&gt;=4,YEAR(Sheet1!A611),YEAR(Sheet1!A611)-1),100),"00")&amp;"-"&amp;TEXT(MOD(IF(MONTH(Sheet1!A611)&gt;=4,YEAR(Sheet1!A611),YEAR(Sheet1!A611)-1)+1,100),"00"),"")</f>
        <v>FY26-27</v>
      </c>
      <c r="B611" s="44" t="str">
        <f>IFERROR("Q"&amp;IF(MONTH(Sheet1!A611)&gt;=4,IF(MONTH(Sheet1!A611)&lt;=6,1,IF(MONTH(Sheet1!A611)&lt;=9,2,3)),4),"")</f>
        <v>Q1</v>
      </c>
      <c r="C611" s="43" t="str">
        <f>IFERROR(Sheet1!C611,0)</f>
        <v>Europe</v>
      </c>
      <c r="D611" s="43" t="str">
        <f>IFERROR(Sheet1!F611,0)</f>
        <v>Poland</v>
      </c>
      <c r="E611" s="43" t="str">
        <f>IFERROR(Sheet1!E611,0)</f>
        <v>Inter Cars S.A.</v>
      </c>
      <c r="F611" s="43" t="str">
        <f>IFERROR(IF(UPPER(TRIM(Sheet1!J611))="NH","Nhava Sheva",IF(UPPER(TRIM(Sheet1!J611))="ICD","ICD Dhannad",IF(UPPER(TRIM(Sheet1!J611))="TIHI","ICD Tihi",Sheet1!J611))),0)</f>
        <v>Nhava Sheva</v>
      </c>
      <c r="G611" s="43" t="str">
        <f>IFERROR(Sheet1!M611,0)</f>
        <v>GDYNIA</v>
      </c>
      <c r="H611" s="43" t="str">
        <f>IFERROR(Sheet1!H611,0)</f>
        <v>VS Trans Lojistik</v>
      </c>
      <c r="I611" s="43" t="str">
        <f>IFERROR(Sheet1!G611,0)</f>
        <v>FOB</v>
      </c>
      <c r="J611" s="43" t="str">
        <f>IFERROR(Sheet1!K611,0)</f>
        <v>Maersk</v>
      </c>
      <c r="K611" s="45">
        <f>IFERROR(Sheet1!A611,0)</f>
        <v>46165</v>
      </c>
      <c r="L611" s="45">
        <f>IFERROR(Sheet1!I611,0)</f>
        <v>46165</v>
      </c>
      <c r="M611" s="47" t="str">
        <f>IFERROR(Sheet1!P611,0)</f>
        <v>NA</v>
      </c>
      <c r="N611" s="46">
        <f>IFERROR(IF(ISNUMBER(Sheet1!N611),Sheet1!N611,0),0)</f>
        <v>0</v>
      </c>
      <c r="O611" s="46">
        <f>IFERROR(IF(TRIM(F611)="Nhava Sheva",SUMPRODUCT((UPPER(TRIM('Origin Costs'!$A$5:$A$44))=UPPER(TRIM(J611)))*'Origin Costs'!$C$5:$C$44),IF(TRIM(F611)="ICD Tihi",SUMPRODUCT((UPPER(TRIM('Origin Costs'!$A$49:$A$88))=UPPER(TRIM(J611)))*'Origin Costs'!$C$49:$C$88),IF(TRIM(F611)="ICD Dhannad",SUMPRODUCT((UPPER(TRIM('Origin Costs'!$A$93:$A$132))=UPPER(TRIM(J611)))*'Origin Costs'!$C$93:$C$132),0))),0)</f>
        <v>1148.588888888889</v>
      </c>
      <c r="P611" s="46">
        <f t="shared" si="9"/>
        <v>1148.588888888889</v>
      </c>
      <c r="Q611" s="13" t="str">
        <f>IF(OR(Dashboard!$C$4="All Customers",$E611=Dashboard!$C$4),IF($E611="","",$P611+ROW()/10000000),"")</f>
        <v/>
      </c>
    </row>
    <row r="612" spans="1:17" ht="14.25" customHeight="1" x14ac:dyDescent="0.3">
      <c r="A612" s="39" t="str">
        <f>IFERROR("FY"&amp;TEXT(MOD(IF(MONTH(Sheet1!A612)&gt;=4,YEAR(Sheet1!A612),YEAR(Sheet1!A612)-1),100),"00")&amp;"-"&amp;TEXT(MOD(IF(MONTH(Sheet1!A612)&gt;=4,YEAR(Sheet1!A612),YEAR(Sheet1!A612)-1)+1,100),"00"),"")</f>
        <v>FY26-27</v>
      </c>
      <c r="B612" s="40" t="str">
        <f>IFERROR("Q"&amp;IF(MONTH(Sheet1!A612)&gt;=4,IF(MONTH(Sheet1!A612)&lt;=6,1,IF(MONTH(Sheet1!A612)&lt;=9,2,3)),4),"")</f>
        <v>Q1</v>
      </c>
      <c r="C612" s="39" t="str">
        <f>IFERROR(Sheet1!C612,0)</f>
        <v>MEA</v>
      </c>
      <c r="D612" s="39" t="str">
        <f>IFERROR(Sheet1!F612,0)</f>
        <v>UAE</v>
      </c>
      <c r="E612" s="39" t="str">
        <f>IFERROR(Sheet1!E612,0)</f>
        <v>Easa Saleh Al Gurg,  UAE</v>
      </c>
      <c r="F612" s="39" t="str">
        <f>IFERROR(IF(UPPER(TRIM(Sheet1!J612))="NH","Nhava Sheva",IF(UPPER(TRIM(Sheet1!J612))="ICD","ICD Dhannad",IF(UPPER(TRIM(Sheet1!J612))="TIHI","ICD Tihi",Sheet1!J612))),0)</f>
        <v>Nhava Sheva</v>
      </c>
      <c r="G612" s="39" t="str">
        <f>IFERROR(Sheet1!M612,0)</f>
        <v>Jebel Ali</v>
      </c>
      <c r="H612" s="39" t="str">
        <f>IFERROR(Sheet1!H612,0)</f>
        <v>Seven Seas</v>
      </c>
      <c r="I612" s="39" t="str">
        <f>IFERROR(Sheet1!G612,0)</f>
        <v>CIF</v>
      </c>
      <c r="J612" s="39" t="str">
        <f>IFERROR(Sheet1!K612,0)</f>
        <v>MSC</v>
      </c>
      <c r="K612" s="41">
        <f>IFERROR(Sheet1!A612,0)</f>
        <v>46166</v>
      </c>
      <c r="L612" s="41">
        <f>IFERROR(Sheet1!I612,0)</f>
        <v>46162</v>
      </c>
      <c r="M612" s="47" t="str">
        <f>IFERROR(Sheet1!P612,0)</f>
        <v>NA</v>
      </c>
      <c r="N612" s="42">
        <f>IFERROR(IF(ISNUMBER(Sheet1!N612),Sheet1!N612,0),0)</f>
        <v>5275</v>
      </c>
      <c r="O612" s="42">
        <f>IFERROR(IF(TRIM(F612)="Nhava Sheva",SUMPRODUCT((UPPER(TRIM('Origin Costs'!$A$5:$A$44))=UPPER(TRIM(J612)))*'Origin Costs'!$C$5:$C$44),IF(TRIM(F612)="ICD Tihi",SUMPRODUCT((UPPER(TRIM('Origin Costs'!$A$49:$A$88))=UPPER(TRIM(J612)))*'Origin Costs'!$C$49:$C$88),IF(TRIM(F612)="ICD Dhannad",SUMPRODUCT((UPPER(TRIM('Origin Costs'!$A$93:$A$132))=UPPER(TRIM(J612)))*'Origin Costs'!$C$93:$C$132),0))),0)</f>
        <v>1168.8222222222223</v>
      </c>
      <c r="P612" s="42">
        <f t="shared" si="9"/>
        <v>6443.8222222222221</v>
      </c>
      <c r="Q612" s="13" t="str">
        <f>IF(OR(Dashboard!$C$4="All Customers",$E612=Dashboard!$C$4),IF($E612="","",$P612+ROW()/10000000),"")</f>
        <v/>
      </c>
    </row>
    <row r="613" spans="1:17" ht="14.25" customHeight="1" x14ac:dyDescent="0.3">
      <c r="A613" s="43" t="str">
        <f>IFERROR("FY"&amp;TEXT(MOD(IF(MONTH(Sheet1!A613)&gt;=4,YEAR(Sheet1!A613),YEAR(Sheet1!A613)-1),100),"00")&amp;"-"&amp;TEXT(MOD(IF(MONTH(Sheet1!A613)&gt;=4,YEAR(Sheet1!A613),YEAR(Sheet1!A613)-1)+1,100),"00"),"")</f>
        <v>FY26-27</v>
      </c>
      <c r="B613" s="44" t="str">
        <f>IFERROR("Q"&amp;IF(MONTH(Sheet1!A613)&gt;=4,IF(MONTH(Sheet1!A613)&lt;=6,1,IF(MONTH(Sheet1!A613)&lt;=9,2,3)),4),"")</f>
        <v>Q1</v>
      </c>
      <c r="C613" s="43" t="str">
        <f>IFERROR(Sheet1!C613,0)</f>
        <v>MEA</v>
      </c>
      <c r="D613" s="43" t="str">
        <f>IFERROR(Sheet1!F613,0)</f>
        <v>UAE</v>
      </c>
      <c r="E613" s="43" t="str">
        <f>IFERROR(Sheet1!E613,0)</f>
        <v>Easa Saleh Al Gurg,  UAE</v>
      </c>
      <c r="F613" s="43" t="str">
        <f>IFERROR(IF(UPPER(TRIM(Sheet1!J613))="NH","Nhava Sheva",IF(UPPER(TRIM(Sheet1!J613))="ICD","ICD Dhannad",IF(UPPER(TRIM(Sheet1!J613))="TIHI","ICD Tihi",Sheet1!J613))),0)</f>
        <v>Nhava Sheva</v>
      </c>
      <c r="G613" s="43" t="str">
        <f>IFERROR(Sheet1!M613,0)</f>
        <v>Jebel Ali</v>
      </c>
      <c r="H613" s="43" t="str">
        <f>IFERROR(Sheet1!H613,0)</f>
        <v>Seven Seas</v>
      </c>
      <c r="I613" s="43" t="str">
        <f>IFERROR(Sheet1!G613,0)</f>
        <v>CIF</v>
      </c>
      <c r="J613" s="43" t="str">
        <f>IFERROR(Sheet1!K613,0)</f>
        <v>MSC</v>
      </c>
      <c r="K613" s="45">
        <f>IFERROR(Sheet1!A613,0)</f>
        <v>46166</v>
      </c>
      <c r="L613" s="45">
        <f>IFERROR(Sheet1!I613,0)</f>
        <v>46162</v>
      </c>
      <c r="M613" s="47" t="str">
        <f>IFERROR(Sheet1!P613,0)</f>
        <v>NA</v>
      </c>
      <c r="N613" s="46">
        <f>IFERROR(IF(ISNUMBER(Sheet1!N613),Sheet1!N613,0),0)</f>
        <v>5275</v>
      </c>
      <c r="O613" s="46">
        <f>IFERROR(IF(TRIM(F613)="Nhava Sheva",SUMPRODUCT((UPPER(TRIM('Origin Costs'!$A$5:$A$44))=UPPER(TRIM(J613)))*'Origin Costs'!$C$5:$C$44),IF(TRIM(F613)="ICD Tihi",SUMPRODUCT((UPPER(TRIM('Origin Costs'!$A$49:$A$88))=UPPER(TRIM(J613)))*'Origin Costs'!$C$49:$C$88),IF(TRIM(F613)="ICD Dhannad",SUMPRODUCT((UPPER(TRIM('Origin Costs'!$A$93:$A$132))=UPPER(TRIM(J613)))*'Origin Costs'!$C$93:$C$132),0))),0)</f>
        <v>1168.8222222222223</v>
      </c>
      <c r="P613" s="46">
        <f t="shared" si="9"/>
        <v>6443.8222222222221</v>
      </c>
      <c r="Q613" s="13" t="str">
        <f>IF(OR(Dashboard!$C$4="All Customers",$E613=Dashboard!$C$4),IF($E613="","",$P613+ROW()/10000000),"")</f>
        <v/>
      </c>
    </row>
    <row r="614" spans="1:17" ht="14.25" customHeight="1" x14ac:dyDescent="0.3">
      <c r="A614" s="39" t="str">
        <f>IFERROR("FY"&amp;TEXT(MOD(IF(MONTH(Sheet1!A614)&gt;=4,YEAR(Sheet1!A614),YEAR(Sheet1!A614)-1),100),"00")&amp;"-"&amp;TEXT(MOD(IF(MONTH(Sheet1!A614)&gt;=4,YEAR(Sheet1!A614),YEAR(Sheet1!A614)-1)+1,100),"00"),"")</f>
        <v>FY26-27</v>
      </c>
      <c r="B614" s="40" t="str">
        <f>IFERROR("Q"&amp;IF(MONTH(Sheet1!A614)&gt;=4,IF(MONTH(Sheet1!A614)&lt;=6,1,IF(MONTH(Sheet1!A614)&lt;=9,2,3)),4),"")</f>
        <v>Q1</v>
      </c>
      <c r="C614" s="39" t="str">
        <f>IFERROR(Sheet1!C614,0)</f>
        <v>S.A.</v>
      </c>
      <c r="D614" s="39" t="str">
        <f>IFERROR(Sheet1!F614,0)</f>
        <v>Brazil</v>
      </c>
      <c r="E614" s="39" t="str">
        <f>IFERROR(Sheet1!E614,0)</f>
        <v>PREXX Comercio, Brazil</v>
      </c>
      <c r="F614" s="39" t="str">
        <f>IFERROR(IF(UPPER(TRIM(Sheet1!J614))="NH","Nhava Sheva",IF(UPPER(TRIM(Sheet1!J614))="ICD","ICD Dhannad",IF(UPPER(TRIM(Sheet1!J614))="TIHI","ICD Tihi",Sheet1!J614))),0)</f>
        <v>Nhava Sheva</v>
      </c>
      <c r="G614" s="39" t="str">
        <f>IFERROR(Sheet1!M614,0)</f>
        <v>NAVEGANTES</v>
      </c>
      <c r="H614" s="39" t="str">
        <f>IFERROR(Sheet1!H614,0)</f>
        <v>Cargo Marketing</v>
      </c>
      <c r="I614" s="39" t="str">
        <f>IFERROR(Sheet1!G614,0)</f>
        <v>FOB</v>
      </c>
      <c r="J614" s="39" t="str">
        <f>IFERROR(Sheet1!K614,0)</f>
        <v>MSC</v>
      </c>
      <c r="K614" s="41">
        <f>IFERROR(Sheet1!A614,0)</f>
        <v>46166</v>
      </c>
      <c r="L614" s="41">
        <f>IFERROR(Sheet1!I614,0)</f>
        <v>46162</v>
      </c>
      <c r="M614" s="47" t="str">
        <f>IFERROR(Sheet1!P614,0)</f>
        <v>NA</v>
      </c>
      <c r="N614" s="42">
        <f>IFERROR(IF(ISNUMBER(Sheet1!N614),Sheet1!N614,0),0)</f>
        <v>0</v>
      </c>
      <c r="O614" s="42">
        <f>IFERROR(IF(TRIM(F614)="Nhava Sheva",SUMPRODUCT((UPPER(TRIM('Origin Costs'!$A$5:$A$44))=UPPER(TRIM(J614)))*'Origin Costs'!$C$5:$C$44),IF(TRIM(F614)="ICD Tihi",SUMPRODUCT((UPPER(TRIM('Origin Costs'!$A$49:$A$88))=UPPER(TRIM(J614)))*'Origin Costs'!$C$49:$C$88),IF(TRIM(F614)="ICD Dhannad",SUMPRODUCT((UPPER(TRIM('Origin Costs'!$A$93:$A$132))=UPPER(TRIM(J614)))*'Origin Costs'!$C$93:$C$132),0))),0)</f>
        <v>1168.8222222222223</v>
      </c>
      <c r="P614" s="42">
        <f t="shared" si="9"/>
        <v>1168.8222222222223</v>
      </c>
      <c r="Q614" s="13" t="str">
        <f>IF(OR(Dashboard!$C$4="All Customers",$E614=Dashboard!$C$4),IF($E614="","",$P614+ROW()/10000000),"")</f>
        <v/>
      </c>
    </row>
    <row r="615" spans="1:17" ht="14.25" customHeight="1" x14ac:dyDescent="0.3">
      <c r="A615" s="43" t="str">
        <f>IFERROR("FY"&amp;TEXT(MOD(IF(MONTH(Sheet1!A615)&gt;=4,YEAR(Sheet1!A615),YEAR(Sheet1!A615)-1),100),"00")&amp;"-"&amp;TEXT(MOD(IF(MONTH(Sheet1!A615)&gt;=4,YEAR(Sheet1!A615),YEAR(Sheet1!A615)-1)+1,100),"00"),"")</f>
        <v>FY26-27</v>
      </c>
      <c r="B615" s="44" t="str">
        <f>IFERROR("Q"&amp;IF(MONTH(Sheet1!A615)&gt;=4,IF(MONTH(Sheet1!A615)&lt;=6,1,IF(MONTH(Sheet1!A615)&lt;=9,2,3)),4),"")</f>
        <v>Q1</v>
      </c>
      <c r="C615" s="43" t="str">
        <f>IFERROR(Sheet1!C615,0)</f>
        <v>S.A.</v>
      </c>
      <c r="D615" s="43" t="str">
        <f>IFERROR(Sheet1!F615,0)</f>
        <v>Brazil</v>
      </c>
      <c r="E615" s="43" t="str">
        <f>IFERROR(Sheet1!E615,0)</f>
        <v>PREXX Comercio, Brazil</v>
      </c>
      <c r="F615" s="43" t="str">
        <f>IFERROR(IF(UPPER(TRIM(Sheet1!J615))="NH","Nhava Sheva",IF(UPPER(TRIM(Sheet1!J615))="ICD","ICD Dhannad",IF(UPPER(TRIM(Sheet1!J615))="TIHI","ICD Tihi",Sheet1!J615))),0)</f>
        <v>Nhava Sheva</v>
      </c>
      <c r="G615" s="43" t="str">
        <f>IFERROR(Sheet1!M615,0)</f>
        <v>NAVEGANTES</v>
      </c>
      <c r="H615" s="43" t="str">
        <f>IFERROR(Sheet1!H615,0)</f>
        <v>Cargo Marketing</v>
      </c>
      <c r="I615" s="43" t="str">
        <f>IFERROR(Sheet1!G615,0)</f>
        <v>FOB</v>
      </c>
      <c r="J615" s="43" t="str">
        <f>IFERROR(Sheet1!K615,0)</f>
        <v>MSC</v>
      </c>
      <c r="K615" s="45">
        <f>IFERROR(Sheet1!A615,0)</f>
        <v>46166</v>
      </c>
      <c r="L615" s="45">
        <f>IFERROR(Sheet1!I615,0)</f>
        <v>46162</v>
      </c>
      <c r="M615" s="47" t="str">
        <f>IFERROR(Sheet1!P615,0)</f>
        <v>NA</v>
      </c>
      <c r="N615" s="46">
        <f>IFERROR(IF(ISNUMBER(Sheet1!N615),Sheet1!N615,0),0)</f>
        <v>0</v>
      </c>
      <c r="O615" s="46">
        <f>IFERROR(IF(TRIM(F615)="Nhava Sheva",SUMPRODUCT((UPPER(TRIM('Origin Costs'!$A$5:$A$44))=UPPER(TRIM(J615)))*'Origin Costs'!$C$5:$C$44),IF(TRIM(F615)="ICD Tihi",SUMPRODUCT((UPPER(TRIM('Origin Costs'!$A$49:$A$88))=UPPER(TRIM(J615)))*'Origin Costs'!$C$49:$C$88),IF(TRIM(F615)="ICD Dhannad",SUMPRODUCT((UPPER(TRIM('Origin Costs'!$A$93:$A$132))=UPPER(TRIM(J615)))*'Origin Costs'!$C$93:$C$132),0))),0)</f>
        <v>1168.8222222222223</v>
      </c>
      <c r="P615" s="46">
        <f t="shared" si="9"/>
        <v>1168.8222222222223</v>
      </c>
      <c r="Q615" s="13" t="str">
        <f>IF(OR(Dashboard!$C$4="All Customers",$E615=Dashboard!$C$4),IF($E615="","",$P615+ROW()/10000000),"")</f>
        <v/>
      </c>
    </row>
    <row r="616" spans="1:17" ht="14.25" customHeight="1" x14ac:dyDescent="0.3">
      <c r="A616" s="39" t="str">
        <f>IFERROR("FY"&amp;TEXT(MOD(IF(MONTH(Sheet1!A616)&gt;=4,YEAR(Sheet1!A616),YEAR(Sheet1!A616)-1),100),"00")&amp;"-"&amp;TEXT(MOD(IF(MONTH(Sheet1!A616)&gt;=4,YEAR(Sheet1!A616),YEAR(Sheet1!A616)-1)+1,100),"00"),"")</f>
        <v>FY26-27</v>
      </c>
      <c r="B616" s="40" t="str">
        <f>IFERROR("Q"&amp;IF(MONTH(Sheet1!A616)&gt;=4,IF(MONTH(Sheet1!A616)&lt;=6,1,IF(MONTH(Sheet1!A616)&lt;=9,2,3)),4),"")</f>
        <v>Q1</v>
      </c>
      <c r="C616" s="39" t="str">
        <f>IFERROR(Sheet1!C616,0)</f>
        <v>S.A.</v>
      </c>
      <c r="D616" s="39" t="str">
        <f>IFERROR(Sheet1!F616,0)</f>
        <v>Columbia</v>
      </c>
      <c r="E616" s="39" t="str">
        <f>IFERROR(Sheet1!E616,0)</f>
        <v>ACOSTALLANTAS S.A</v>
      </c>
      <c r="F616" s="39" t="str">
        <f>IFERROR(IF(UPPER(TRIM(Sheet1!J616))="NH","Nhava Sheva",IF(UPPER(TRIM(Sheet1!J616))="ICD","ICD Dhannad",IF(UPPER(TRIM(Sheet1!J616))="TIHI","ICD Tihi",Sheet1!J616))),0)</f>
        <v>Nhava Sheva</v>
      </c>
      <c r="G616" s="39" t="str">
        <f>IFERROR(Sheet1!M616,0)</f>
        <v>Buenaventura</v>
      </c>
      <c r="H616" s="39" t="str">
        <f>IFERROR(Sheet1!H616,0)</f>
        <v>Varridhi Logistics</v>
      </c>
      <c r="I616" s="39" t="str">
        <f>IFERROR(Sheet1!G616,0)</f>
        <v>FOB</v>
      </c>
      <c r="J616" s="39" t="str">
        <f>IFERROR(Sheet1!K616,0)</f>
        <v>MSC</v>
      </c>
      <c r="K616" s="41">
        <f>IFERROR(Sheet1!A616,0)</f>
        <v>46167</v>
      </c>
      <c r="L616" s="41">
        <f>IFERROR(Sheet1!I616,0)</f>
        <v>46165</v>
      </c>
      <c r="M616" s="47" t="str">
        <f>IFERROR(Sheet1!P616,0)</f>
        <v>NA</v>
      </c>
      <c r="N616" s="42">
        <f>IFERROR(IF(ISNUMBER(Sheet1!N616),Sheet1!N616,0),0)</f>
        <v>0</v>
      </c>
      <c r="O616" s="42">
        <f>IFERROR(IF(TRIM(F616)="Nhava Sheva",SUMPRODUCT((UPPER(TRIM('Origin Costs'!$A$5:$A$44))=UPPER(TRIM(J616)))*'Origin Costs'!$C$5:$C$44),IF(TRIM(F616)="ICD Tihi",SUMPRODUCT((UPPER(TRIM('Origin Costs'!$A$49:$A$88))=UPPER(TRIM(J616)))*'Origin Costs'!$C$49:$C$88),IF(TRIM(F616)="ICD Dhannad",SUMPRODUCT((UPPER(TRIM('Origin Costs'!$A$93:$A$132))=UPPER(TRIM(J616)))*'Origin Costs'!$C$93:$C$132),0))),0)</f>
        <v>1168.8222222222223</v>
      </c>
      <c r="P616" s="42">
        <f t="shared" si="9"/>
        <v>1168.8222222222223</v>
      </c>
      <c r="Q616" s="13" t="str">
        <f>IF(OR(Dashboard!$C$4="All Customers",$E616=Dashboard!$C$4),IF($E616="","",$P616+ROW()/10000000),"")</f>
        <v/>
      </c>
    </row>
    <row r="617" spans="1:17" ht="14.25" customHeight="1" x14ac:dyDescent="0.3">
      <c r="A617" s="43" t="str">
        <f>IFERROR("FY"&amp;TEXT(MOD(IF(MONTH(Sheet1!A617)&gt;=4,YEAR(Sheet1!A617),YEAR(Sheet1!A617)-1),100),"00")&amp;"-"&amp;TEXT(MOD(IF(MONTH(Sheet1!A617)&gt;=4,YEAR(Sheet1!A617),YEAR(Sheet1!A617)-1)+1,100),"00"),"")</f>
        <v>FY26-27</v>
      </c>
      <c r="B617" s="44" t="str">
        <f>IFERROR("Q"&amp;IF(MONTH(Sheet1!A617)&gt;=4,IF(MONTH(Sheet1!A617)&lt;=6,1,IF(MONTH(Sheet1!A617)&lt;=9,2,3)),4),"")</f>
        <v>Q1</v>
      </c>
      <c r="C617" s="43" t="str">
        <f>IFERROR(Sheet1!C617,0)</f>
        <v>S.A.</v>
      </c>
      <c r="D617" s="43" t="str">
        <f>IFERROR(Sheet1!F617,0)</f>
        <v>Columbia</v>
      </c>
      <c r="E617" s="43" t="str">
        <f>IFERROR(Sheet1!E617,0)</f>
        <v>ACOSTALLANTAS S.A</v>
      </c>
      <c r="F617" s="43" t="str">
        <f>IFERROR(IF(UPPER(TRIM(Sheet1!J617))="NH","Nhava Sheva",IF(UPPER(TRIM(Sheet1!J617))="ICD","ICD Dhannad",IF(UPPER(TRIM(Sheet1!J617))="TIHI","ICD Tihi",Sheet1!J617))),0)</f>
        <v>Nhava Sheva</v>
      </c>
      <c r="G617" s="43" t="str">
        <f>IFERROR(Sheet1!M617,0)</f>
        <v>Buenaventura</v>
      </c>
      <c r="H617" s="43" t="str">
        <f>IFERROR(Sheet1!H617,0)</f>
        <v>Varridhi Logistics</v>
      </c>
      <c r="I617" s="43" t="str">
        <f>IFERROR(Sheet1!G617,0)</f>
        <v>FOB</v>
      </c>
      <c r="J617" s="43" t="str">
        <f>IFERROR(Sheet1!K617,0)</f>
        <v>MSC</v>
      </c>
      <c r="K617" s="45">
        <f>IFERROR(Sheet1!A617,0)</f>
        <v>46167</v>
      </c>
      <c r="L617" s="45">
        <f>IFERROR(Sheet1!I617,0)</f>
        <v>46165</v>
      </c>
      <c r="M617" s="47" t="str">
        <f>IFERROR(Sheet1!P617,0)</f>
        <v>NA</v>
      </c>
      <c r="N617" s="46">
        <f>IFERROR(IF(ISNUMBER(Sheet1!N617),Sheet1!N617,0),0)</f>
        <v>0</v>
      </c>
      <c r="O617" s="46">
        <f>IFERROR(IF(TRIM(F617)="Nhava Sheva",SUMPRODUCT((UPPER(TRIM('Origin Costs'!$A$5:$A$44))=UPPER(TRIM(J617)))*'Origin Costs'!$C$5:$C$44),IF(TRIM(F617)="ICD Tihi",SUMPRODUCT((UPPER(TRIM('Origin Costs'!$A$49:$A$88))=UPPER(TRIM(J617)))*'Origin Costs'!$C$49:$C$88),IF(TRIM(F617)="ICD Dhannad",SUMPRODUCT((UPPER(TRIM('Origin Costs'!$A$93:$A$132))=UPPER(TRIM(J617)))*'Origin Costs'!$C$93:$C$132),0))),0)</f>
        <v>1168.8222222222223</v>
      </c>
      <c r="P617" s="46">
        <f t="shared" si="9"/>
        <v>1168.8222222222223</v>
      </c>
      <c r="Q617" s="13" t="str">
        <f>IF(OR(Dashboard!$C$4="All Customers",$E617=Dashboard!$C$4),IF($E617="","",$P617+ROW()/10000000),"")</f>
        <v/>
      </c>
    </row>
    <row r="618" spans="1:17" ht="14.25" customHeight="1" x14ac:dyDescent="0.3">
      <c r="A618" s="39" t="str">
        <f>IFERROR("FY"&amp;TEXT(MOD(IF(MONTH(Sheet1!A618)&gt;=4,YEAR(Sheet1!A618),YEAR(Sheet1!A618)-1),100),"00")&amp;"-"&amp;TEXT(MOD(IF(MONTH(Sheet1!A618)&gt;=4,YEAR(Sheet1!A618),YEAR(Sheet1!A618)-1)+1,100),"00"),"")</f>
        <v>FY26-27</v>
      </c>
      <c r="B618" s="40" t="str">
        <f>IFERROR("Q"&amp;IF(MONTH(Sheet1!A618)&gt;=4,IF(MONTH(Sheet1!A618)&lt;=6,1,IF(MONTH(Sheet1!A618)&lt;=9,2,3)),4),"")</f>
        <v>Q1</v>
      </c>
      <c r="C618" s="39" t="str">
        <f>IFERROR(Sheet1!C618,0)</f>
        <v>S.A.</v>
      </c>
      <c r="D618" s="39" t="str">
        <f>IFERROR(Sheet1!F618,0)</f>
        <v>Peru</v>
      </c>
      <c r="E618" s="39" t="str">
        <f>IFERROR(Sheet1!E618,0)</f>
        <v>Grupo IAL, Peru.</v>
      </c>
      <c r="F618" s="39" t="str">
        <f>IFERROR(IF(UPPER(TRIM(Sheet1!J618))="NH","Nhava Sheva",IF(UPPER(TRIM(Sheet1!J618))="ICD","ICD Dhannad",IF(UPPER(TRIM(Sheet1!J618))="TIHI","ICD Tihi",Sheet1!J618))),0)</f>
        <v>Nhava Sheva</v>
      </c>
      <c r="G618" s="39" t="str">
        <f>IFERROR(Sheet1!M618,0)</f>
        <v>Callo</v>
      </c>
      <c r="H618" s="39" t="str">
        <f>IFERROR(Sheet1!H618,0)</f>
        <v>Freight Bridge</v>
      </c>
      <c r="I618" s="39" t="str">
        <f>IFERROR(Sheet1!G618,0)</f>
        <v>FOB</v>
      </c>
      <c r="J618" s="39" t="str">
        <f>IFERROR(Sheet1!K618,0)</f>
        <v>MSC</v>
      </c>
      <c r="K618" s="41">
        <f>IFERROR(Sheet1!A618,0)</f>
        <v>46167</v>
      </c>
      <c r="L618" s="41">
        <f>IFERROR(Sheet1!I618,0)</f>
        <v>46168</v>
      </c>
      <c r="M618" s="47" t="str">
        <f>IFERROR(Sheet1!P618,0)</f>
        <v>NA</v>
      </c>
      <c r="N618" s="42">
        <f>IFERROR(IF(ISNUMBER(Sheet1!N618),Sheet1!N618,0),0)</f>
        <v>0</v>
      </c>
      <c r="O618" s="42">
        <f>IFERROR(IF(TRIM(F618)="Nhava Sheva",SUMPRODUCT((UPPER(TRIM('Origin Costs'!$A$5:$A$44))=UPPER(TRIM(J618)))*'Origin Costs'!$C$5:$C$44),IF(TRIM(F618)="ICD Tihi",SUMPRODUCT((UPPER(TRIM('Origin Costs'!$A$49:$A$88))=UPPER(TRIM(J618)))*'Origin Costs'!$C$49:$C$88),IF(TRIM(F618)="ICD Dhannad",SUMPRODUCT((UPPER(TRIM('Origin Costs'!$A$93:$A$132))=UPPER(TRIM(J618)))*'Origin Costs'!$C$93:$C$132),0))),0)</f>
        <v>1168.8222222222223</v>
      </c>
      <c r="P618" s="42">
        <f t="shared" si="9"/>
        <v>1168.8222222222223</v>
      </c>
      <c r="Q618" s="13" t="str">
        <f>IF(OR(Dashboard!$C$4="All Customers",$E618=Dashboard!$C$4),IF($E618="","",$P618+ROW()/10000000),"")</f>
        <v/>
      </c>
    </row>
    <row r="619" spans="1:17" ht="14.25" customHeight="1" x14ac:dyDescent="0.3">
      <c r="A619" s="43" t="str">
        <f>IFERROR("FY"&amp;TEXT(MOD(IF(MONTH(Sheet1!A619)&gt;=4,YEAR(Sheet1!A619),YEAR(Sheet1!A619)-1),100),"00")&amp;"-"&amp;TEXT(MOD(IF(MONTH(Sheet1!A619)&gt;=4,YEAR(Sheet1!A619),YEAR(Sheet1!A619)-1)+1,100),"00"),"")</f>
        <v>FY26-27</v>
      </c>
      <c r="B619" s="44" t="str">
        <f>IFERROR("Q"&amp;IF(MONTH(Sheet1!A619)&gt;=4,IF(MONTH(Sheet1!A619)&lt;=6,1,IF(MONTH(Sheet1!A619)&lt;=9,2,3)),4),"")</f>
        <v>Q1</v>
      </c>
      <c r="C619" s="43" t="str">
        <f>IFERROR(Sheet1!C619,0)</f>
        <v>Europe</v>
      </c>
      <c r="D619" s="43" t="str">
        <f>IFERROR(Sheet1!F619,0)</f>
        <v>Poland</v>
      </c>
      <c r="E619" s="43" t="str">
        <f>IFERROR(Sheet1!E619,0)</f>
        <v>Inter Cars S.A.</v>
      </c>
      <c r="F619" s="43" t="str">
        <f>IFERROR(IF(UPPER(TRIM(Sheet1!J619))="NH","Nhava Sheva",IF(UPPER(TRIM(Sheet1!J619))="ICD","ICD Dhannad",IF(UPPER(TRIM(Sheet1!J619))="TIHI","ICD Tihi",Sheet1!J619))),0)</f>
        <v>Nhava Sheva</v>
      </c>
      <c r="G619" s="43" t="str">
        <f>IFERROR(Sheet1!M619,0)</f>
        <v>GDYNIA</v>
      </c>
      <c r="H619" s="43" t="str">
        <f>IFERROR(Sheet1!H619,0)</f>
        <v>VS Trans Lojistik</v>
      </c>
      <c r="I619" s="43" t="str">
        <f>IFERROR(Sheet1!G619,0)</f>
        <v>FOB</v>
      </c>
      <c r="J619" s="43" t="str">
        <f>IFERROR(Sheet1!K619,0)</f>
        <v>Maersk</v>
      </c>
      <c r="K619" s="45">
        <f>IFERROR(Sheet1!A619,0)</f>
        <v>46167</v>
      </c>
      <c r="L619" s="45">
        <f>IFERROR(Sheet1!I619,0)</f>
        <v>46165</v>
      </c>
      <c r="M619" s="47" t="str">
        <f>IFERROR(Sheet1!P619,0)</f>
        <v>NA</v>
      </c>
      <c r="N619" s="46">
        <f>IFERROR(IF(ISNUMBER(Sheet1!N619),Sheet1!N619,0),0)</f>
        <v>0</v>
      </c>
      <c r="O619" s="46">
        <f>IFERROR(IF(TRIM(F619)="Nhava Sheva",SUMPRODUCT((UPPER(TRIM('Origin Costs'!$A$5:$A$44))=UPPER(TRIM(J619)))*'Origin Costs'!$C$5:$C$44),IF(TRIM(F619)="ICD Tihi",SUMPRODUCT((UPPER(TRIM('Origin Costs'!$A$49:$A$88))=UPPER(TRIM(J619)))*'Origin Costs'!$C$49:$C$88),IF(TRIM(F619)="ICD Dhannad",SUMPRODUCT((UPPER(TRIM('Origin Costs'!$A$93:$A$132))=UPPER(TRIM(J619)))*'Origin Costs'!$C$93:$C$132),0))),0)</f>
        <v>1148.588888888889</v>
      </c>
      <c r="P619" s="46">
        <f t="shared" si="9"/>
        <v>1148.588888888889</v>
      </c>
      <c r="Q619" s="13" t="str">
        <f>IF(OR(Dashboard!$C$4="All Customers",$E619=Dashboard!$C$4),IF($E619="","",$P619+ROW()/10000000),"")</f>
        <v/>
      </c>
    </row>
    <row r="620" spans="1:17" ht="14.25" customHeight="1" x14ac:dyDescent="0.3">
      <c r="A620" s="39" t="str">
        <f>IFERROR("FY"&amp;TEXT(MOD(IF(MONTH(Sheet1!A620)&gt;=4,YEAR(Sheet1!A620),YEAR(Sheet1!A620)-1),100),"00")&amp;"-"&amp;TEXT(MOD(IF(MONTH(Sheet1!A620)&gt;=4,YEAR(Sheet1!A620),YEAR(Sheet1!A620)-1)+1,100),"00"),"")</f>
        <v>FY26-27</v>
      </c>
      <c r="B620" s="40" t="str">
        <f>IFERROR("Q"&amp;IF(MONTH(Sheet1!A620)&gt;=4,IF(MONTH(Sheet1!A620)&lt;=6,1,IF(MONTH(Sheet1!A620)&lt;=9,2,3)),4),"")</f>
        <v>Q1</v>
      </c>
      <c r="C620" s="39" t="str">
        <f>IFERROR(Sheet1!C620,0)</f>
        <v>MEA</v>
      </c>
      <c r="D620" s="39" t="str">
        <f>IFERROR(Sheet1!F620,0)</f>
        <v>Bahrain</v>
      </c>
      <c r="E620" s="39" t="str">
        <f>IFERROR(Sheet1!E620,0)</f>
        <v>Dheera Auto Tyres, Bahrain</v>
      </c>
      <c r="F620" s="39" t="str">
        <f>IFERROR(IF(UPPER(TRIM(Sheet1!J620))="NH","Nhava Sheva",IF(UPPER(TRIM(Sheet1!J620))="ICD","ICD Dhannad",IF(UPPER(TRIM(Sheet1!J620))="TIHI","ICD Tihi",Sheet1!J620))),0)</f>
        <v>Nhava Sheva</v>
      </c>
      <c r="G620" s="39" t="str">
        <f>IFERROR(Sheet1!M620,0)</f>
        <v>BAHRAIN</v>
      </c>
      <c r="H620" s="39" t="str">
        <f>IFERROR(Sheet1!H620,0)</f>
        <v xml:space="preserve">GFL FREIGHT SERVICES </v>
      </c>
      <c r="I620" s="39" t="str">
        <f>IFERROR(Sheet1!G620,0)</f>
        <v>FOB</v>
      </c>
      <c r="J620" s="39" t="str">
        <f>IFERROR(Sheet1!K620,0)</f>
        <v>MSC</v>
      </c>
      <c r="K620" s="41">
        <f>IFERROR(Sheet1!A620,0)</f>
        <v>46168</v>
      </c>
      <c r="L620" s="41">
        <f>IFERROR(Sheet1!I620,0)</f>
        <v>46166</v>
      </c>
      <c r="M620" s="47" t="str">
        <f>IFERROR(Sheet1!P620,0)</f>
        <v>NA</v>
      </c>
      <c r="N620" s="42">
        <f>IFERROR(IF(ISNUMBER(Sheet1!N620),Sheet1!N620,0),0)</f>
        <v>0</v>
      </c>
      <c r="O620" s="42">
        <f>IFERROR(IF(TRIM(F620)="Nhava Sheva",SUMPRODUCT((UPPER(TRIM('Origin Costs'!$A$5:$A$44))=UPPER(TRIM(J620)))*'Origin Costs'!$C$5:$C$44),IF(TRIM(F620)="ICD Tihi",SUMPRODUCT((UPPER(TRIM('Origin Costs'!$A$49:$A$88))=UPPER(TRIM(J620)))*'Origin Costs'!$C$49:$C$88),IF(TRIM(F620)="ICD Dhannad",SUMPRODUCT((UPPER(TRIM('Origin Costs'!$A$93:$A$132))=UPPER(TRIM(J620)))*'Origin Costs'!$C$93:$C$132),0))),0)</f>
        <v>1168.8222222222223</v>
      </c>
      <c r="P620" s="42">
        <f t="shared" si="9"/>
        <v>1168.8222222222223</v>
      </c>
      <c r="Q620" s="13" t="str">
        <f>IF(OR(Dashboard!$C$4="All Customers",$E620=Dashboard!$C$4),IF($E620="","",$P620+ROW()/10000000),"")</f>
        <v/>
      </c>
    </row>
    <row r="621" spans="1:17" ht="14.25" customHeight="1" x14ac:dyDescent="0.3">
      <c r="A621" s="43" t="str">
        <f>IFERROR("FY"&amp;TEXT(MOD(IF(MONTH(Sheet1!A621)&gt;=4,YEAR(Sheet1!A621),YEAR(Sheet1!A621)-1),100),"00")&amp;"-"&amp;TEXT(MOD(IF(MONTH(Sheet1!A621)&gt;=4,YEAR(Sheet1!A621),YEAR(Sheet1!A621)-1)+1,100),"00"),"")</f>
        <v>FY26-27</v>
      </c>
      <c r="B621" s="44" t="str">
        <f>IFERROR("Q"&amp;IF(MONTH(Sheet1!A621)&gt;=4,IF(MONTH(Sheet1!A621)&lt;=6,1,IF(MONTH(Sheet1!A621)&lt;=9,2,3)),4),"")</f>
        <v>Q1</v>
      </c>
      <c r="C621" s="43" t="str">
        <f>IFERROR(Sheet1!C621,0)</f>
        <v>Europe</v>
      </c>
      <c r="D621" s="43" t="str">
        <f>IFERROR(Sheet1!F621,0)</f>
        <v>Bulgaria</v>
      </c>
      <c r="E621" s="43" t="str">
        <f>IFERROR(Sheet1!E621,0)</f>
        <v>Transcar Vladi, Bulgaria</v>
      </c>
      <c r="F621" s="43" t="str">
        <f>IFERROR(IF(UPPER(TRIM(Sheet1!J621))="NH","Nhava Sheva",IF(UPPER(TRIM(Sheet1!J621))="ICD","ICD Dhannad",IF(UPPER(TRIM(Sheet1!J621))="TIHI","ICD Tihi",Sheet1!J621))),0)</f>
        <v>Nhava Sheva</v>
      </c>
      <c r="G621" s="43" t="str">
        <f>IFERROR(Sheet1!M621,0)</f>
        <v>Thessaloniki</v>
      </c>
      <c r="H621" s="43" t="str">
        <f>IFERROR(Sheet1!H621,0)</f>
        <v>Fortune GLS</v>
      </c>
      <c r="I621" s="43" t="str">
        <f>IFERROR(Sheet1!G621,0)</f>
        <v>FOB</v>
      </c>
      <c r="J621" s="43" t="str">
        <f>IFERROR(Sheet1!K621,0)</f>
        <v>ONE</v>
      </c>
      <c r="K621" s="45">
        <f>IFERROR(Sheet1!A621,0)</f>
        <v>46169</v>
      </c>
      <c r="L621" s="45">
        <f>IFERROR(Sheet1!I621,0)</f>
        <v>46167</v>
      </c>
      <c r="M621" s="47" t="str">
        <f>IFERROR(Sheet1!P621,0)</f>
        <v>NA</v>
      </c>
      <c r="N621" s="46">
        <f>IFERROR(IF(ISNUMBER(Sheet1!N621),Sheet1!N621,0),0)</f>
        <v>0</v>
      </c>
      <c r="O621" s="46">
        <f>IFERROR(IF(TRIM(F621)="Nhava Sheva",SUMPRODUCT((UPPER(TRIM('Origin Costs'!$A$5:$A$44))=UPPER(TRIM(J621)))*'Origin Costs'!$C$5:$C$44),IF(TRIM(F621)="ICD Tihi",SUMPRODUCT((UPPER(TRIM('Origin Costs'!$A$49:$A$88))=UPPER(TRIM(J621)))*'Origin Costs'!$C$49:$C$88),IF(TRIM(F621)="ICD Dhannad",SUMPRODUCT((UPPER(TRIM('Origin Costs'!$A$93:$A$132))=UPPER(TRIM(J621)))*'Origin Costs'!$C$93:$C$132),0))),0)</f>
        <v>1146.5555555555557</v>
      </c>
      <c r="P621" s="46">
        <f t="shared" si="9"/>
        <v>1146.5555555555557</v>
      </c>
      <c r="Q621" s="13" t="str">
        <f>IF(OR(Dashboard!$C$4="All Customers",$E621=Dashboard!$C$4),IF($E621="","",$P621+ROW()/10000000),"")</f>
        <v/>
      </c>
    </row>
    <row r="622" spans="1:17" ht="14.25" customHeight="1" x14ac:dyDescent="0.3">
      <c r="A622" s="39" t="str">
        <f>IFERROR("FY"&amp;TEXT(MOD(IF(MONTH(Sheet1!A622)&gt;=4,YEAR(Sheet1!A622),YEAR(Sheet1!A622)-1),100),"00")&amp;"-"&amp;TEXT(MOD(IF(MONTH(Sheet1!A622)&gt;=4,YEAR(Sheet1!A622),YEAR(Sheet1!A622)-1)+1,100),"00"),"")</f>
        <v>FY26-27</v>
      </c>
      <c r="B622" s="40" t="str">
        <f>IFERROR("Q"&amp;IF(MONTH(Sheet1!A622)&gt;=4,IF(MONTH(Sheet1!A622)&lt;=6,1,IF(MONTH(Sheet1!A622)&lt;=9,2,3)),4),"")</f>
        <v>Q1</v>
      </c>
      <c r="C622" s="39" t="str">
        <f>IFERROR(Sheet1!C622,0)</f>
        <v>Europe</v>
      </c>
      <c r="D622" s="39" t="str">
        <f>IFERROR(Sheet1!F622,0)</f>
        <v>Bulgaria</v>
      </c>
      <c r="E622" s="39" t="str">
        <f>IFERROR(Sheet1!E622,0)</f>
        <v>Transcar Vladi, Bulgaria</v>
      </c>
      <c r="F622" s="39" t="str">
        <f>IFERROR(IF(UPPER(TRIM(Sheet1!J622))="NH","Nhava Sheva",IF(UPPER(TRIM(Sheet1!J622))="ICD","ICD Dhannad",IF(UPPER(TRIM(Sheet1!J622))="TIHI","ICD Tihi",Sheet1!J622))),0)</f>
        <v>Nhava Sheva</v>
      </c>
      <c r="G622" s="39" t="str">
        <f>IFERROR(Sheet1!M622,0)</f>
        <v>Thessaloniki</v>
      </c>
      <c r="H622" s="39" t="str">
        <f>IFERROR(Sheet1!H622,0)</f>
        <v>Fortune GLS</v>
      </c>
      <c r="I622" s="39" t="str">
        <f>IFERROR(Sheet1!G622,0)</f>
        <v>FOB</v>
      </c>
      <c r="J622" s="39" t="str">
        <f>IFERROR(Sheet1!K622,0)</f>
        <v>ONE</v>
      </c>
      <c r="K622" s="41">
        <f>IFERROR(Sheet1!A622,0)</f>
        <v>46169</v>
      </c>
      <c r="L622" s="41">
        <f>IFERROR(Sheet1!I622,0)</f>
        <v>46167</v>
      </c>
      <c r="M622" s="47" t="str">
        <f>IFERROR(Sheet1!P622,0)</f>
        <v>NA</v>
      </c>
      <c r="N622" s="42">
        <f>IFERROR(IF(ISNUMBER(Sheet1!N622),Sheet1!N622,0),0)</f>
        <v>0</v>
      </c>
      <c r="O622" s="42">
        <f>IFERROR(IF(TRIM(F622)="Nhava Sheva",SUMPRODUCT((UPPER(TRIM('Origin Costs'!$A$5:$A$44))=UPPER(TRIM(J622)))*'Origin Costs'!$C$5:$C$44),IF(TRIM(F622)="ICD Tihi",SUMPRODUCT((UPPER(TRIM('Origin Costs'!$A$49:$A$88))=UPPER(TRIM(J622)))*'Origin Costs'!$C$49:$C$88),IF(TRIM(F622)="ICD Dhannad",SUMPRODUCT((UPPER(TRIM('Origin Costs'!$A$93:$A$132))=UPPER(TRIM(J622)))*'Origin Costs'!$C$93:$C$132),0))),0)</f>
        <v>1146.5555555555557</v>
      </c>
      <c r="P622" s="42">
        <f t="shared" si="9"/>
        <v>1146.5555555555557</v>
      </c>
      <c r="Q622" s="13" t="str">
        <f>IF(OR(Dashboard!$C$4="All Customers",$E622=Dashboard!$C$4),IF($E622="","",$P622+ROW()/10000000),"")</f>
        <v/>
      </c>
    </row>
    <row r="623" spans="1:17" ht="14.25" customHeight="1" x14ac:dyDescent="0.3">
      <c r="A623" s="43" t="str">
        <f>IFERROR("FY"&amp;TEXT(MOD(IF(MONTH(Sheet1!A623)&gt;=4,YEAR(Sheet1!A623),YEAR(Sheet1!A623)-1),100),"00")&amp;"-"&amp;TEXT(MOD(IF(MONTH(Sheet1!A623)&gt;=4,YEAR(Sheet1!A623),YEAR(Sheet1!A623)-1)+1,100),"00"),"")</f>
        <v>FY26-27</v>
      </c>
      <c r="B623" s="44" t="str">
        <f>IFERROR("Q"&amp;IF(MONTH(Sheet1!A623)&gt;=4,IF(MONTH(Sheet1!A623)&lt;=6,1,IF(MONTH(Sheet1!A623)&lt;=9,2,3)),4),"")</f>
        <v>Q1</v>
      </c>
      <c r="C623" s="43" t="str">
        <f>IFERROR(Sheet1!C623,0)</f>
        <v>S.A.</v>
      </c>
      <c r="D623" s="43" t="str">
        <f>IFERROR(Sheet1!F623,0)</f>
        <v>Columbia</v>
      </c>
      <c r="E623" s="43" t="str">
        <f>IFERROR(Sheet1!E623,0)</f>
        <v>ACOSTALLANTAS S.A</v>
      </c>
      <c r="F623" s="43" t="str">
        <f>IFERROR(IF(UPPER(TRIM(Sheet1!J623))="NH","Nhava Sheva",IF(UPPER(TRIM(Sheet1!J623))="ICD","ICD Dhannad",IF(UPPER(TRIM(Sheet1!J623))="TIHI","ICD Tihi",Sheet1!J623))),0)</f>
        <v>ICD Tihi</v>
      </c>
      <c r="G623" s="43" t="str">
        <f>IFERROR(Sheet1!M623,0)</f>
        <v>Buenaventura</v>
      </c>
      <c r="H623" s="43" t="str">
        <f>IFERROR(Sheet1!H623,0)</f>
        <v>Varridhi Logistics</v>
      </c>
      <c r="I623" s="43" t="str">
        <f>IFERROR(Sheet1!G623,0)</f>
        <v>CIF</v>
      </c>
      <c r="J623" s="43" t="str">
        <f>IFERROR(Sheet1!K623,0)</f>
        <v>MSC</v>
      </c>
      <c r="K623" s="45">
        <f>IFERROR(Sheet1!A623,0)</f>
        <v>46170</v>
      </c>
      <c r="L623" s="45">
        <f>IFERROR(Sheet1!I623,0)</f>
        <v>46170</v>
      </c>
      <c r="M623" s="47" t="str">
        <f>IFERROR(Sheet1!P623,0)</f>
        <v>NA</v>
      </c>
      <c r="N623" s="46">
        <f>IFERROR(IF(ISNUMBER(Sheet1!N623),Sheet1!N623,0),0)</f>
        <v>2626</v>
      </c>
      <c r="O623" s="46">
        <f>IFERROR(IF(TRIM(F623)="Nhava Sheva",SUMPRODUCT((UPPER(TRIM('Origin Costs'!$A$5:$A$44))=UPPER(TRIM(J623)))*'Origin Costs'!$C$5:$C$44),IF(TRIM(F623)="ICD Tihi",SUMPRODUCT((UPPER(TRIM('Origin Costs'!$A$49:$A$88))=UPPER(TRIM(J623)))*'Origin Costs'!$C$49:$C$88),IF(TRIM(F623)="ICD Dhannad",SUMPRODUCT((UPPER(TRIM('Origin Costs'!$A$93:$A$132))=UPPER(TRIM(J623)))*'Origin Costs'!$C$93:$C$132),0))),0)</f>
        <v>1081.3333333333333</v>
      </c>
      <c r="P623" s="46">
        <f t="shared" si="9"/>
        <v>3707.333333333333</v>
      </c>
      <c r="Q623" s="13" t="str">
        <f>IF(OR(Dashboard!$C$4="All Customers",$E623=Dashboard!$C$4),IF($E623="","",$P623+ROW()/10000000),"")</f>
        <v/>
      </c>
    </row>
    <row r="624" spans="1:17" ht="14.25" customHeight="1" x14ac:dyDescent="0.3">
      <c r="A624" s="39" t="str">
        <f>IFERROR("FY"&amp;TEXT(MOD(IF(MONTH(Sheet1!A624)&gt;=4,YEAR(Sheet1!A624),YEAR(Sheet1!A624)-1),100),"00")&amp;"-"&amp;TEXT(MOD(IF(MONTH(Sheet1!A624)&gt;=4,YEAR(Sheet1!A624),YEAR(Sheet1!A624)-1)+1,100),"00"),"")</f>
        <v>FY26-27</v>
      </c>
      <c r="B624" s="40" t="str">
        <f>IFERROR("Q"&amp;IF(MONTH(Sheet1!A624)&gt;=4,IF(MONTH(Sheet1!A624)&lt;=6,1,IF(MONTH(Sheet1!A624)&lt;=9,2,3)),4),"")</f>
        <v>Q1</v>
      </c>
      <c r="C624" s="39" t="str">
        <f>IFERROR(Sheet1!C624,0)</f>
        <v>S.A.</v>
      </c>
      <c r="D624" s="39" t="str">
        <f>IFERROR(Sheet1!F624,0)</f>
        <v>Columbia</v>
      </c>
      <c r="E624" s="39" t="str">
        <f>IFERROR(Sheet1!E624,0)</f>
        <v>ACOSTALLANTAS S.A</v>
      </c>
      <c r="F624" s="39" t="str">
        <f>IFERROR(IF(UPPER(TRIM(Sheet1!J624))="NH","Nhava Sheva",IF(UPPER(TRIM(Sheet1!J624))="ICD","ICD Dhannad",IF(UPPER(TRIM(Sheet1!J624))="TIHI","ICD Tihi",Sheet1!J624))),0)</f>
        <v>ICD Tihi</v>
      </c>
      <c r="G624" s="39" t="str">
        <f>IFERROR(Sheet1!M624,0)</f>
        <v>Buenaventura</v>
      </c>
      <c r="H624" s="39" t="str">
        <f>IFERROR(Sheet1!H624,0)</f>
        <v>Varridhi Logistics</v>
      </c>
      <c r="I624" s="39" t="str">
        <f>IFERROR(Sheet1!G624,0)</f>
        <v>CIF</v>
      </c>
      <c r="J624" s="39" t="str">
        <f>IFERROR(Sheet1!K624,0)</f>
        <v>MSC</v>
      </c>
      <c r="K624" s="41">
        <f>IFERROR(Sheet1!A624,0)</f>
        <v>46170</v>
      </c>
      <c r="L624" s="41">
        <f>IFERROR(Sheet1!I624,0)</f>
        <v>46170</v>
      </c>
      <c r="M624" s="47" t="str">
        <f>IFERROR(Sheet1!P624,0)</f>
        <v>NA</v>
      </c>
      <c r="N624" s="42">
        <f>IFERROR(IF(ISNUMBER(Sheet1!N624),Sheet1!N624,0),0)</f>
        <v>2626</v>
      </c>
      <c r="O624" s="42">
        <f>IFERROR(IF(TRIM(F624)="Nhava Sheva",SUMPRODUCT((UPPER(TRIM('Origin Costs'!$A$5:$A$44))=UPPER(TRIM(J624)))*'Origin Costs'!$C$5:$C$44),IF(TRIM(F624)="ICD Tihi",SUMPRODUCT((UPPER(TRIM('Origin Costs'!$A$49:$A$88))=UPPER(TRIM(J624)))*'Origin Costs'!$C$49:$C$88),IF(TRIM(F624)="ICD Dhannad",SUMPRODUCT((UPPER(TRIM('Origin Costs'!$A$93:$A$132))=UPPER(TRIM(J624)))*'Origin Costs'!$C$93:$C$132),0))),0)</f>
        <v>1081.3333333333333</v>
      </c>
      <c r="P624" s="42">
        <f t="shared" si="9"/>
        <v>3707.333333333333</v>
      </c>
      <c r="Q624" s="13" t="str">
        <f>IF(OR(Dashboard!$C$4="All Customers",$E624=Dashboard!$C$4),IF($E624="","",$P624+ROW()/10000000),"")</f>
        <v/>
      </c>
    </row>
    <row r="625" spans="1:17" ht="14.25" customHeight="1" x14ac:dyDescent="0.3">
      <c r="A625" s="43" t="str">
        <f>IFERROR("FY"&amp;TEXT(MOD(IF(MONTH(Sheet1!A625)&gt;=4,YEAR(Sheet1!A625),YEAR(Sheet1!A625)-1),100),"00")&amp;"-"&amp;TEXT(MOD(IF(MONTH(Sheet1!A625)&gt;=4,YEAR(Sheet1!A625),YEAR(Sheet1!A625)-1)+1,100),"00"),"")</f>
        <v>FY26-27</v>
      </c>
      <c r="B625" s="44" t="str">
        <f>IFERROR("Q"&amp;IF(MONTH(Sheet1!A625)&gt;=4,IF(MONTH(Sheet1!A625)&lt;=6,1,IF(MONTH(Sheet1!A625)&lt;=9,2,3)),4),"")</f>
        <v>Q1</v>
      </c>
      <c r="C625" s="43" t="str">
        <f>IFERROR(Sheet1!C625,0)</f>
        <v>ISC</v>
      </c>
      <c r="D625" s="43" t="str">
        <f>IFERROR(Sheet1!F625,0)</f>
        <v>Sri Lanka</v>
      </c>
      <c r="E625" s="43" t="str">
        <f>IFERROR(Sheet1!E625,0)</f>
        <v>Supergrip International, Srilanka</v>
      </c>
      <c r="F625" s="43" t="str">
        <f>IFERROR(IF(UPPER(TRIM(Sheet1!J625))="NH","Nhava Sheva",IF(UPPER(TRIM(Sheet1!J625))="ICD","ICD Dhannad",IF(UPPER(TRIM(Sheet1!J625))="TIHI","ICD Tihi",Sheet1!J625))),0)</f>
        <v>Nhava Sheva</v>
      </c>
      <c r="G625" s="43" t="str">
        <f>IFERROR(Sheet1!M625,0)</f>
        <v>Colombo</v>
      </c>
      <c r="H625" s="43" t="str">
        <f>IFERROR(Sheet1!H625,0)</f>
        <v>UP4 International</v>
      </c>
      <c r="I625" s="43" t="str">
        <f>IFERROR(Sheet1!G625,0)</f>
        <v>FOB</v>
      </c>
      <c r="J625" s="43" t="str">
        <f>IFERROR(Sheet1!K625,0)</f>
        <v>OOCL</v>
      </c>
      <c r="K625" s="45">
        <f>IFERROR(Sheet1!A625,0)</f>
        <v>46170</v>
      </c>
      <c r="L625" s="45">
        <f>IFERROR(Sheet1!I625,0)</f>
        <v>46168</v>
      </c>
      <c r="M625" s="47" t="str">
        <f>IFERROR(Sheet1!P625,0)</f>
        <v>NA</v>
      </c>
      <c r="N625" s="46">
        <f>IFERROR(IF(ISNUMBER(Sheet1!N625),Sheet1!N625,0),0)</f>
        <v>0</v>
      </c>
      <c r="O625" s="46">
        <f>IFERROR(IF(TRIM(F625)="Nhava Sheva",SUMPRODUCT((UPPER(TRIM('Origin Costs'!$A$5:$A$44))=UPPER(TRIM(J625)))*'Origin Costs'!$C$5:$C$44),IF(TRIM(F625)="ICD Tihi",SUMPRODUCT((UPPER(TRIM('Origin Costs'!$A$49:$A$88))=UPPER(TRIM(J625)))*'Origin Costs'!$C$49:$C$88),IF(TRIM(F625)="ICD Dhannad",SUMPRODUCT((UPPER(TRIM('Origin Costs'!$A$93:$A$132))=UPPER(TRIM(J625)))*'Origin Costs'!$C$93:$C$132),0))),0)</f>
        <v>0</v>
      </c>
      <c r="P625" s="46">
        <f t="shared" si="9"/>
        <v>0</v>
      </c>
      <c r="Q625" s="13" t="str">
        <f>IF(OR(Dashboard!$C$4="All Customers",$E625=Dashboard!$C$4),IF($E625="","",$P625+ROW()/10000000),"")</f>
        <v/>
      </c>
    </row>
    <row r="626" spans="1:17" ht="14.25" customHeight="1" x14ac:dyDescent="0.3">
      <c r="A626" s="39" t="str">
        <f>IFERROR("FY"&amp;TEXT(MOD(IF(MONTH(Sheet1!A626)&gt;=4,YEAR(Sheet1!A626),YEAR(Sheet1!A626)-1),100),"00")&amp;"-"&amp;TEXT(MOD(IF(MONTH(Sheet1!A626)&gt;=4,YEAR(Sheet1!A626),YEAR(Sheet1!A626)-1)+1,100),"00"),"")</f>
        <v>FY26-27</v>
      </c>
      <c r="B626" s="40" t="str">
        <f>IFERROR("Q"&amp;IF(MONTH(Sheet1!A626)&gt;=4,IF(MONTH(Sheet1!A626)&lt;=6,1,IF(MONTH(Sheet1!A626)&lt;=9,2,3)),4),"")</f>
        <v>Q1</v>
      </c>
      <c r="C626" s="39" t="str">
        <f>IFERROR(Sheet1!C626,0)</f>
        <v>Europe</v>
      </c>
      <c r="D626" s="39" t="str">
        <f>IFERROR(Sheet1!F626,0)</f>
        <v>Bulgaria</v>
      </c>
      <c r="E626" s="39" t="str">
        <f>IFERROR(Sheet1!E626,0)</f>
        <v>Primex, Bulgaria</v>
      </c>
      <c r="F626" s="39" t="str">
        <f>IFERROR(IF(UPPER(TRIM(Sheet1!J626))="NH","Nhava Sheva",IF(UPPER(TRIM(Sheet1!J626))="ICD","ICD Dhannad",IF(UPPER(TRIM(Sheet1!J626))="TIHI","ICD Tihi",Sheet1!J626))),0)</f>
        <v>Nhava Sheva</v>
      </c>
      <c r="G626" s="39" t="str">
        <f>IFERROR(Sheet1!M626,0)</f>
        <v>Varna</v>
      </c>
      <c r="H626" s="39" t="str">
        <f>IFERROR(Sheet1!H626,0)</f>
        <v>Mega Move</v>
      </c>
      <c r="I626" s="39" t="str">
        <f>IFERROR(Sheet1!G626,0)</f>
        <v>FOB</v>
      </c>
      <c r="J626" s="39" t="str">
        <f>IFERROR(Sheet1!K626,0)</f>
        <v>Arkas</v>
      </c>
      <c r="K626" s="41">
        <f>IFERROR(Sheet1!A626,0)</f>
        <v>46171</v>
      </c>
      <c r="L626" s="41">
        <f>IFERROR(Sheet1!I626,0)</f>
        <v>46169</v>
      </c>
      <c r="M626" s="47" t="str">
        <f>IFERROR(Sheet1!P626,0)</f>
        <v>NA</v>
      </c>
      <c r="N626" s="42">
        <f>IFERROR(IF(ISNUMBER(Sheet1!N626),Sheet1!N626,0),0)</f>
        <v>0</v>
      </c>
      <c r="O626" s="42">
        <f>IFERROR(IF(TRIM(F626)="Nhava Sheva",SUMPRODUCT((UPPER(TRIM('Origin Costs'!$A$5:$A$44))=UPPER(TRIM(J626)))*'Origin Costs'!$C$5:$C$44),IF(TRIM(F626)="ICD Tihi",SUMPRODUCT((UPPER(TRIM('Origin Costs'!$A$49:$A$88))=UPPER(TRIM(J626)))*'Origin Costs'!$C$49:$C$88),IF(TRIM(F626)="ICD Dhannad",SUMPRODUCT((UPPER(TRIM('Origin Costs'!$A$93:$A$132))=UPPER(TRIM(J626)))*'Origin Costs'!$C$93:$C$132),0))),0)</f>
        <v>0</v>
      </c>
      <c r="P626" s="42">
        <f t="shared" si="9"/>
        <v>0</v>
      </c>
      <c r="Q626" s="13" t="str">
        <f>IF(OR(Dashboard!$C$4="All Customers",$E626=Dashboard!$C$4),IF($E626="","",$P626+ROW()/10000000),"")</f>
        <v/>
      </c>
    </row>
    <row r="627" spans="1:17" ht="14.25" customHeight="1" x14ac:dyDescent="0.3">
      <c r="A627" s="43" t="str">
        <f>IFERROR("FY"&amp;TEXT(MOD(IF(MONTH(Sheet1!A627)&gt;=4,YEAR(Sheet1!A627),YEAR(Sheet1!A627)-1),100),"00")&amp;"-"&amp;TEXT(MOD(IF(MONTH(Sheet1!A627)&gt;=4,YEAR(Sheet1!A627),YEAR(Sheet1!A627)-1)+1,100),"00"),"")</f>
        <v>FY26-27</v>
      </c>
      <c r="B627" s="44" t="str">
        <f>IFERROR("Q"&amp;IF(MONTH(Sheet1!A627)&gt;=4,IF(MONTH(Sheet1!A627)&lt;=6,1,IF(MONTH(Sheet1!A627)&lt;=9,2,3)),4),"")</f>
        <v>Q1</v>
      </c>
      <c r="C627" s="43" t="str">
        <f>IFERROR(Sheet1!C627,0)</f>
        <v>ISC</v>
      </c>
      <c r="D627" s="43" t="str">
        <f>IFERROR(Sheet1!F627,0)</f>
        <v>Nepal</v>
      </c>
      <c r="E627" s="43" t="str">
        <f>IFERROR(Sheet1!E627,0)</f>
        <v>Sipradi Autoparts, Nepal</v>
      </c>
      <c r="F627" s="43">
        <f>IFERROR(IF(UPPER(TRIM(Sheet1!J627))="NH","Nhava Sheva",IF(UPPER(TRIM(Sheet1!J627))="ICD","ICD Dhannad",IF(UPPER(TRIM(Sheet1!J627))="TIHI","ICD Tihi",Sheet1!J627))),0)</f>
        <v>0</v>
      </c>
      <c r="G627" s="43" t="str">
        <f>IFERROR(Sheet1!M627,0)</f>
        <v>Birganj</v>
      </c>
      <c r="H627" s="43" t="str">
        <f>IFERROR(Sheet1!H627,0)</f>
        <v>RKY</v>
      </c>
      <c r="I627" s="43" t="str">
        <f>IFERROR(Sheet1!G627,0)</f>
        <v>CFR</v>
      </c>
      <c r="J627" s="48">
        <f>IFERROR(Sheet1!K627,0)</f>
        <v>0</v>
      </c>
      <c r="K627" s="45">
        <f>IFERROR(Sheet1!A627,0)</f>
        <v>46172</v>
      </c>
      <c r="L627" s="45">
        <f>IFERROR(Sheet1!I627,0)</f>
        <v>0</v>
      </c>
      <c r="M627" s="47" t="str">
        <f>IFERROR(Sheet1!P627,0)</f>
        <v>NA</v>
      </c>
      <c r="N627" s="46">
        <f>IFERROR(IF(ISNUMBER(Sheet1!N627),Sheet1!N627,0),0)</f>
        <v>130000</v>
      </c>
      <c r="O627" s="46">
        <f>IFERROR(IF(TRIM(F627)="Nhava Sheva",SUMPRODUCT((UPPER(TRIM('Origin Costs'!$A$5:$A$44))=UPPER(TRIM(J627)))*'Origin Costs'!$C$5:$C$44),IF(TRIM(F627)="ICD Tihi",SUMPRODUCT((UPPER(TRIM('Origin Costs'!$A$49:$A$88))=UPPER(TRIM(J627)))*'Origin Costs'!$C$49:$C$88),IF(TRIM(F627)="ICD Dhannad",SUMPRODUCT((UPPER(TRIM('Origin Costs'!$A$93:$A$132))=UPPER(TRIM(J627)))*'Origin Costs'!$C$93:$C$132),0))),0)</f>
        <v>0</v>
      </c>
      <c r="P627" s="46">
        <f t="shared" si="9"/>
        <v>130000</v>
      </c>
      <c r="Q627" s="13" t="str">
        <f>IF(OR(Dashboard!$C$4="All Customers",$E627=Dashboard!$C$4),IF($E627="","",$P627+ROW()/10000000),"")</f>
        <v/>
      </c>
    </row>
    <row r="628" spans="1:17" ht="14.25" customHeight="1" x14ac:dyDescent="0.3">
      <c r="A628" s="39" t="str">
        <f>IFERROR("FY"&amp;TEXT(MOD(IF(MONTH(Sheet1!A628)&gt;=4,YEAR(Sheet1!A628),YEAR(Sheet1!A628)-1),100),"00")&amp;"-"&amp;TEXT(MOD(IF(MONTH(Sheet1!A628)&gt;=4,YEAR(Sheet1!A628),YEAR(Sheet1!A628)-1)+1,100),"00"),"")</f>
        <v>FY26-27</v>
      </c>
      <c r="B628" s="40" t="str">
        <f>IFERROR("Q"&amp;IF(MONTH(Sheet1!A628)&gt;=4,IF(MONTH(Sheet1!A628)&lt;=6,1,IF(MONTH(Sheet1!A628)&lt;=9,2,3)),4),"")</f>
        <v>Q1</v>
      </c>
      <c r="C628" s="39" t="str">
        <f>IFERROR(Sheet1!C628,0)</f>
        <v>ISC</v>
      </c>
      <c r="D628" s="39" t="str">
        <f>IFERROR(Sheet1!F628,0)</f>
        <v>Sri Lanka</v>
      </c>
      <c r="E628" s="39" t="str">
        <f>IFERROR(Sheet1!E628,0)</f>
        <v>Supergrip International, Srilanka</v>
      </c>
      <c r="F628" s="39" t="str">
        <f>IFERROR(IF(UPPER(TRIM(Sheet1!J628))="NH","Nhava Sheva",IF(UPPER(TRIM(Sheet1!J628))="ICD","ICD Dhannad",IF(UPPER(TRIM(Sheet1!J628))="TIHI","ICD Tihi",Sheet1!J628))),0)</f>
        <v>Nhava Sheva</v>
      </c>
      <c r="G628" s="39" t="str">
        <f>IFERROR(Sheet1!M628,0)</f>
        <v>Colombo</v>
      </c>
      <c r="H628" s="39" t="str">
        <f>IFERROR(Sheet1!H628,0)</f>
        <v>UP4 International</v>
      </c>
      <c r="I628" s="39" t="str">
        <f>IFERROR(Sheet1!G628,0)</f>
        <v>FOB</v>
      </c>
      <c r="J628" s="39" t="str">
        <f>IFERROR(Sheet1!K628,0)</f>
        <v>OOCL</v>
      </c>
      <c r="K628" s="41">
        <f>IFERROR(Sheet1!A628,0)</f>
        <v>46173</v>
      </c>
      <c r="L628" s="41">
        <f>IFERROR(Sheet1!I628,0)</f>
        <v>46170</v>
      </c>
      <c r="M628" s="47" t="str">
        <f>IFERROR(Sheet1!P628,0)</f>
        <v>NA</v>
      </c>
      <c r="N628" s="42">
        <f>IFERROR(IF(ISNUMBER(Sheet1!N628),Sheet1!N628,0),0)</f>
        <v>0</v>
      </c>
      <c r="O628" s="42">
        <f>IFERROR(IF(TRIM(F628)="Nhava Sheva",SUMPRODUCT((UPPER(TRIM('Origin Costs'!$A$5:$A$44))=UPPER(TRIM(J628)))*'Origin Costs'!$C$5:$C$44),IF(TRIM(F628)="ICD Tihi",SUMPRODUCT((UPPER(TRIM('Origin Costs'!$A$49:$A$88))=UPPER(TRIM(J628)))*'Origin Costs'!$C$49:$C$88),IF(TRIM(F628)="ICD Dhannad",SUMPRODUCT((UPPER(TRIM('Origin Costs'!$A$93:$A$132))=UPPER(TRIM(J628)))*'Origin Costs'!$C$93:$C$132),0))),0)</f>
        <v>0</v>
      </c>
      <c r="P628" s="42">
        <f t="shared" si="9"/>
        <v>0</v>
      </c>
      <c r="Q628" s="13" t="str">
        <f>IF(OR(Dashboard!$C$4="All Customers",$E628=Dashboard!$C$4),IF($E628="","",$P628+ROW()/10000000),"")</f>
        <v/>
      </c>
    </row>
    <row r="629" spans="1:17" ht="14.25" customHeight="1" x14ac:dyDescent="0.3">
      <c r="Q629" s="13" t="str">
        <f>IF(OR(Dashboard!$C$4="All Customers",$E629=Dashboard!$C$4),IF($E629="","",$P629+ROW()/10000000),"")</f>
        <v/>
      </c>
    </row>
    <row r="630" spans="1:17" ht="14.25" customHeight="1" x14ac:dyDescent="0.3">
      <c r="Q630" s="13" t="str">
        <f>IF(OR(Dashboard!$C$4="All Customers",$E630=Dashboard!$C$4),IF($E630="","",$P630+ROW()/10000000),"")</f>
        <v/>
      </c>
    </row>
    <row r="631" spans="1:17" ht="14.25" customHeight="1" x14ac:dyDescent="0.3">
      <c r="Q631" s="13" t="str">
        <f>IF(OR(Dashboard!$C$4="All Customers",$E631=Dashboard!$C$4),IF($E631="","",$P631+ROW()/10000000),"")</f>
        <v/>
      </c>
    </row>
    <row r="632" spans="1:17" ht="14.25" customHeight="1" x14ac:dyDescent="0.3">
      <c r="Q632" s="13" t="str">
        <f>IF(OR(Dashboard!$C$4="All Customers",$E632=Dashboard!$C$4),IF($E632="","",$P632+ROW()/10000000),"")</f>
        <v/>
      </c>
    </row>
    <row r="633" spans="1:17" ht="14.25" customHeight="1" x14ac:dyDescent="0.3">
      <c r="Q633" s="13" t="str">
        <f>IF(OR(Dashboard!$C$4="All Customers",$E633=Dashboard!$C$4),IF($E633="","",$P633+ROW()/10000000),"")</f>
        <v/>
      </c>
    </row>
    <row r="634" spans="1:17" ht="14.25" customHeight="1" x14ac:dyDescent="0.3">
      <c r="Q634" s="13" t="str">
        <f>IF(OR(Dashboard!$C$4="All Customers",$E634=Dashboard!$C$4),IF($E634="","",$P634+ROW()/10000000),"")</f>
        <v/>
      </c>
    </row>
    <row r="635" spans="1:17" ht="14.25" customHeight="1" x14ac:dyDescent="0.3">
      <c r="Q635" s="13" t="str">
        <f>IF(OR(Dashboard!$C$4="All Customers",$E635=Dashboard!$C$4),IF($E635="","",$P635+ROW()/10000000),"")</f>
        <v/>
      </c>
    </row>
    <row r="636" spans="1:17" ht="14.25" customHeight="1" x14ac:dyDescent="0.3">
      <c r="Q636" s="13" t="str">
        <f>IF(OR(Dashboard!$C$4="All Customers",$E636=Dashboard!$C$4),IF($E636="","",$P636+ROW()/10000000),"")</f>
        <v/>
      </c>
    </row>
    <row r="637" spans="1:17" ht="14.25" customHeight="1" x14ac:dyDescent="0.3">
      <c r="Q637" s="13" t="str">
        <f>IF(OR(Dashboard!$C$4="All Customers",$E637=Dashboard!$C$4),IF($E637="","",$P637+ROW()/10000000),"")</f>
        <v/>
      </c>
    </row>
    <row r="638" spans="1:17" ht="14.25" customHeight="1" x14ac:dyDescent="0.3">
      <c r="Q638" s="13" t="str">
        <f>IF(OR(Dashboard!$C$4="All Customers",$E638=Dashboard!$C$4),IF($E638="","",$P638+ROW()/10000000),"")</f>
        <v/>
      </c>
    </row>
    <row r="639" spans="1:17" ht="14.25" customHeight="1" x14ac:dyDescent="0.3">
      <c r="Q639" s="13" t="str">
        <f>IF(OR(Dashboard!$C$4="All Customers",$E639=Dashboard!$C$4),IF($E639="","",$P639+ROW()/10000000),"")</f>
        <v/>
      </c>
    </row>
    <row r="640" spans="1:17" ht="14.25" customHeight="1" x14ac:dyDescent="0.3">
      <c r="Q640" s="13" t="str">
        <f>IF(OR(Dashboard!$C$4="All Customers",$E640=Dashboard!$C$4),IF($E640="","",$P640+ROW()/10000000),"")</f>
        <v/>
      </c>
    </row>
    <row r="641" spans="17:17" ht="14.25" customHeight="1" x14ac:dyDescent="0.3">
      <c r="Q641" s="13" t="str">
        <f>IF(OR(Dashboard!$C$4="All Customers",$E641=Dashboard!$C$4),IF($E641="","",$P641+ROW()/10000000),"")</f>
        <v/>
      </c>
    </row>
    <row r="642" spans="17:17" ht="14.25" customHeight="1" x14ac:dyDescent="0.3">
      <c r="Q642" s="13" t="str">
        <f>IF(OR(Dashboard!$C$4="All Customers",$E642=Dashboard!$C$4),IF($E642="","",$P642+ROW()/10000000),"")</f>
        <v/>
      </c>
    </row>
    <row r="643" spans="17:17" ht="14.25" customHeight="1" x14ac:dyDescent="0.3">
      <c r="Q643" s="13" t="str">
        <f>IF(OR(Dashboard!$C$4="All Customers",$E643=Dashboard!$C$4),IF($E643="","",$P643+ROW()/10000000),"")</f>
        <v/>
      </c>
    </row>
    <row r="644" spans="17:17" ht="14.25" customHeight="1" x14ac:dyDescent="0.3">
      <c r="Q644" s="13" t="str">
        <f>IF(OR(Dashboard!$C$4="All Customers",$E644=Dashboard!$C$4),IF($E644="","",$P644+ROW()/10000000),"")</f>
        <v/>
      </c>
    </row>
    <row r="645" spans="17:17" ht="14.25" customHeight="1" x14ac:dyDescent="0.3">
      <c r="Q645" s="13" t="str">
        <f>IF(OR(Dashboard!$C$4="All Customers",$E645=Dashboard!$C$4),IF($E645="","",$P645+ROW()/10000000),"")</f>
        <v/>
      </c>
    </row>
    <row r="646" spans="17:17" ht="14.25" customHeight="1" x14ac:dyDescent="0.3">
      <c r="Q646" s="13" t="str">
        <f>IF(OR(Dashboard!$C$4="All Customers",$E646=Dashboard!$C$4),IF($E646="","",$P646+ROW()/10000000),"")</f>
        <v/>
      </c>
    </row>
    <row r="647" spans="17:17" ht="14.25" customHeight="1" x14ac:dyDescent="0.3">
      <c r="Q647" s="13" t="str">
        <f>IF(OR(Dashboard!$C$4="All Customers",$E647=Dashboard!$C$4),IF($E647="","",$P647+ROW()/10000000),"")</f>
        <v/>
      </c>
    </row>
    <row r="648" spans="17:17" ht="14.25" customHeight="1" x14ac:dyDescent="0.3">
      <c r="Q648" s="13" t="str">
        <f>IF(OR(Dashboard!$C$4="All Customers",$E648=Dashboard!$C$4),IF($E648="","",$P648+ROW()/10000000),"")</f>
        <v/>
      </c>
    </row>
    <row r="649" spans="17:17" ht="14.25" customHeight="1" x14ac:dyDescent="0.3">
      <c r="Q649" s="13" t="str">
        <f>IF(OR(Dashboard!$C$4="All Customers",$E649=Dashboard!$C$4),IF($E649="","",$P649+ROW()/10000000),"")</f>
        <v/>
      </c>
    </row>
    <row r="650" spans="17:17" ht="14.25" customHeight="1" x14ac:dyDescent="0.3">
      <c r="Q650" s="13" t="str">
        <f>IF(OR(Dashboard!$C$4="All Customers",$E650=Dashboard!$C$4),IF($E650="","",$P650+ROW()/10000000),"")</f>
        <v/>
      </c>
    </row>
    <row r="651" spans="17:17" ht="14.25" customHeight="1" x14ac:dyDescent="0.3">
      <c r="Q651" s="13" t="str">
        <f>IF(OR(Dashboard!$C$4="All Customers",$E651=Dashboard!$C$4),IF($E651="","",$P651+ROW()/10000000),"")</f>
        <v/>
      </c>
    </row>
    <row r="652" spans="17:17" ht="14.25" customHeight="1" x14ac:dyDescent="0.3">
      <c r="Q652" s="13" t="str">
        <f>IF(OR(Dashboard!$C$4="All Customers",$E652=Dashboard!$C$4),IF($E652="","",$P652+ROW()/10000000),"")</f>
        <v/>
      </c>
    </row>
    <row r="653" spans="17:17" ht="14.25" customHeight="1" x14ac:dyDescent="0.3">
      <c r="Q653" s="13" t="str">
        <f>IF(OR(Dashboard!$C$4="All Customers",$E653=Dashboard!$C$4),IF($E653="","",$P653+ROW()/10000000),"")</f>
        <v/>
      </c>
    </row>
    <row r="654" spans="17:17" ht="14.25" customHeight="1" x14ac:dyDescent="0.3">
      <c r="Q654" s="13" t="str">
        <f>IF(OR(Dashboard!$C$4="All Customers",$E654=Dashboard!$C$4),IF($E654="","",$P654+ROW()/10000000),"")</f>
        <v/>
      </c>
    </row>
    <row r="655" spans="17:17" ht="14.25" customHeight="1" x14ac:dyDescent="0.3">
      <c r="Q655" s="13" t="str">
        <f>IF(OR(Dashboard!$C$4="All Customers",$E655=Dashboard!$C$4),IF($E655="","",$P655+ROW()/10000000),"")</f>
        <v/>
      </c>
    </row>
    <row r="656" spans="17:17" ht="14.25" customHeight="1" x14ac:dyDescent="0.3">
      <c r="Q656" s="13" t="str">
        <f>IF(OR(Dashboard!$C$4="All Customers",$E656=Dashboard!$C$4),IF($E656="","",$P656+ROW()/10000000),"")</f>
        <v/>
      </c>
    </row>
    <row r="657" spans="17:17" ht="14.25" customHeight="1" x14ac:dyDescent="0.3">
      <c r="Q657" s="13" t="str">
        <f>IF(OR(Dashboard!$C$4="All Customers",$E657=Dashboard!$C$4),IF($E657="","",$P657+ROW()/10000000),"")</f>
        <v/>
      </c>
    </row>
    <row r="658" spans="17:17" ht="14.25" customHeight="1" x14ac:dyDescent="0.3">
      <c r="Q658" s="13" t="str">
        <f>IF(OR(Dashboard!$C$4="All Customers",$E658=Dashboard!$C$4),IF($E658="","",$P658+ROW()/10000000),"")</f>
        <v/>
      </c>
    </row>
    <row r="659" spans="17:17" ht="14.25" customHeight="1" x14ac:dyDescent="0.3">
      <c r="Q659" s="13" t="str">
        <f>IF(OR(Dashboard!$C$4="All Customers",$E659=Dashboard!$C$4),IF($E659="","",$P659+ROW()/10000000),"")</f>
        <v/>
      </c>
    </row>
    <row r="660" spans="17:17" ht="14.25" customHeight="1" x14ac:dyDescent="0.3">
      <c r="Q660" s="13" t="str">
        <f>IF(OR(Dashboard!$C$4="All Customers",$E660=Dashboard!$C$4),IF($E660="","",$P660+ROW()/10000000),"")</f>
        <v/>
      </c>
    </row>
    <row r="661" spans="17:17" ht="14.25" customHeight="1" x14ac:dyDescent="0.3">
      <c r="Q661" s="13" t="str">
        <f>IF(OR(Dashboard!$C$4="All Customers",$E661=Dashboard!$C$4),IF($E661="","",$P661+ROW()/10000000),"")</f>
        <v/>
      </c>
    </row>
    <row r="662" spans="17:17" ht="14.25" customHeight="1" x14ac:dyDescent="0.3">
      <c r="Q662" s="13" t="str">
        <f>IF(OR(Dashboard!$C$4="All Customers",$E662=Dashboard!$C$4),IF($E662="","",$P662+ROW()/10000000),"")</f>
        <v/>
      </c>
    </row>
    <row r="663" spans="17:17" ht="14.25" customHeight="1" x14ac:dyDescent="0.3">
      <c r="Q663" s="13" t="str">
        <f>IF(OR(Dashboard!$C$4="All Customers",$E663=Dashboard!$C$4),IF($E663="","",$P663+ROW()/10000000),"")</f>
        <v/>
      </c>
    </row>
    <row r="664" spans="17:17" ht="14.25" customHeight="1" x14ac:dyDescent="0.3">
      <c r="Q664" s="13" t="str">
        <f>IF(OR(Dashboard!$C$4="All Customers",$E664=Dashboard!$C$4),IF($E664="","",$P664+ROW()/10000000),"")</f>
        <v/>
      </c>
    </row>
    <row r="665" spans="17:17" ht="14.25" customHeight="1" x14ac:dyDescent="0.3">
      <c r="Q665" s="13" t="str">
        <f>IF(OR(Dashboard!$C$4="All Customers",$E665=Dashboard!$C$4),IF($E665="","",$P665+ROW()/10000000),"")</f>
        <v/>
      </c>
    </row>
    <row r="666" spans="17:17" ht="14.25" customHeight="1" x14ac:dyDescent="0.3">
      <c r="Q666" s="13" t="str">
        <f>IF(OR(Dashboard!$C$4="All Customers",$E666=Dashboard!$C$4),IF($E666="","",$P666+ROW()/10000000),"")</f>
        <v/>
      </c>
    </row>
    <row r="667" spans="17:17" ht="14.25" customHeight="1" x14ac:dyDescent="0.3">
      <c r="Q667" s="13" t="str">
        <f>IF(OR(Dashboard!$C$4="All Customers",$E667=Dashboard!$C$4),IF($E667="","",$P667+ROW()/10000000),"")</f>
        <v/>
      </c>
    </row>
    <row r="668" spans="17:17" ht="14.25" customHeight="1" x14ac:dyDescent="0.3">
      <c r="Q668" s="13" t="str">
        <f>IF(OR(Dashboard!$C$4="All Customers",$E668=Dashboard!$C$4),IF($E668="","",$P668+ROW()/10000000),"")</f>
        <v/>
      </c>
    </row>
    <row r="669" spans="17:17" ht="14.25" customHeight="1" x14ac:dyDescent="0.3">
      <c r="Q669" s="13" t="str">
        <f>IF(OR(Dashboard!$C$4="All Customers",$E669=Dashboard!$C$4),IF($E669="","",$P669+ROW()/10000000),"")</f>
        <v/>
      </c>
    </row>
    <row r="670" spans="17:17" ht="14.25" customHeight="1" x14ac:dyDescent="0.3">
      <c r="Q670" s="13" t="str">
        <f>IF(OR(Dashboard!$C$4="All Customers",$E670=Dashboard!$C$4),IF($E670="","",$P670+ROW()/10000000),"")</f>
        <v/>
      </c>
    </row>
    <row r="671" spans="17:17" ht="14.25" customHeight="1" x14ac:dyDescent="0.3">
      <c r="Q671" s="13" t="str">
        <f>IF(OR(Dashboard!$C$4="All Customers",$E671=Dashboard!$C$4),IF($E671="","",$P671+ROW()/10000000),"")</f>
        <v/>
      </c>
    </row>
    <row r="672" spans="17:17" ht="14.25" customHeight="1" x14ac:dyDescent="0.3">
      <c r="Q672" s="13" t="str">
        <f>IF(OR(Dashboard!$C$4="All Customers",$E672=Dashboard!$C$4),IF($E672="","",$P672+ROW()/10000000),"")</f>
        <v/>
      </c>
    </row>
    <row r="673" spans="17:17" ht="14.25" customHeight="1" x14ac:dyDescent="0.3">
      <c r="Q673" s="13" t="str">
        <f>IF(OR(Dashboard!$C$4="All Customers",$E673=Dashboard!$C$4),IF($E673="","",$P673+ROW()/10000000),"")</f>
        <v/>
      </c>
    </row>
    <row r="674" spans="17:17" ht="14.25" customHeight="1" x14ac:dyDescent="0.3">
      <c r="Q674" s="13" t="str">
        <f>IF(OR(Dashboard!$C$4="All Customers",$E674=Dashboard!$C$4),IF($E674="","",$P674+ROW()/10000000),"")</f>
        <v/>
      </c>
    </row>
    <row r="675" spans="17:17" ht="14.25" customHeight="1" x14ac:dyDescent="0.3">
      <c r="Q675" s="13" t="str">
        <f>IF(OR(Dashboard!$C$4="All Customers",$E675=Dashboard!$C$4),IF($E675="","",$P675+ROW()/10000000),"")</f>
        <v/>
      </c>
    </row>
    <row r="676" spans="17:17" ht="14.25" customHeight="1" x14ac:dyDescent="0.3">
      <c r="Q676" s="13" t="str">
        <f>IF(OR(Dashboard!$C$4="All Customers",$E676=Dashboard!$C$4),IF($E676="","",$P676+ROW()/10000000),"")</f>
        <v/>
      </c>
    </row>
    <row r="677" spans="17:17" ht="14.25" customHeight="1" x14ac:dyDescent="0.3">
      <c r="Q677" s="13" t="str">
        <f>IF(OR(Dashboard!$C$4="All Customers",$E677=Dashboard!$C$4),IF($E677="","",$P677+ROW()/10000000),"")</f>
        <v/>
      </c>
    </row>
    <row r="678" spans="17:17" ht="14.25" customHeight="1" x14ac:dyDescent="0.3">
      <c r="Q678" s="13" t="str">
        <f>IF(OR(Dashboard!$C$4="All Customers",$E678=Dashboard!$C$4),IF($E678="","",$P678+ROW()/10000000),"")</f>
        <v/>
      </c>
    </row>
    <row r="679" spans="17:17" ht="14.25" customHeight="1" x14ac:dyDescent="0.3">
      <c r="Q679" s="13" t="str">
        <f>IF(OR(Dashboard!$C$4="All Customers",$E679=Dashboard!$C$4),IF($E679="","",$P679+ROW()/10000000),"")</f>
        <v/>
      </c>
    </row>
    <row r="680" spans="17:17" ht="14.25" customHeight="1" x14ac:dyDescent="0.3">
      <c r="Q680" s="13" t="str">
        <f>IF(OR(Dashboard!$C$4="All Customers",$E680=Dashboard!$C$4),IF($E680="","",$P680+ROW()/10000000),"")</f>
        <v/>
      </c>
    </row>
    <row r="681" spans="17:17" ht="14.25" customHeight="1" x14ac:dyDescent="0.3">
      <c r="Q681" s="13" t="str">
        <f>IF(OR(Dashboard!$C$4="All Customers",$E681=Dashboard!$C$4),IF($E681="","",$P681+ROW()/10000000),"")</f>
        <v/>
      </c>
    </row>
    <row r="682" spans="17:17" ht="14.25" customHeight="1" x14ac:dyDescent="0.3">
      <c r="Q682" s="13" t="str">
        <f>IF(OR(Dashboard!$C$4="All Customers",$E682=Dashboard!$C$4),IF($E682="","",$P682+ROW()/10000000),"")</f>
        <v/>
      </c>
    </row>
    <row r="683" spans="17:17" ht="14.25" customHeight="1" x14ac:dyDescent="0.3">
      <c r="Q683" s="13" t="str">
        <f>IF(OR(Dashboard!$C$4="All Customers",$E683=Dashboard!$C$4),IF($E683="","",$P683+ROW()/10000000),"")</f>
        <v/>
      </c>
    </row>
    <row r="684" spans="17:17" ht="14.25" customHeight="1" x14ac:dyDescent="0.3">
      <c r="Q684" s="13" t="str">
        <f>IF(OR(Dashboard!$C$4="All Customers",$E684=Dashboard!$C$4),IF($E684="","",$P684+ROW()/10000000),"")</f>
        <v/>
      </c>
    </row>
    <row r="685" spans="17:17" ht="14.25" customHeight="1" x14ac:dyDescent="0.3">
      <c r="Q685" s="13" t="str">
        <f>IF(OR(Dashboard!$C$4="All Customers",$E685=Dashboard!$C$4),IF($E685="","",$P685+ROW()/10000000),"")</f>
        <v/>
      </c>
    </row>
    <row r="686" spans="17:17" ht="14.25" customHeight="1" x14ac:dyDescent="0.3">
      <c r="Q686" s="13" t="str">
        <f>IF(OR(Dashboard!$C$4="All Customers",$E686=Dashboard!$C$4),IF($E686="","",$P686+ROW()/10000000),"")</f>
        <v/>
      </c>
    </row>
    <row r="687" spans="17:17" ht="14.25" customHeight="1" x14ac:dyDescent="0.3">
      <c r="Q687" s="13" t="str">
        <f>IF(OR(Dashboard!$C$4="All Customers",$E687=Dashboard!$C$4),IF($E687="","",$P687+ROW()/10000000),"")</f>
        <v/>
      </c>
    </row>
    <row r="688" spans="17:17" ht="14.25" customHeight="1" x14ac:dyDescent="0.3">
      <c r="Q688" s="13" t="str">
        <f>IF(OR(Dashboard!$C$4="All Customers",$E688=Dashboard!$C$4),IF($E688="","",$P688+ROW()/10000000),"")</f>
        <v/>
      </c>
    </row>
    <row r="689" spans="17:17" ht="14.25" customHeight="1" x14ac:dyDescent="0.3">
      <c r="Q689" s="13" t="str">
        <f>IF(OR(Dashboard!$C$4="All Customers",$E689=Dashboard!$C$4),IF($E689="","",$P689+ROW()/10000000),"")</f>
        <v/>
      </c>
    </row>
    <row r="690" spans="17:17" ht="14.25" customHeight="1" x14ac:dyDescent="0.3">
      <c r="Q690" s="13" t="str">
        <f>IF(OR(Dashboard!$C$4="All Customers",$E690=Dashboard!$C$4),IF($E690="","",$P690+ROW()/10000000),"")</f>
        <v/>
      </c>
    </row>
    <row r="691" spans="17:17" ht="14.25" customHeight="1" x14ac:dyDescent="0.3">
      <c r="Q691" s="13" t="str">
        <f>IF(OR(Dashboard!$C$4="All Customers",$E691=Dashboard!$C$4),IF($E691="","",$P691+ROW()/10000000),"")</f>
        <v/>
      </c>
    </row>
    <row r="692" spans="17:17" ht="14.25" customHeight="1" x14ac:dyDescent="0.3">
      <c r="Q692" s="13" t="str">
        <f>IF(OR(Dashboard!$C$4="All Customers",$E692=Dashboard!$C$4),IF($E692="","",$P692+ROW()/10000000),"")</f>
        <v/>
      </c>
    </row>
    <row r="693" spans="17:17" ht="14.25" customHeight="1" x14ac:dyDescent="0.3">
      <c r="Q693" s="13" t="str">
        <f>IF(OR(Dashboard!$C$4="All Customers",$E693=Dashboard!$C$4),IF($E693="","",$P693+ROW()/10000000),"")</f>
        <v/>
      </c>
    </row>
    <row r="694" spans="17:17" ht="14.25" customHeight="1" x14ac:dyDescent="0.3">
      <c r="Q694" s="13" t="str">
        <f>IF(OR(Dashboard!$C$4="All Customers",$E694=Dashboard!$C$4),IF($E694="","",$P694+ROW()/10000000),"")</f>
        <v/>
      </c>
    </row>
    <row r="695" spans="17:17" ht="14.25" customHeight="1" x14ac:dyDescent="0.3">
      <c r="Q695" s="13" t="str">
        <f>IF(OR(Dashboard!$C$4="All Customers",$E695=Dashboard!$C$4),IF($E695="","",$P695+ROW()/10000000),"")</f>
        <v/>
      </c>
    </row>
    <row r="696" spans="17:17" ht="14.25" customHeight="1" x14ac:dyDescent="0.3">
      <c r="Q696" s="13" t="str">
        <f>IF(OR(Dashboard!$C$4="All Customers",$E696=Dashboard!$C$4),IF($E696="","",$P696+ROW()/10000000),"")</f>
        <v/>
      </c>
    </row>
    <row r="697" spans="17:17" ht="14.25" customHeight="1" x14ac:dyDescent="0.3">
      <c r="Q697" s="13" t="str">
        <f>IF(OR(Dashboard!$C$4="All Customers",$E697=Dashboard!$C$4),IF($E697="","",$P697+ROW()/10000000),"")</f>
        <v/>
      </c>
    </row>
    <row r="698" spans="17:17" ht="14.25" customHeight="1" x14ac:dyDescent="0.3">
      <c r="Q698" s="13" t="str">
        <f>IF(OR(Dashboard!$C$4="All Customers",$E698=Dashboard!$C$4),IF($E698="","",$P698+ROW()/10000000),"")</f>
        <v/>
      </c>
    </row>
    <row r="699" spans="17:17" ht="14.25" customHeight="1" x14ac:dyDescent="0.3">
      <c r="Q699" s="13" t="str">
        <f>IF(OR(Dashboard!$C$4="All Customers",$E699=Dashboard!$C$4),IF($E699="","",$P699+ROW()/10000000),"")</f>
        <v/>
      </c>
    </row>
    <row r="700" spans="17:17" ht="14.25" customHeight="1" x14ac:dyDescent="0.3">
      <c r="Q700" s="13" t="str">
        <f>IF(OR(Dashboard!$C$4="All Customers",$E700=Dashboard!$C$4),IF($E700="","",$P700+ROW()/10000000),"")</f>
        <v/>
      </c>
    </row>
    <row r="701" spans="17:17" ht="14.25" customHeight="1" x14ac:dyDescent="0.3">
      <c r="Q701" s="13" t="str">
        <f>IF(OR(Dashboard!$C$4="All Customers",$E701=Dashboard!$C$4),IF($E701="","",$P701+ROW()/10000000),"")</f>
        <v/>
      </c>
    </row>
    <row r="702" spans="17:17" ht="14.25" customHeight="1" x14ac:dyDescent="0.3">
      <c r="Q702" s="13" t="str">
        <f>IF(OR(Dashboard!$C$4="All Customers",$E702=Dashboard!$C$4),IF($E702="","",$P702+ROW()/10000000),"")</f>
        <v/>
      </c>
    </row>
    <row r="703" spans="17:17" ht="14.25" customHeight="1" x14ac:dyDescent="0.3">
      <c r="Q703" s="13" t="str">
        <f>IF(OR(Dashboard!$C$4="All Customers",$E703=Dashboard!$C$4),IF($E703="","",$P703+ROW()/10000000),"")</f>
        <v/>
      </c>
    </row>
    <row r="704" spans="17:17" ht="14.25" customHeight="1" x14ac:dyDescent="0.3">
      <c r="Q704" s="13" t="str">
        <f>IF(OR(Dashboard!$C$4="All Customers",$E704=Dashboard!$C$4),IF($E704="","",$P704+ROW()/10000000),"")</f>
        <v/>
      </c>
    </row>
    <row r="705" spans="17:17" ht="14.25" customHeight="1" x14ac:dyDescent="0.3">
      <c r="Q705" s="13" t="str">
        <f>IF(OR(Dashboard!$C$4="All Customers",$E705=Dashboard!$C$4),IF($E705="","",$P705+ROW()/10000000),"")</f>
        <v/>
      </c>
    </row>
    <row r="706" spans="17:17" ht="14.25" customHeight="1" x14ac:dyDescent="0.3">
      <c r="Q706" s="13" t="str">
        <f>IF(OR(Dashboard!$C$4="All Customers",$E706=Dashboard!$C$4),IF($E706="","",$P706+ROW()/10000000),"")</f>
        <v/>
      </c>
    </row>
    <row r="707" spans="17:17" ht="14.25" customHeight="1" x14ac:dyDescent="0.3">
      <c r="Q707" s="13" t="str">
        <f>IF(OR(Dashboard!$C$4="All Customers",$E707=Dashboard!$C$4),IF($E707="","",$P707+ROW()/10000000),"")</f>
        <v/>
      </c>
    </row>
    <row r="708" spans="17:17" ht="14.25" customHeight="1" x14ac:dyDescent="0.3">
      <c r="Q708" s="13" t="str">
        <f>IF(OR(Dashboard!$C$4="All Customers",$E708=Dashboard!$C$4),IF($E708="","",$P708+ROW()/10000000),"")</f>
        <v/>
      </c>
    </row>
    <row r="709" spans="17:17" ht="14.25" customHeight="1" x14ac:dyDescent="0.3">
      <c r="Q709" s="13" t="str">
        <f>IF(OR(Dashboard!$C$4="All Customers",$E709=Dashboard!$C$4),IF($E709="","",$P709+ROW()/10000000),"")</f>
        <v/>
      </c>
    </row>
    <row r="710" spans="17:17" ht="14.25" customHeight="1" x14ac:dyDescent="0.3">
      <c r="Q710" s="13" t="str">
        <f>IF(OR(Dashboard!$C$4="All Customers",$E710=Dashboard!$C$4),IF($E710="","",$P710+ROW()/10000000),"")</f>
        <v/>
      </c>
    </row>
    <row r="711" spans="17:17" ht="14.25" customHeight="1" x14ac:dyDescent="0.3">
      <c r="Q711" s="13" t="str">
        <f>IF(OR(Dashboard!$C$4="All Customers",$E711=Dashboard!$C$4),IF($E711="","",$P711+ROW()/10000000),"")</f>
        <v/>
      </c>
    </row>
    <row r="712" spans="17:17" ht="14.25" customHeight="1" x14ac:dyDescent="0.3">
      <c r="Q712" s="13" t="str">
        <f>IF(OR(Dashboard!$C$4="All Customers",$E712=Dashboard!$C$4),IF($E712="","",$P712+ROW()/10000000),"")</f>
        <v/>
      </c>
    </row>
    <row r="713" spans="17:17" ht="14.25" customHeight="1" x14ac:dyDescent="0.3">
      <c r="Q713" s="13" t="str">
        <f>IF(OR(Dashboard!$C$4="All Customers",$E713=Dashboard!$C$4),IF($E713="","",$P713+ROW()/10000000),"")</f>
        <v/>
      </c>
    </row>
    <row r="714" spans="17:17" ht="14.25" customHeight="1" x14ac:dyDescent="0.3">
      <c r="Q714" s="13" t="str">
        <f>IF(OR(Dashboard!$C$4="All Customers",$E714=Dashboard!$C$4),IF($E714="","",$P714+ROW()/10000000),"")</f>
        <v/>
      </c>
    </row>
    <row r="715" spans="17:17" ht="14.25" customHeight="1" x14ac:dyDescent="0.3">
      <c r="Q715" s="13" t="str">
        <f>IF(OR(Dashboard!$C$4="All Customers",$E715=Dashboard!$C$4),IF($E715="","",$P715+ROW()/10000000),"")</f>
        <v/>
      </c>
    </row>
    <row r="716" spans="17:17" ht="14.25" customHeight="1" x14ac:dyDescent="0.3">
      <c r="Q716" s="13" t="str">
        <f>IF(OR(Dashboard!$C$4="All Customers",$E716=Dashboard!$C$4),IF($E716="","",$P716+ROW()/10000000),"")</f>
        <v/>
      </c>
    </row>
    <row r="717" spans="17:17" ht="14.25" customHeight="1" x14ac:dyDescent="0.3">
      <c r="Q717" s="13" t="str">
        <f>IF(OR(Dashboard!$C$4="All Customers",$E717=Dashboard!$C$4),IF($E717="","",$P717+ROW()/10000000),"")</f>
        <v/>
      </c>
    </row>
    <row r="718" spans="17:17" ht="14.25" customHeight="1" x14ac:dyDescent="0.3">
      <c r="Q718" s="13" t="str">
        <f>IF(OR(Dashboard!$C$4="All Customers",$E718=Dashboard!$C$4),IF($E718="","",$P718+ROW()/10000000),"")</f>
        <v/>
      </c>
    </row>
    <row r="719" spans="17:17" ht="14.25" customHeight="1" x14ac:dyDescent="0.3">
      <c r="Q719" s="13" t="str">
        <f>IF(OR(Dashboard!$C$4="All Customers",$E719=Dashboard!$C$4),IF($E719="","",$P719+ROW()/10000000),"")</f>
        <v/>
      </c>
    </row>
    <row r="720" spans="17:17" ht="14.25" customHeight="1" x14ac:dyDescent="0.3">
      <c r="Q720" s="13" t="str">
        <f>IF(OR(Dashboard!$C$4="All Customers",$E720=Dashboard!$C$4),IF($E720="","",$P720+ROW()/10000000),"")</f>
        <v/>
      </c>
    </row>
    <row r="721" spans="17:17" ht="14.25" customHeight="1" x14ac:dyDescent="0.3">
      <c r="Q721" s="13" t="str">
        <f>IF(OR(Dashboard!$C$4="All Customers",$E721=Dashboard!$C$4),IF($E721="","",$P721+ROW()/10000000),"")</f>
        <v/>
      </c>
    </row>
    <row r="722" spans="17:17" ht="14.25" customHeight="1" x14ac:dyDescent="0.3">
      <c r="Q722" s="13" t="str">
        <f>IF(OR(Dashboard!$C$4="All Customers",$E722=Dashboard!$C$4),IF($E722="","",$P722+ROW()/10000000),"")</f>
        <v/>
      </c>
    </row>
    <row r="723" spans="17:17" ht="14.25" customHeight="1" x14ac:dyDescent="0.3">
      <c r="Q723" s="13" t="str">
        <f>IF(OR(Dashboard!$C$4="All Customers",$E723=Dashboard!$C$4),IF($E723="","",$P723+ROW()/10000000),"")</f>
        <v/>
      </c>
    </row>
    <row r="724" spans="17:17" ht="14.25" customHeight="1" x14ac:dyDescent="0.3">
      <c r="Q724" s="13" t="str">
        <f>IF(OR(Dashboard!$C$4="All Customers",$E724=Dashboard!$C$4),IF($E724="","",$P724+ROW()/10000000),"")</f>
        <v/>
      </c>
    </row>
    <row r="725" spans="17:17" ht="14.25" customHeight="1" x14ac:dyDescent="0.3">
      <c r="Q725" s="13" t="str">
        <f>IF(OR(Dashboard!$C$4="All Customers",$E725=Dashboard!$C$4),IF($E725="","",$P725+ROW()/10000000),"")</f>
        <v/>
      </c>
    </row>
    <row r="726" spans="17:17" ht="14.25" customHeight="1" x14ac:dyDescent="0.3">
      <c r="Q726" s="13" t="str">
        <f>IF(OR(Dashboard!$C$4="All Customers",$E726=Dashboard!$C$4),IF($E726="","",$P726+ROW()/10000000),"")</f>
        <v/>
      </c>
    </row>
    <row r="727" spans="17:17" ht="14.25" customHeight="1" x14ac:dyDescent="0.3">
      <c r="Q727" s="13" t="str">
        <f>IF(OR(Dashboard!$C$4="All Customers",$E727=Dashboard!$C$4),IF($E727="","",$P727+ROW()/10000000),"")</f>
        <v/>
      </c>
    </row>
    <row r="728" spans="17:17" ht="14.25" customHeight="1" x14ac:dyDescent="0.3">
      <c r="Q728" s="13" t="str">
        <f>IF(OR(Dashboard!$C$4="All Customers",$E728=Dashboard!$C$4),IF($E728="","",$P728+ROW()/10000000),"")</f>
        <v/>
      </c>
    </row>
    <row r="729" spans="17:17" ht="14.25" customHeight="1" x14ac:dyDescent="0.3">
      <c r="Q729" s="13" t="str">
        <f>IF(OR(Dashboard!$C$4="All Customers",$E729=Dashboard!$C$4),IF($E729="","",$P729+ROW()/10000000),"")</f>
        <v/>
      </c>
    </row>
    <row r="730" spans="17:17" ht="14.25" customHeight="1" x14ac:dyDescent="0.3">
      <c r="Q730" s="13" t="str">
        <f>IF(OR(Dashboard!$C$4="All Customers",$E730=Dashboard!$C$4),IF($E730="","",$P730+ROW()/10000000),"")</f>
        <v/>
      </c>
    </row>
    <row r="731" spans="17:17" ht="14.25" customHeight="1" x14ac:dyDescent="0.3">
      <c r="Q731" s="13" t="str">
        <f>IF(OR(Dashboard!$C$4="All Customers",$E731=Dashboard!$C$4),IF($E731="","",$P731+ROW()/10000000),"")</f>
        <v/>
      </c>
    </row>
    <row r="732" spans="17:17" ht="14.25" customHeight="1" x14ac:dyDescent="0.3">
      <c r="Q732" s="13" t="str">
        <f>IF(OR(Dashboard!$C$4="All Customers",$E732=Dashboard!$C$4),IF($E732="","",$P732+ROW()/10000000),"")</f>
        <v/>
      </c>
    </row>
    <row r="733" spans="17:17" ht="14.25" customHeight="1" x14ac:dyDescent="0.3">
      <c r="Q733" s="13" t="str">
        <f>IF(OR(Dashboard!$C$4="All Customers",$E733=Dashboard!$C$4),IF($E733="","",$P733+ROW()/10000000),"")</f>
        <v/>
      </c>
    </row>
    <row r="734" spans="17:17" ht="14.25" customHeight="1" x14ac:dyDescent="0.3">
      <c r="Q734" s="13" t="str">
        <f>IF(OR(Dashboard!$C$4="All Customers",$E734=Dashboard!$C$4),IF($E734="","",$P734+ROW()/10000000),"")</f>
        <v/>
      </c>
    </row>
    <row r="735" spans="17:17" ht="14.25" customHeight="1" x14ac:dyDescent="0.3">
      <c r="Q735" s="13" t="str">
        <f>IF(OR(Dashboard!$C$4="All Customers",$E735=Dashboard!$C$4),IF($E735="","",$P735+ROW()/10000000),"")</f>
        <v/>
      </c>
    </row>
    <row r="736" spans="17:17" ht="14.25" customHeight="1" x14ac:dyDescent="0.3">
      <c r="Q736" s="13" t="str">
        <f>IF(OR(Dashboard!$C$4="All Customers",$E736=Dashboard!$C$4),IF($E736="","",$P736+ROW()/10000000),"")</f>
        <v/>
      </c>
    </row>
    <row r="737" spans="17:17" ht="14.25" customHeight="1" x14ac:dyDescent="0.3">
      <c r="Q737" s="13" t="str">
        <f>IF(OR(Dashboard!$C$4="All Customers",$E737=Dashboard!$C$4),IF($E737="","",$P737+ROW()/10000000),"")</f>
        <v/>
      </c>
    </row>
    <row r="738" spans="17:17" ht="14.25" customHeight="1" x14ac:dyDescent="0.3">
      <c r="Q738" s="13" t="str">
        <f>IF(OR(Dashboard!$C$4="All Customers",$E738=Dashboard!$C$4),IF($E738="","",$P738+ROW()/10000000),"")</f>
        <v/>
      </c>
    </row>
    <row r="739" spans="17:17" ht="14.25" customHeight="1" x14ac:dyDescent="0.3">
      <c r="Q739" s="13" t="str">
        <f>IF(OR(Dashboard!$C$4="All Customers",$E739=Dashboard!$C$4),IF($E739="","",$P739+ROW()/10000000),"")</f>
        <v/>
      </c>
    </row>
    <row r="740" spans="17:17" ht="14.25" customHeight="1" x14ac:dyDescent="0.3">
      <c r="Q740" s="13" t="str">
        <f>IF(OR(Dashboard!$C$4="All Customers",$E740=Dashboard!$C$4),IF($E740="","",$P740+ROW()/10000000),"")</f>
        <v/>
      </c>
    </row>
    <row r="741" spans="17:17" ht="14.25" customHeight="1" x14ac:dyDescent="0.3">
      <c r="Q741" s="13" t="str">
        <f>IF(OR(Dashboard!$C$4="All Customers",$E741=Dashboard!$C$4),IF($E741="","",$P741+ROW()/10000000),"")</f>
        <v/>
      </c>
    </row>
    <row r="742" spans="17:17" ht="14.25" customHeight="1" x14ac:dyDescent="0.3">
      <c r="Q742" s="13" t="str">
        <f>IF(OR(Dashboard!$C$4="All Customers",$E742=Dashboard!$C$4),IF($E742="","",$P742+ROW()/10000000),"")</f>
        <v/>
      </c>
    </row>
    <row r="743" spans="17:17" ht="14.25" customHeight="1" x14ac:dyDescent="0.3">
      <c r="Q743" s="13" t="str">
        <f>IF(OR(Dashboard!$C$4="All Customers",$E743=Dashboard!$C$4),IF($E743="","",$P743+ROW()/10000000),"")</f>
        <v/>
      </c>
    </row>
    <row r="744" spans="17:17" ht="14.25" customHeight="1" x14ac:dyDescent="0.3">
      <c r="Q744" s="13" t="str">
        <f>IF(OR(Dashboard!$C$4="All Customers",$E744=Dashboard!$C$4),IF($E744="","",$P744+ROW()/10000000),"")</f>
        <v/>
      </c>
    </row>
    <row r="745" spans="17:17" ht="14.25" customHeight="1" x14ac:dyDescent="0.3">
      <c r="Q745" s="13" t="str">
        <f>IF(OR(Dashboard!$C$4="All Customers",$E745=Dashboard!$C$4),IF($E745="","",$P745+ROW()/10000000),"")</f>
        <v/>
      </c>
    </row>
    <row r="746" spans="17:17" ht="14.25" customHeight="1" x14ac:dyDescent="0.3">
      <c r="Q746" s="13" t="str">
        <f>IF(OR(Dashboard!$C$4="All Customers",$E746=Dashboard!$C$4),IF($E746="","",$P746+ROW()/10000000),"")</f>
        <v/>
      </c>
    </row>
    <row r="747" spans="17:17" ht="14.25" customHeight="1" x14ac:dyDescent="0.3">
      <c r="Q747" s="13" t="str">
        <f>IF(OR(Dashboard!$C$4="All Customers",$E747=Dashboard!$C$4),IF($E747="","",$P747+ROW()/10000000),"")</f>
        <v/>
      </c>
    </row>
    <row r="748" spans="17:17" ht="14.25" customHeight="1" x14ac:dyDescent="0.3">
      <c r="Q748" s="13" t="str">
        <f>IF(OR(Dashboard!$C$4="All Customers",$E748=Dashboard!$C$4),IF($E748="","",$P748+ROW()/10000000),"")</f>
        <v/>
      </c>
    </row>
    <row r="749" spans="17:17" ht="14.25" customHeight="1" x14ac:dyDescent="0.3">
      <c r="Q749" s="13" t="str">
        <f>IF(OR(Dashboard!$C$4="All Customers",$E749=Dashboard!$C$4),IF($E749="","",$P749+ROW()/10000000),"")</f>
        <v/>
      </c>
    </row>
    <row r="750" spans="17:17" ht="14.25" customHeight="1" x14ac:dyDescent="0.3">
      <c r="Q750" s="13" t="str">
        <f>IF(OR(Dashboard!$C$4="All Customers",$E750=Dashboard!$C$4),IF($E750="","",$P750+ROW()/10000000),"")</f>
        <v/>
      </c>
    </row>
    <row r="751" spans="17:17" ht="14.25" customHeight="1" x14ac:dyDescent="0.3">
      <c r="Q751" s="13" t="str">
        <f>IF(OR(Dashboard!$C$4="All Customers",$E751=Dashboard!$C$4),IF($E751="","",$P751+ROW()/10000000),"")</f>
        <v/>
      </c>
    </row>
    <row r="752" spans="17:17" ht="14.25" customHeight="1" x14ac:dyDescent="0.3">
      <c r="Q752" s="13" t="str">
        <f>IF(OR(Dashboard!$C$4="All Customers",$E752=Dashboard!$C$4),IF($E752="","",$P752+ROW()/10000000),"")</f>
        <v/>
      </c>
    </row>
    <row r="753" spans="17:17" ht="14.25" customHeight="1" x14ac:dyDescent="0.3">
      <c r="Q753" s="13" t="str">
        <f>IF(OR(Dashboard!$C$4="All Customers",$E753=Dashboard!$C$4),IF($E753="","",$P753+ROW()/10000000),"")</f>
        <v/>
      </c>
    </row>
    <row r="754" spans="17:17" ht="14.25" customHeight="1" x14ac:dyDescent="0.3">
      <c r="Q754" s="13" t="str">
        <f>IF(OR(Dashboard!$C$4="All Customers",$E754=Dashboard!$C$4),IF($E754="","",$P754+ROW()/10000000),"")</f>
        <v/>
      </c>
    </row>
    <row r="755" spans="17:17" ht="14.25" customHeight="1" x14ac:dyDescent="0.3">
      <c r="Q755" s="13" t="str">
        <f>IF(OR(Dashboard!$C$4="All Customers",$E755=Dashboard!$C$4),IF($E755="","",$P755+ROW()/10000000),"")</f>
        <v/>
      </c>
    </row>
    <row r="756" spans="17:17" ht="14.25" customHeight="1" x14ac:dyDescent="0.3">
      <c r="Q756" s="13" t="str">
        <f>IF(OR(Dashboard!$C$4="All Customers",$E756=Dashboard!$C$4),IF($E756="","",$P756+ROW()/10000000),"")</f>
        <v/>
      </c>
    </row>
    <row r="757" spans="17:17" ht="14.25" customHeight="1" x14ac:dyDescent="0.3">
      <c r="Q757" s="13" t="str">
        <f>IF(OR(Dashboard!$C$4="All Customers",$E757=Dashboard!$C$4),IF($E757="","",$P757+ROW()/10000000),"")</f>
        <v/>
      </c>
    </row>
    <row r="758" spans="17:17" ht="14.25" customHeight="1" x14ac:dyDescent="0.3">
      <c r="Q758" s="13" t="str">
        <f>IF(OR(Dashboard!$C$4="All Customers",$E758=Dashboard!$C$4),IF($E758="","",$P758+ROW()/10000000),"")</f>
        <v/>
      </c>
    </row>
    <row r="759" spans="17:17" ht="14.25" customHeight="1" x14ac:dyDescent="0.3">
      <c r="Q759" s="13" t="str">
        <f>IF(OR(Dashboard!$C$4="All Customers",$E759=Dashboard!$C$4),IF($E759="","",$P759+ROW()/10000000),"")</f>
        <v/>
      </c>
    </row>
    <row r="760" spans="17:17" ht="14.25" customHeight="1" x14ac:dyDescent="0.3">
      <c r="Q760" s="13" t="str">
        <f>IF(OR(Dashboard!$C$4="All Customers",$E760=Dashboard!$C$4),IF($E760="","",$P760+ROW()/10000000),"")</f>
        <v/>
      </c>
    </row>
    <row r="761" spans="17:17" ht="14.25" customHeight="1" x14ac:dyDescent="0.3">
      <c r="Q761" s="13" t="str">
        <f>IF(OR(Dashboard!$C$4="All Customers",$E761=Dashboard!$C$4),IF($E761="","",$P761+ROW()/10000000),"")</f>
        <v/>
      </c>
    </row>
    <row r="762" spans="17:17" ht="14.25" customHeight="1" x14ac:dyDescent="0.3">
      <c r="Q762" s="13" t="str">
        <f>IF(OR(Dashboard!$C$4="All Customers",$E762=Dashboard!$C$4),IF($E762="","",$P762+ROW()/10000000),"")</f>
        <v/>
      </c>
    </row>
    <row r="763" spans="17:17" ht="14.25" customHeight="1" x14ac:dyDescent="0.3">
      <c r="Q763" s="13" t="str">
        <f>IF(OR(Dashboard!$C$4="All Customers",$E763=Dashboard!$C$4),IF($E763="","",$P763+ROW()/10000000),"")</f>
        <v/>
      </c>
    </row>
    <row r="764" spans="17:17" ht="14.25" customHeight="1" x14ac:dyDescent="0.3">
      <c r="Q764" s="13" t="str">
        <f>IF(OR(Dashboard!$C$4="All Customers",$E764=Dashboard!$C$4),IF($E764="","",$P764+ROW()/10000000),"")</f>
        <v/>
      </c>
    </row>
    <row r="765" spans="17:17" ht="14.25" customHeight="1" x14ac:dyDescent="0.3">
      <c r="Q765" s="13" t="str">
        <f>IF(OR(Dashboard!$C$4="All Customers",$E765=Dashboard!$C$4),IF($E765="","",$P765+ROW()/10000000),"")</f>
        <v/>
      </c>
    </row>
    <row r="766" spans="17:17" ht="14.25" customHeight="1" x14ac:dyDescent="0.3">
      <c r="Q766" s="13" t="str">
        <f>IF(OR(Dashboard!$C$4="All Customers",$E766=Dashboard!$C$4),IF($E766="","",$P766+ROW()/10000000),"")</f>
        <v/>
      </c>
    </row>
    <row r="767" spans="17:17" ht="14.25" customHeight="1" x14ac:dyDescent="0.3">
      <c r="Q767" s="13" t="str">
        <f>IF(OR(Dashboard!$C$4="All Customers",$E767=Dashboard!$C$4),IF($E767="","",$P767+ROW()/10000000),"")</f>
        <v/>
      </c>
    </row>
    <row r="768" spans="17:17" ht="14.25" customHeight="1" x14ac:dyDescent="0.3">
      <c r="Q768" s="13" t="str">
        <f>IF(OR(Dashboard!$C$4="All Customers",$E768=Dashboard!$C$4),IF($E768="","",$P768+ROW()/10000000),"")</f>
        <v/>
      </c>
    </row>
    <row r="769" spans="17:17" ht="14.25" customHeight="1" x14ac:dyDescent="0.3">
      <c r="Q769" s="13" t="str">
        <f>IF(OR(Dashboard!$C$4="All Customers",$E769=Dashboard!$C$4),IF($E769="","",$P769+ROW()/10000000),"")</f>
        <v/>
      </c>
    </row>
    <row r="770" spans="17:17" ht="14.25" customHeight="1" x14ac:dyDescent="0.3">
      <c r="Q770" s="13" t="str">
        <f>IF(OR(Dashboard!$C$4="All Customers",$E770=Dashboard!$C$4),IF($E770="","",$P770+ROW()/10000000),"")</f>
        <v/>
      </c>
    </row>
    <row r="771" spans="17:17" ht="14.25" customHeight="1" x14ac:dyDescent="0.3">
      <c r="Q771" s="13" t="str">
        <f>IF(OR(Dashboard!$C$4="All Customers",$E771=Dashboard!$C$4),IF($E771="","",$P771+ROW()/10000000),"")</f>
        <v/>
      </c>
    </row>
    <row r="772" spans="17:17" ht="14.25" customHeight="1" x14ac:dyDescent="0.3">
      <c r="Q772" s="13" t="str">
        <f>IF(OR(Dashboard!$C$4="All Customers",$E772=Dashboard!$C$4),IF($E772="","",$P772+ROW()/10000000),"")</f>
        <v/>
      </c>
    </row>
    <row r="773" spans="17:17" ht="14.25" customHeight="1" x14ac:dyDescent="0.3">
      <c r="Q773" s="13" t="str">
        <f>IF(OR(Dashboard!$C$4="All Customers",$E773=Dashboard!$C$4),IF($E773="","",$P773+ROW()/10000000),"")</f>
        <v/>
      </c>
    </row>
    <row r="774" spans="17:17" ht="14.25" customHeight="1" x14ac:dyDescent="0.3">
      <c r="Q774" s="13" t="str">
        <f>IF(OR(Dashboard!$C$4="All Customers",$E774=Dashboard!$C$4),IF($E774="","",$P774+ROW()/10000000),"")</f>
        <v/>
      </c>
    </row>
    <row r="775" spans="17:17" ht="14.25" customHeight="1" x14ac:dyDescent="0.3">
      <c r="Q775" s="13" t="str">
        <f>IF(OR(Dashboard!$C$4="All Customers",$E775=Dashboard!$C$4),IF($E775="","",$P775+ROW()/10000000),"")</f>
        <v/>
      </c>
    </row>
    <row r="776" spans="17:17" ht="14.25" customHeight="1" x14ac:dyDescent="0.3">
      <c r="Q776" s="13" t="str">
        <f>IF(OR(Dashboard!$C$4="All Customers",$E776=Dashboard!$C$4),IF($E776="","",$P776+ROW()/10000000),"")</f>
        <v/>
      </c>
    </row>
    <row r="777" spans="17:17" ht="14.25" customHeight="1" x14ac:dyDescent="0.3">
      <c r="Q777" s="13" t="str">
        <f>IF(OR(Dashboard!$C$4="All Customers",$E777=Dashboard!$C$4),IF($E777="","",$P777+ROW()/10000000),"")</f>
        <v/>
      </c>
    </row>
    <row r="778" spans="17:17" ht="14.25" customHeight="1" x14ac:dyDescent="0.3">
      <c r="Q778" s="13" t="str">
        <f>IF(OR(Dashboard!$C$4="All Customers",$E778=Dashboard!$C$4),IF($E778="","",$P778+ROW()/10000000),"")</f>
        <v/>
      </c>
    </row>
    <row r="779" spans="17:17" ht="14.25" customHeight="1" x14ac:dyDescent="0.3">
      <c r="Q779" s="13" t="str">
        <f>IF(OR(Dashboard!$C$4="All Customers",$E779=Dashboard!$C$4),IF($E779="","",$P779+ROW()/10000000),"")</f>
        <v/>
      </c>
    </row>
    <row r="780" spans="17:17" ht="14.25" customHeight="1" x14ac:dyDescent="0.3">
      <c r="Q780" s="13" t="str">
        <f>IF(OR(Dashboard!$C$4="All Customers",$E780=Dashboard!$C$4),IF($E780="","",$P780+ROW()/10000000),"")</f>
        <v/>
      </c>
    </row>
    <row r="781" spans="17:17" ht="14.25" customHeight="1" x14ac:dyDescent="0.3">
      <c r="Q781" s="13" t="str">
        <f>IF(OR(Dashboard!$C$4="All Customers",$E781=Dashboard!$C$4),IF($E781="","",$P781+ROW()/10000000),"")</f>
        <v/>
      </c>
    </row>
    <row r="782" spans="17:17" ht="14.25" customHeight="1" x14ac:dyDescent="0.3">
      <c r="Q782" s="13" t="str">
        <f>IF(OR(Dashboard!$C$4="All Customers",$E782=Dashboard!$C$4),IF($E782="","",$P782+ROW()/10000000),"")</f>
        <v/>
      </c>
    </row>
    <row r="783" spans="17:17" ht="14.25" customHeight="1" x14ac:dyDescent="0.3">
      <c r="Q783" s="13" t="str">
        <f>IF(OR(Dashboard!$C$4="All Customers",$E783=Dashboard!$C$4),IF($E783="","",$P783+ROW()/10000000),"")</f>
        <v/>
      </c>
    </row>
    <row r="784" spans="17:17" ht="14.25" customHeight="1" x14ac:dyDescent="0.3">
      <c r="Q784" s="13" t="str">
        <f>IF(OR(Dashboard!$C$4="All Customers",$E784=Dashboard!$C$4),IF($E784="","",$P784+ROW()/10000000),"")</f>
        <v/>
      </c>
    </row>
    <row r="785" spans="17:17" ht="14.25" customHeight="1" x14ac:dyDescent="0.3">
      <c r="Q785" s="13" t="str">
        <f>IF(OR(Dashboard!$C$4="All Customers",$E785=Dashboard!$C$4),IF($E785="","",$P785+ROW()/10000000),"")</f>
        <v/>
      </c>
    </row>
    <row r="786" spans="17:17" ht="14.25" customHeight="1" x14ac:dyDescent="0.3">
      <c r="Q786" s="13" t="str">
        <f>IF(OR(Dashboard!$C$4="All Customers",$E786=Dashboard!$C$4),IF($E786="","",$P786+ROW()/10000000),"")</f>
        <v/>
      </c>
    </row>
    <row r="787" spans="17:17" ht="14.25" customHeight="1" x14ac:dyDescent="0.3">
      <c r="Q787" s="13" t="str">
        <f>IF(OR(Dashboard!$C$4="All Customers",$E787=Dashboard!$C$4),IF($E787="","",$P787+ROW()/10000000),"")</f>
        <v/>
      </c>
    </row>
    <row r="788" spans="17:17" ht="14.25" customHeight="1" x14ac:dyDescent="0.3">
      <c r="Q788" s="13" t="str">
        <f>IF(OR(Dashboard!$C$4="All Customers",$E788=Dashboard!$C$4),IF($E788="","",$P788+ROW()/10000000),"")</f>
        <v/>
      </c>
    </row>
    <row r="789" spans="17:17" ht="14.25" customHeight="1" x14ac:dyDescent="0.3">
      <c r="Q789" s="13" t="str">
        <f>IF(OR(Dashboard!$C$4="All Customers",$E789=Dashboard!$C$4),IF($E789="","",$P789+ROW()/10000000),"")</f>
        <v/>
      </c>
    </row>
    <row r="790" spans="17:17" ht="14.25" customHeight="1" x14ac:dyDescent="0.3">
      <c r="Q790" s="13" t="str">
        <f>IF(OR(Dashboard!$C$4="All Customers",$E790=Dashboard!$C$4),IF($E790="","",$P790+ROW()/10000000),"")</f>
        <v/>
      </c>
    </row>
    <row r="791" spans="17:17" ht="14.25" customHeight="1" x14ac:dyDescent="0.3">
      <c r="Q791" s="13" t="str">
        <f>IF(OR(Dashboard!$C$4="All Customers",$E791=Dashboard!$C$4),IF($E791="","",$P791+ROW()/10000000),"")</f>
        <v/>
      </c>
    </row>
    <row r="792" spans="17:17" ht="14.25" customHeight="1" x14ac:dyDescent="0.3">
      <c r="Q792" s="13" t="str">
        <f>IF(OR(Dashboard!$C$4="All Customers",$E792=Dashboard!$C$4),IF($E792="","",$P792+ROW()/10000000),"")</f>
        <v/>
      </c>
    </row>
    <row r="793" spans="17:17" ht="14.25" customHeight="1" x14ac:dyDescent="0.3">
      <c r="Q793" s="13" t="str">
        <f>IF(OR(Dashboard!$C$4="All Customers",$E793=Dashboard!$C$4),IF($E793="","",$P793+ROW()/10000000),"")</f>
        <v/>
      </c>
    </row>
    <row r="794" spans="17:17" ht="14.25" customHeight="1" x14ac:dyDescent="0.3">
      <c r="Q794" s="13" t="str">
        <f>IF(OR(Dashboard!$C$4="All Customers",$E794=Dashboard!$C$4),IF($E794="","",$P794+ROW()/10000000),"")</f>
        <v/>
      </c>
    </row>
    <row r="795" spans="17:17" ht="14.25" customHeight="1" x14ac:dyDescent="0.3">
      <c r="Q795" s="13" t="str">
        <f>IF(OR(Dashboard!$C$4="All Customers",$E795=Dashboard!$C$4),IF($E795="","",$P795+ROW()/10000000),"")</f>
        <v/>
      </c>
    </row>
    <row r="796" spans="17:17" ht="14.25" customHeight="1" x14ac:dyDescent="0.3">
      <c r="Q796" s="13" t="str">
        <f>IF(OR(Dashboard!$C$4="All Customers",$E796=Dashboard!$C$4),IF($E796="","",$P796+ROW()/10000000),"")</f>
        <v/>
      </c>
    </row>
    <row r="797" spans="17:17" ht="14.25" customHeight="1" x14ac:dyDescent="0.3">
      <c r="Q797" s="13" t="str">
        <f>IF(OR(Dashboard!$C$4="All Customers",$E797=Dashboard!$C$4),IF($E797="","",$P797+ROW()/10000000),"")</f>
        <v/>
      </c>
    </row>
    <row r="798" spans="17:17" ht="14.25" customHeight="1" x14ac:dyDescent="0.3">
      <c r="Q798" s="13" t="str">
        <f>IF(OR(Dashboard!$C$4="All Customers",$E798=Dashboard!$C$4),IF($E798="","",$P798+ROW()/10000000),"")</f>
        <v/>
      </c>
    </row>
    <row r="799" spans="17:17" ht="14.25" customHeight="1" x14ac:dyDescent="0.3">
      <c r="Q799" s="13" t="str">
        <f>IF(OR(Dashboard!$C$4="All Customers",$E799=Dashboard!$C$4),IF($E799="","",$P799+ROW()/10000000),"")</f>
        <v/>
      </c>
    </row>
    <row r="800" spans="17:17" ht="14.25" customHeight="1" x14ac:dyDescent="0.3">
      <c r="Q800" s="13" t="str">
        <f>IF(OR(Dashboard!$C$4="All Customers",$E800=Dashboard!$C$4),IF($E800="","",$P800+ROW()/10000000),"")</f>
        <v/>
      </c>
    </row>
    <row r="801" spans="17:17" ht="14.25" customHeight="1" x14ac:dyDescent="0.3">
      <c r="Q801" s="13" t="str">
        <f>IF(OR(Dashboard!$C$4="All Customers",$E801=Dashboard!$C$4),IF($E801="","",$P801+ROW()/10000000),"")</f>
        <v/>
      </c>
    </row>
    <row r="802" spans="17:17" ht="14.25" customHeight="1" x14ac:dyDescent="0.3">
      <c r="Q802" s="13" t="str">
        <f>IF(OR(Dashboard!$C$4="All Customers",$E802=Dashboard!$C$4),IF($E802="","",$P802+ROW()/10000000),"")</f>
        <v/>
      </c>
    </row>
    <row r="803" spans="17:17" ht="14.25" customHeight="1" x14ac:dyDescent="0.3">
      <c r="Q803" s="13" t="str">
        <f>IF(OR(Dashboard!$C$4="All Customers",$E803=Dashboard!$C$4),IF($E803="","",$P803+ROW()/10000000),"")</f>
        <v/>
      </c>
    </row>
    <row r="804" spans="17:17" ht="14.25" customHeight="1" x14ac:dyDescent="0.3">
      <c r="Q804" s="13" t="str">
        <f>IF(OR(Dashboard!$C$4="All Customers",$E804=Dashboard!$C$4),IF($E804="","",$P804+ROW()/10000000),"")</f>
        <v/>
      </c>
    </row>
    <row r="805" spans="17:17" ht="14.25" customHeight="1" x14ac:dyDescent="0.3">
      <c r="Q805" s="13" t="str">
        <f>IF(OR(Dashboard!$C$4="All Customers",$E805=Dashboard!$C$4),IF($E805="","",$P805+ROW()/10000000),"")</f>
        <v/>
      </c>
    </row>
    <row r="806" spans="17:17" ht="14.25" customHeight="1" x14ac:dyDescent="0.3">
      <c r="Q806" s="13" t="str">
        <f>IF(OR(Dashboard!$C$4="All Customers",$E806=Dashboard!$C$4),IF($E806="","",$P806+ROW()/10000000),"")</f>
        <v/>
      </c>
    </row>
    <row r="807" spans="17:17" ht="14.25" customHeight="1" x14ac:dyDescent="0.3">
      <c r="Q807" s="13" t="str">
        <f>IF(OR(Dashboard!$C$4="All Customers",$E807=Dashboard!$C$4),IF($E807="","",$P807+ROW()/10000000),"")</f>
        <v/>
      </c>
    </row>
    <row r="808" spans="17:17" ht="14.25" customHeight="1" x14ac:dyDescent="0.3">
      <c r="Q808" s="13" t="str">
        <f>IF(OR(Dashboard!$C$4="All Customers",$E808=Dashboard!$C$4),IF($E808="","",$P808+ROW()/10000000),"")</f>
        <v/>
      </c>
    </row>
    <row r="809" spans="17:17" ht="14.25" customHeight="1" x14ac:dyDescent="0.3">
      <c r="Q809" s="13" t="str">
        <f>IF(OR(Dashboard!$C$4="All Customers",$E809=Dashboard!$C$4),IF($E809="","",$P809+ROW()/10000000),"")</f>
        <v/>
      </c>
    </row>
    <row r="810" spans="17:17" ht="14.25" customHeight="1" x14ac:dyDescent="0.3">
      <c r="Q810" s="13" t="str">
        <f>IF(OR(Dashboard!$C$4="All Customers",$E810=Dashboard!$C$4),IF($E810="","",$P810+ROW()/10000000),"")</f>
        <v/>
      </c>
    </row>
    <row r="811" spans="17:17" ht="14.25" customHeight="1" x14ac:dyDescent="0.3">
      <c r="Q811" s="13" t="str">
        <f>IF(OR(Dashboard!$C$4="All Customers",$E811=Dashboard!$C$4),IF($E811="","",$P811+ROW()/10000000),"")</f>
        <v/>
      </c>
    </row>
    <row r="812" spans="17:17" ht="14.25" customHeight="1" x14ac:dyDescent="0.3">
      <c r="Q812" s="13" t="str">
        <f>IF(OR(Dashboard!$C$4="All Customers",$E812=Dashboard!$C$4),IF($E812="","",$P812+ROW()/10000000),"")</f>
        <v/>
      </c>
    </row>
    <row r="813" spans="17:17" ht="14.25" customHeight="1" x14ac:dyDescent="0.3">
      <c r="Q813" s="13" t="str">
        <f>IF(OR(Dashboard!$C$4="All Customers",$E813=Dashboard!$C$4),IF($E813="","",$P813+ROW()/10000000),"")</f>
        <v/>
      </c>
    </row>
    <row r="814" spans="17:17" ht="14.25" customHeight="1" x14ac:dyDescent="0.3">
      <c r="Q814" s="13" t="str">
        <f>IF(OR(Dashboard!$C$4="All Customers",$E814=Dashboard!$C$4),IF($E814="","",$P814+ROW()/10000000),"")</f>
        <v/>
      </c>
    </row>
    <row r="815" spans="17:17" ht="14.25" customHeight="1" x14ac:dyDescent="0.3">
      <c r="Q815" s="13" t="str">
        <f>IF(OR(Dashboard!$C$4="All Customers",$E815=Dashboard!$C$4),IF($E815="","",$P815+ROW()/10000000),"")</f>
        <v/>
      </c>
    </row>
    <row r="816" spans="17:17" ht="14.25" customHeight="1" x14ac:dyDescent="0.3">
      <c r="Q816" s="13" t="str">
        <f>IF(OR(Dashboard!$C$4="All Customers",$E816=Dashboard!$C$4),IF($E816="","",$P816+ROW()/10000000),"")</f>
        <v/>
      </c>
    </row>
    <row r="817" spans="17:17" ht="14.25" customHeight="1" x14ac:dyDescent="0.3">
      <c r="Q817" s="13" t="str">
        <f>IF(OR(Dashboard!$C$4="All Customers",$E817=Dashboard!$C$4),IF($E817="","",$P817+ROW()/10000000),"")</f>
        <v/>
      </c>
    </row>
    <row r="818" spans="17:17" ht="14.25" customHeight="1" x14ac:dyDescent="0.3">
      <c r="Q818" s="13" t="str">
        <f>IF(OR(Dashboard!$C$4="All Customers",$E818=Dashboard!$C$4),IF($E818="","",$P818+ROW()/10000000),"")</f>
        <v/>
      </c>
    </row>
    <row r="819" spans="17:17" ht="14.25" customHeight="1" x14ac:dyDescent="0.3">
      <c r="Q819" s="13" t="str">
        <f>IF(OR(Dashboard!$C$4="All Customers",$E819=Dashboard!$C$4),IF($E819="","",$P819+ROW()/10000000),"")</f>
        <v/>
      </c>
    </row>
    <row r="820" spans="17:17" ht="14.25" customHeight="1" x14ac:dyDescent="0.3">
      <c r="Q820" s="13" t="str">
        <f>IF(OR(Dashboard!$C$4="All Customers",$E820=Dashboard!$C$4),IF($E820="","",$P820+ROW()/10000000),"")</f>
        <v/>
      </c>
    </row>
    <row r="821" spans="17:17" ht="14.25" customHeight="1" x14ac:dyDescent="0.3">
      <c r="Q821" s="13" t="str">
        <f>IF(OR(Dashboard!$C$4="All Customers",$E821=Dashboard!$C$4),IF($E821="","",$P821+ROW()/10000000),"")</f>
        <v/>
      </c>
    </row>
    <row r="822" spans="17:17" ht="14.25" customHeight="1" x14ac:dyDescent="0.3">
      <c r="Q822" s="13" t="str">
        <f>IF(OR(Dashboard!$C$4="All Customers",$E822=Dashboard!$C$4),IF($E822="","",$P822+ROW()/10000000),"")</f>
        <v/>
      </c>
    </row>
    <row r="823" spans="17:17" ht="14.25" customHeight="1" x14ac:dyDescent="0.3">
      <c r="Q823" s="13" t="str">
        <f>IF(OR(Dashboard!$C$4="All Customers",$E823=Dashboard!$C$4),IF($E823="","",$P823+ROW()/10000000),"")</f>
        <v/>
      </c>
    </row>
    <row r="824" spans="17:17" ht="14.25" customHeight="1" x14ac:dyDescent="0.3">
      <c r="Q824" s="13" t="str">
        <f>IF(OR(Dashboard!$C$4="All Customers",$E824=Dashboard!$C$4),IF($E824="","",$P824+ROW()/10000000),"")</f>
        <v/>
      </c>
    </row>
    <row r="825" spans="17:17" ht="14.25" customHeight="1" x14ac:dyDescent="0.3">
      <c r="Q825" s="13" t="str">
        <f>IF(OR(Dashboard!$C$4="All Customers",$E825=Dashboard!$C$4),IF($E825="","",$P825+ROW()/10000000),"")</f>
        <v/>
      </c>
    </row>
    <row r="826" spans="17:17" ht="14.25" customHeight="1" x14ac:dyDescent="0.3">
      <c r="Q826" s="13" t="str">
        <f>IF(OR(Dashboard!$C$4="All Customers",$E826=Dashboard!$C$4),IF($E826="","",$P826+ROW()/10000000),"")</f>
        <v/>
      </c>
    </row>
    <row r="827" spans="17:17" ht="14.25" customHeight="1" x14ac:dyDescent="0.3">
      <c r="Q827" s="13" t="str">
        <f>IF(OR(Dashboard!$C$4="All Customers",$E827=Dashboard!$C$4),IF($E827="","",$P827+ROW()/10000000),"")</f>
        <v/>
      </c>
    </row>
    <row r="828" spans="17:17" ht="14.25" customHeight="1" x14ac:dyDescent="0.3">
      <c r="Q828" s="13" t="str">
        <f>IF(OR(Dashboard!$C$4="All Customers",$E828=Dashboard!$C$4),IF($E828="","",$P828+ROW()/10000000),"")</f>
        <v/>
      </c>
    </row>
    <row r="829" spans="17:17" ht="14.25" customHeight="1" x14ac:dyDescent="0.3">
      <c r="Q829" s="13" t="str">
        <f>IF(OR(Dashboard!$C$4="All Customers",$E829=Dashboard!$C$4),IF($E829="","",$P829+ROW()/10000000),"")</f>
        <v/>
      </c>
    </row>
    <row r="830" spans="17:17" ht="14.25" customHeight="1" x14ac:dyDescent="0.3">
      <c r="Q830" s="13" t="str">
        <f>IF(OR(Dashboard!$C$4="All Customers",$E830=Dashboard!$C$4),IF($E830="","",$P830+ROW()/10000000),"")</f>
        <v/>
      </c>
    </row>
    <row r="831" spans="17:17" ht="14.25" customHeight="1" x14ac:dyDescent="0.3">
      <c r="Q831" s="13" t="str">
        <f>IF(OR(Dashboard!$C$4="All Customers",$E831=Dashboard!$C$4),IF($E831="","",$P831+ROW()/10000000),"")</f>
        <v/>
      </c>
    </row>
    <row r="832" spans="17:17" ht="14.25" customHeight="1" x14ac:dyDescent="0.3">
      <c r="Q832" s="13" t="str">
        <f>IF(OR(Dashboard!$C$4="All Customers",$E832=Dashboard!$C$4),IF($E832="","",$P832+ROW()/10000000),"")</f>
        <v/>
      </c>
    </row>
    <row r="833" spans="17:17" ht="14.25" customHeight="1" x14ac:dyDescent="0.3">
      <c r="Q833" s="13" t="str">
        <f>IF(OR(Dashboard!$C$4="All Customers",$E833=Dashboard!$C$4),IF($E833="","",$P833+ROW()/10000000),"")</f>
        <v/>
      </c>
    </row>
    <row r="834" spans="17:17" ht="14.25" customHeight="1" x14ac:dyDescent="0.3">
      <c r="Q834" s="13" t="str">
        <f>IF(OR(Dashboard!$C$4="All Customers",$E834=Dashboard!$C$4),IF($E834="","",$P834+ROW()/10000000),"")</f>
        <v/>
      </c>
    </row>
    <row r="835" spans="17:17" ht="14.25" customHeight="1" x14ac:dyDescent="0.3">
      <c r="Q835" s="13" t="str">
        <f>IF(OR(Dashboard!$C$4="All Customers",$E835=Dashboard!$C$4),IF($E835="","",$P835+ROW()/10000000),"")</f>
        <v/>
      </c>
    </row>
    <row r="836" spans="17:17" ht="14.25" customHeight="1" x14ac:dyDescent="0.3">
      <c r="Q836" s="13" t="str">
        <f>IF(OR(Dashboard!$C$4="All Customers",$E836=Dashboard!$C$4),IF($E836="","",$P836+ROW()/10000000),"")</f>
        <v/>
      </c>
    </row>
    <row r="837" spans="17:17" ht="14.25" customHeight="1" x14ac:dyDescent="0.3">
      <c r="Q837" s="13" t="str">
        <f>IF(OR(Dashboard!$C$4="All Customers",$E837=Dashboard!$C$4),IF($E837="","",$P837+ROW()/10000000),"")</f>
        <v/>
      </c>
    </row>
    <row r="838" spans="17:17" ht="14.25" customHeight="1" x14ac:dyDescent="0.3">
      <c r="Q838" s="13" t="str">
        <f>IF(OR(Dashboard!$C$4="All Customers",$E838=Dashboard!$C$4),IF($E838="","",$P838+ROW()/10000000),"")</f>
        <v/>
      </c>
    </row>
    <row r="839" spans="17:17" ht="14.25" customHeight="1" x14ac:dyDescent="0.3">
      <c r="Q839" s="13" t="str">
        <f>IF(OR(Dashboard!$C$4="All Customers",$E839=Dashboard!$C$4),IF($E839="","",$P839+ROW()/10000000),"")</f>
        <v/>
      </c>
    </row>
    <row r="840" spans="17:17" ht="14.25" customHeight="1" x14ac:dyDescent="0.3">
      <c r="Q840" s="13" t="str">
        <f>IF(OR(Dashboard!$C$4="All Customers",$E840=Dashboard!$C$4),IF($E840="","",$P840+ROW()/10000000),"")</f>
        <v/>
      </c>
    </row>
    <row r="841" spans="17:17" ht="14.25" customHeight="1" x14ac:dyDescent="0.3">
      <c r="Q841" s="13" t="str">
        <f>IF(OR(Dashboard!$C$4="All Customers",$E841=Dashboard!$C$4),IF($E841="","",$P841+ROW()/10000000),"")</f>
        <v/>
      </c>
    </row>
    <row r="842" spans="17:17" ht="14.25" customHeight="1" x14ac:dyDescent="0.3">
      <c r="Q842" s="13" t="str">
        <f>IF(OR(Dashboard!$C$4="All Customers",$E842=Dashboard!$C$4),IF($E842="","",$P842+ROW()/10000000),"")</f>
        <v/>
      </c>
    </row>
    <row r="843" spans="17:17" ht="14.25" customHeight="1" x14ac:dyDescent="0.3">
      <c r="Q843" s="13" t="str">
        <f>IF(OR(Dashboard!$C$4="All Customers",$E843=Dashboard!$C$4),IF($E843="","",$P843+ROW()/10000000),"")</f>
        <v/>
      </c>
    </row>
    <row r="844" spans="17:17" ht="14.25" customHeight="1" x14ac:dyDescent="0.3">
      <c r="Q844" s="13" t="str">
        <f>IF(OR(Dashboard!$C$4="All Customers",$E844=Dashboard!$C$4),IF($E844="","",$P844+ROW()/10000000),"")</f>
        <v/>
      </c>
    </row>
    <row r="845" spans="17:17" ht="14.25" customHeight="1" x14ac:dyDescent="0.3">
      <c r="Q845" s="13" t="str">
        <f>IF(OR(Dashboard!$C$4="All Customers",$E845=Dashboard!$C$4),IF($E845="","",$P845+ROW()/10000000),"")</f>
        <v/>
      </c>
    </row>
    <row r="846" spans="17:17" ht="14.25" customHeight="1" x14ac:dyDescent="0.3">
      <c r="Q846" s="13" t="str">
        <f>IF(OR(Dashboard!$C$4="All Customers",$E846=Dashboard!$C$4),IF($E846="","",$P846+ROW()/10000000),"")</f>
        <v/>
      </c>
    </row>
    <row r="847" spans="17:17" ht="14.25" customHeight="1" x14ac:dyDescent="0.3">
      <c r="Q847" s="13" t="str">
        <f>IF(OR(Dashboard!$C$4="All Customers",$E847=Dashboard!$C$4),IF($E847="","",$P847+ROW()/10000000),"")</f>
        <v/>
      </c>
    </row>
    <row r="848" spans="17:17" ht="14.25" customHeight="1" x14ac:dyDescent="0.3">
      <c r="Q848" s="13" t="str">
        <f>IF(OR(Dashboard!$C$4="All Customers",$E848=Dashboard!$C$4),IF($E848="","",$P848+ROW()/10000000),"")</f>
        <v/>
      </c>
    </row>
    <row r="849" spans="17:17" ht="14.25" customHeight="1" x14ac:dyDescent="0.3">
      <c r="Q849" s="13" t="str">
        <f>IF(OR(Dashboard!$C$4="All Customers",$E849=Dashboard!$C$4),IF($E849="","",$P849+ROW()/10000000),"")</f>
        <v/>
      </c>
    </row>
    <row r="850" spans="17:17" ht="14.25" customHeight="1" x14ac:dyDescent="0.3">
      <c r="Q850" s="13" t="str">
        <f>IF(OR(Dashboard!$C$4="All Customers",$E850=Dashboard!$C$4),IF($E850="","",$P850+ROW()/10000000),"")</f>
        <v/>
      </c>
    </row>
    <row r="851" spans="17:17" ht="14.25" customHeight="1" x14ac:dyDescent="0.3">
      <c r="Q851" s="13" t="str">
        <f>IF(OR(Dashboard!$C$4="All Customers",$E851=Dashboard!$C$4),IF($E851="","",$P851+ROW()/10000000),"")</f>
        <v/>
      </c>
    </row>
    <row r="852" spans="17:17" ht="14.25" customHeight="1" x14ac:dyDescent="0.3">
      <c r="Q852" s="13" t="str">
        <f>IF(OR(Dashboard!$C$4="All Customers",$E852=Dashboard!$C$4),IF($E852="","",$P852+ROW()/10000000),"")</f>
        <v/>
      </c>
    </row>
    <row r="853" spans="17:17" ht="14.25" customHeight="1" x14ac:dyDescent="0.3">
      <c r="Q853" s="13" t="str">
        <f>IF(OR(Dashboard!$C$4="All Customers",$E853=Dashboard!$C$4),IF($E853="","",$P853+ROW()/10000000),"")</f>
        <v/>
      </c>
    </row>
    <row r="854" spans="17:17" ht="14.25" customHeight="1" x14ac:dyDescent="0.3">
      <c r="Q854" s="13" t="str">
        <f>IF(OR(Dashboard!$C$4="All Customers",$E854=Dashboard!$C$4),IF($E854="","",$P854+ROW()/10000000),"")</f>
        <v/>
      </c>
    </row>
    <row r="855" spans="17:17" ht="14.25" customHeight="1" x14ac:dyDescent="0.3">
      <c r="Q855" s="13" t="str">
        <f>IF(OR(Dashboard!$C$4="All Customers",$E855=Dashboard!$C$4),IF($E855="","",$P855+ROW()/10000000),"")</f>
        <v/>
      </c>
    </row>
    <row r="856" spans="17:17" ht="14.25" customHeight="1" x14ac:dyDescent="0.3">
      <c r="Q856" s="13" t="str">
        <f>IF(OR(Dashboard!$C$4="All Customers",$E856=Dashboard!$C$4),IF($E856="","",$P856+ROW()/10000000),"")</f>
        <v/>
      </c>
    </row>
    <row r="857" spans="17:17" ht="14.25" customHeight="1" x14ac:dyDescent="0.3">
      <c r="Q857" s="13" t="str">
        <f>IF(OR(Dashboard!$C$4="All Customers",$E857=Dashboard!$C$4),IF($E857="","",$P857+ROW()/10000000),"")</f>
        <v/>
      </c>
    </row>
    <row r="858" spans="17:17" ht="14.25" customHeight="1" x14ac:dyDescent="0.3">
      <c r="Q858" s="13" t="str">
        <f>IF(OR(Dashboard!$C$4="All Customers",$E858=Dashboard!$C$4),IF($E858="","",$P858+ROW()/10000000),"")</f>
        <v/>
      </c>
    </row>
    <row r="859" spans="17:17" ht="14.25" customHeight="1" x14ac:dyDescent="0.3">
      <c r="Q859" s="13" t="str">
        <f>IF(OR(Dashboard!$C$4="All Customers",$E859=Dashboard!$C$4),IF($E859="","",$P859+ROW()/10000000),"")</f>
        <v/>
      </c>
    </row>
    <row r="860" spans="17:17" ht="14.25" customHeight="1" x14ac:dyDescent="0.3">
      <c r="Q860" s="13" t="str">
        <f>IF(OR(Dashboard!$C$4="All Customers",$E860=Dashboard!$C$4),IF($E860="","",$P860+ROW()/10000000),"")</f>
        <v/>
      </c>
    </row>
    <row r="861" spans="17:17" ht="14.25" customHeight="1" x14ac:dyDescent="0.3">
      <c r="Q861" s="13" t="str">
        <f>IF(OR(Dashboard!$C$4="All Customers",$E861=Dashboard!$C$4),IF($E861="","",$P861+ROW()/10000000),"")</f>
        <v/>
      </c>
    </row>
    <row r="862" spans="17:17" ht="14.25" customHeight="1" x14ac:dyDescent="0.3">
      <c r="Q862" s="13" t="str">
        <f>IF(OR(Dashboard!$C$4="All Customers",$E862=Dashboard!$C$4),IF($E862="","",$P862+ROW()/10000000),"")</f>
        <v/>
      </c>
    </row>
    <row r="863" spans="17:17" ht="14.25" customHeight="1" x14ac:dyDescent="0.3">
      <c r="Q863" s="13" t="str">
        <f>IF(OR(Dashboard!$C$4="All Customers",$E863=Dashboard!$C$4),IF($E863="","",$P863+ROW()/10000000),"")</f>
        <v/>
      </c>
    </row>
    <row r="864" spans="17:17" ht="14.25" customHeight="1" x14ac:dyDescent="0.3">
      <c r="Q864" s="13" t="str">
        <f>IF(OR(Dashboard!$C$4="All Customers",$E864=Dashboard!$C$4),IF($E864="","",$P864+ROW()/10000000),"")</f>
        <v/>
      </c>
    </row>
    <row r="865" spans="17:17" ht="14.25" customHeight="1" x14ac:dyDescent="0.3">
      <c r="Q865" s="13" t="str">
        <f>IF(OR(Dashboard!$C$4="All Customers",$E865=Dashboard!$C$4),IF($E865="","",$P865+ROW()/10000000),"")</f>
        <v/>
      </c>
    </row>
    <row r="866" spans="17:17" ht="14.25" customHeight="1" x14ac:dyDescent="0.3">
      <c r="Q866" s="13" t="str">
        <f>IF(OR(Dashboard!$C$4="All Customers",$E866=Dashboard!$C$4),IF($E866="","",$P866+ROW()/10000000),"")</f>
        <v/>
      </c>
    </row>
    <row r="867" spans="17:17" ht="14.25" customHeight="1" x14ac:dyDescent="0.3">
      <c r="Q867" s="13" t="str">
        <f>IF(OR(Dashboard!$C$4="All Customers",$E867=Dashboard!$C$4),IF($E867="","",$P867+ROW()/10000000),"")</f>
        <v/>
      </c>
    </row>
    <row r="868" spans="17:17" ht="14.25" customHeight="1" x14ac:dyDescent="0.3">
      <c r="Q868" s="13" t="str">
        <f>IF(OR(Dashboard!$C$4="All Customers",$E868=Dashboard!$C$4),IF($E868="","",$P868+ROW()/10000000),"")</f>
        <v/>
      </c>
    </row>
    <row r="869" spans="17:17" ht="14.25" customHeight="1" x14ac:dyDescent="0.3">
      <c r="Q869" s="13" t="str">
        <f>IF(OR(Dashboard!$C$4="All Customers",$E869=Dashboard!$C$4),IF($E869="","",$P869+ROW()/10000000),"")</f>
        <v/>
      </c>
    </row>
    <row r="870" spans="17:17" ht="14.25" customHeight="1" x14ac:dyDescent="0.3">
      <c r="Q870" s="13" t="str">
        <f>IF(OR(Dashboard!$C$4="All Customers",$E870=Dashboard!$C$4),IF($E870="","",$P870+ROW()/10000000),"")</f>
        <v/>
      </c>
    </row>
    <row r="871" spans="17:17" ht="14.25" customHeight="1" x14ac:dyDescent="0.3">
      <c r="Q871" s="13" t="str">
        <f>IF(OR(Dashboard!$C$4="All Customers",$E871=Dashboard!$C$4),IF($E871="","",$P871+ROW()/10000000),"")</f>
        <v/>
      </c>
    </row>
    <row r="872" spans="17:17" ht="14.25" customHeight="1" x14ac:dyDescent="0.3">
      <c r="Q872" s="13" t="str">
        <f>IF(OR(Dashboard!$C$4="All Customers",$E872=Dashboard!$C$4),IF($E872="","",$P872+ROW()/10000000),"")</f>
        <v/>
      </c>
    </row>
    <row r="873" spans="17:17" ht="14.25" customHeight="1" x14ac:dyDescent="0.3">
      <c r="Q873" s="13" t="str">
        <f>IF(OR(Dashboard!$C$4="All Customers",$E873=Dashboard!$C$4),IF($E873="","",$P873+ROW()/10000000),"")</f>
        <v/>
      </c>
    </row>
    <row r="874" spans="17:17" ht="14.25" customHeight="1" x14ac:dyDescent="0.3">
      <c r="Q874" s="13" t="str">
        <f>IF(OR(Dashboard!$C$4="All Customers",$E874=Dashboard!$C$4),IF($E874="","",$P874+ROW()/10000000),"")</f>
        <v/>
      </c>
    </row>
    <row r="875" spans="17:17" ht="14.25" customHeight="1" x14ac:dyDescent="0.3">
      <c r="Q875" s="13" t="str">
        <f>IF(OR(Dashboard!$C$4="All Customers",$E875=Dashboard!$C$4),IF($E875="","",$P875+ROW()/10000000),"")</f>
        <v/>
      </c>
    </row>
    <row r="876" spans="17:17" ht="14.25" customHeight="1" x14ac:dyDescent="0.3">
      <c r="Q876" s="13" t="str">
        <f>IF(OR(Dashboard!$C$4="All Customers",$E876=Dashboard!$C$4),IF($E876="","",$P876+ROW()/10000000),"")</f>
        <v/>
      </c>
    </row>
    <row r="877" spans="17:17" ht="14.25" customHeight="1" x14ac:dyDescent="0.3">
      <c r="Q877" s="13" t="str">
        <f>IF(OR(Dashboard!$C$4="All Customers",$E877=Dashboard!$C$4),IF($E877="","",$P877+ROW()/10000000),"")</f>
        <v/>
      </c>
    </row>
    <row r="878" spans="17:17" ht="14.25" customHeight="1" x14ac:dyDescent="0.3">
      <c r="Q878" s="13" t="str">
        <f>IF(OR(Dashboard!$C$4="All Customers",$E878=Dashboard!$C$4),IF($E878="","",$P878+ROW()/10000000),"")</f>
        <v/>
      </c>
    </row>
    <row r="879" spans="17:17" ht="14.25" customHeight="1" x14ac:dyDescent="0.3">
      <c r="Q879" s="13" t="str">
        <f>IF(OR(Dashboard!$C$4="All Customers",$E879=Dashboard!$C$4),IF($E879="","",$P879+ROW()/10000000),"")</f>
        <v/>
      </c>
    </row>
    <row r="880" spans="17:17" ht="14.25" customHeight="1" x14ac:dyDescent="0.3">
      <c r="Q880" s="13" t="str">
        <f>IF(OR(Dashboard!$C$4="All Customers",$E880=Dashboard!$C$4),IF($E880="","",$P880+ROW()/10000000),"")</f>
        <v/>
      </c>
    </row>
    <row r="881" spans="17:17" ht="14.25" customHeight="1" x14ac:dyDescent="0.3">
      <c r="Q881" s="13" t="str">
        <f>IF(OR(Dashboard!$C$4="All Customers",$E881=Dashboard!$C$4),IF($E881="","",$P881+ROW()/10000000),"")</f>
        <v/>
      </c>
    </row>
    <row r="882" spans="17:17" ht="14.25" customHeight="1" x14ac:dyDescent="0.3">
      <c r="Q882" s="13" t="str">
        <f>IF(OR(Dashboard!$C$4="All Customers",$E882=Dashboard!$C$4),IF($E882="","",$P882+ROW()/10000000),"")</f>
        <v/>
      </c>
    </row>
    <row r="883" spans="17:17" ht="14.25" customHeight="1" x14ac:dyDescent="0.3">
      <c r="Q883" s="13" t="str">
        <f>IF(OR(Dashboard!$C$4="All Customers",$E883=Dashboard!$C$4),IF($E883="","",$P883+ROW()/10000000),"")</f>
        <v/>
      </c>
    </row>
    <row r="884" spans="17:17" ht="14.25" customHeight="1" x14ac:dyDescent="0.3">
      <c r="Q884" s="13" t="str">
        <f>IF(OR(Dashboard!$C$4="All Customers",$E884=Dashboard!$C$4),IF($E884="","",$P884+ROW()/10000000),"")</f>
        <v/>
      </c>
    </row>
    <row r="885" spans="17:17" ht="14.25" customHeight="1" x14ac:dyDescent="0.3">
      <c r="Q885" s="13" t="str">
        <f>IF(OR(Dashboard!$C$4="All Customers",$E885=Dashboard!$C$4),IF($E885="","",$P885+ROW()/10000000),"")</f>
        <v/>
      </c>
    </row>
    <row r="886" spans="17:17" ht="14.25" customHeight="1" x14ac:dyDescent="0.3">
      <c r="Q886" s="13" t="str">
        <f>IF(OR(Dashboard!$C$4="All Customers",$E886=Dashboard!$C$4),IF($E886="","",$P886+ROW()/10000000),"")</f>
        <v/>
      </c>
    </row>
    <row r="887" spans="17:17" ht="14.25" customHeight="1" x14ac:dyDescent="0.3">
      <c r="Q887" s="13" t="str">
        <f>IF(OR(Dashboard!$C$4="All Customers",$E887=Dashboard!$C$4),IF($E887="","",$P887+ROW()/10000000),"")</f>
        <v/>
      </c>
    </row>
    <row r="888" spans="17:17" ht="14.25" customHeight="1" x14ac:dyDescent="0.3">
      <c r="Q888" s="13" t="str">
        <f>IF(OR(Dashboard!$C$4="All Customers",$E888=Dashboard!$C$4),IF($E888="","",$P888+ROW()/10000000),"")</f>
        <v/>
      </c>
    </row>
    <row r="889" spans="17:17" ht="14.25" customHeight="1" x14ac:dyDescent="0.3">
      <c r="Q889" s="13" t="str">
        <f>IF(OR(Dashboard!$C$4="All Customers",$E889=Dashboard!$C$4),IF($E889="","",$P889+ROW()/10000000),"")</f>
        <v/>
      </c>
    </row>
    <row r="890" spans="17:17" ht="14.25" customHeight="1" x14ac:dyDescent="0.3">
      <c r="Q890" s="13" t="str">
        <f>IF(OR(Dashboard!$C$4="All Customers",$E890=Dashboard!$C$4),IF($E890="","",$P890+ROW()/10000000),"")</f>
        <v/>
      </c>
    </row>
    <row r="891" spans="17:17" ht="14.25" customHeight="1" x14ac:dyDescent="0.3">
      <c r="Q891" s="13" t="str">
        <f>IF(OR(Dashboard!$C$4="All Customers",$E891=Dashboard!$C$4),IF($E891="","",$P891+ROW()/10000000),"")</f>
        <v/>
      </c>
    </row>
    <row r="892" spans="17:17" ht="14.25" customHeight="1" x14ac:dyDescent="0.3">
      <c r="Q892" s="13" t="str">
        <f>IF(OR(Dashboard!$C$4="All Customers",$E892=Dashboard!$C$4),IF($E892="","",$P892+ROW()/10000000),"")</f>
        <v/>
      </c>
    </row>
    <row r="893" spans="17:17" ht="14.25" customHeight="1" x14ac:dyDescent="0.3">
      <c r="Q893" s="13" t="str">
        <f>IF(OR(Dashboard!$C$4="All Customers",$E893=Dashboard!$C$4),IF($E893="","",$P893+ROW()/10000000),"")</f>
        <v/>
      </c>
    </row>
    <row r="894" spans="17:17" ht="14.25" customHeight="1" x14ac:dyDescent="0.3">
      <c r="Q894" s="13" t="str">
        <f>IF(OR(Dashboard!$C$4="All Customers",$E894=Dashboard!$C$4),IF($E894="","",$P894+ROW()/10000000),"")</f>
        <v/>
      </c>
    </row>
    <row r="895" spans="17:17" ht="14.25" customHeight="1" x14ac:dyDescent="0.3">
      <c r="Q895" s="13" t="str">
        <f>IF(OR(Dashboard!$C$4="All Customers",$E895=Dashboard!$C$4),IF($E895="","",$P895+ROW()/10000000),"")</f>
        <v/>
      </c>
    </row>
    <row r="896" spans="17:17" ht="14.25" customHeight="1" x14ac:dyDescent="0.3">
      <c r="Q896" s="13" t="str">
        <f>IF(OR(Dashboard!$C$4="All Customers",$E896=Dashboard!$C$4),IF($E896="","",$P896+ROW()/10000000),"")</f>
        <v/>
      </c>
    </row>
    <row r="897" spans="17:17" ht="14.25" customHeight="1" x14ac:dyDescent="0.3">
      <c r="Q897" s="13" t="str">
        <f>IF(OR(Dashboard!$C$4="All Customers",$E897=Dashboard!$C$4),IF($E897="","",$P897+ROW()/10000000),"")</f>
        <v/>
      </c>
    </row>
    <row r="898" spans="17:17" ht="14.25" customHeight="1" x14ac:dyDescent="0.3">
      <c r="Q898" s="13" t="str">
        <f>IF(OR(Dashboard!$C$4="All Customers",$E898=Dashboard!$C$4),IF($E898="","",$P898+ROW()/10000000),"")</f>
        <v/>
      </c>
    </row>
    <row r="899" spans="17:17" ht="14.25" customHeight="1" x14ac:dyDescent="0.3">
      <c r="Q899" s="13" t="str">
        <f>IF(OR(Dashboard!$C$4="All Customers",$E899=Dashboard!$C$4),IF($E899="","",$P899+ROW()/10000000),"")</f>
        <v/>
      </c>
    </row>
    <row r="900" spans="17:17" ht="14.25" customHeight="1" x14ac:dyDescent="0.3">
      <c r="Q900" s="13" t="str">
        <f>IF(OR(Dashboard!$C$4="All Customers",$E900=Dashboard!$C$4),IF($E900="","",$P900+ROW()/10000000),"")</f>
        <v/>
      </c>
    </row>
    <row r="901" spans="17:17" ht="14.25" customHeight="1" x14ac:dyDescent="0.3">
      <c r="Q901" s="13" t="str">
        <f>IF(OR(Dashboard!$C$4="All Customers",$E901=Dashboard!$C$4),IF($E901="","",$P901+ROW()/10000000),"")</f>
        <v/>
      </c>
    </row>
    <row r="902" spans="17:17" ht="14.25" customHeight="1" x14ac:dyDescent="0.3">
      <c r="Q902" s="13" t="str">
        <f>IF(OR(Dashboard!$C$4="All Customers",$E902=Dashboard!$C$4),IF($E902="","",$P902+ROW()/10000000),"")</f>
        <v/>
      </c>
    </row>
    <row r="903" spans="17:17" ht="14.25" customHeight="1" x14ac:dyDescent="0.3">
      <c r="Q903" s="13" t="str">
        <f>IF(OR(Dashboard!$C$4="All Customers",$E903=Dashboard!$C$4),IF($E903="","",$P903+ROW()/10000000),"")</f>
        <v/>
      </c>
    </row>
    <row r="904" spans="17:17" ht="14.25" customHeight="1" x14ac:dyDescent="0.3">
      <c r="Q904" s="13" t="str">
        <f>IF(OR(Dashboard!$C$4="All Customers",$E904=Dashboard!$C$4),IF($E904="","",$P904+ROW()/10000000),"")</f>
        <v/>
      </c>
    </row>
    <row r="905" spans="17:17" ht="14.25" customHeight="1" x14ac:dyDescent="0.3">
      <c r="Q905" s="13" t="str">
        <f>IF(OR(Dashboard!$C$4="All Customers",$E905=Dashboard!$C$4),IF($E905="","",$P905+ROW()/10000000),"")</f>
        <v/>
      </c>
    </row>
    <row r="906" spans="17:17" ht="14.25" customHeight="1" x14ac:dyDescent="0.3">
      <c r="Q906" s="13" t="str">
        <f>IF(OR(Dashboard!$C$4="All Customers",$E906=Dashboard!$C$4),IF($E906="","",$P906+ROW()/10000000),"")</f>
        <v/>
      </c>
    </row>
    <row r="907" spans="17:17" ht="14.25" customHeight="1" x14ac:dyDescent="0.3">
      <c r="Q907" s="13" t="str">
        <f>IF(OR(Dashboard!$C$4="All Customers",$E907=Dashboard!$C$4),IF($E907="","",$P907+ROW()/10000000),"")</f>
        <v/>
      </c>
    </row>
    <row r="908" spans="17:17" ht="14.25" customHeight="1" x14ac:dyDescent="0.3">
      <c r="Q908" s="13" t="str">
        <f>IF(OR(Dashboard!$C$4="All Customers",$E908=Dashboard!$C$4),IF($E908="","",$P908+ROW()/10000000),"")</f>
        <v/>
      </c>
    </row>
    <row r="909" spans="17:17" ht="14.25" customHeight="1" x14ac:dyDescent="0.3">
      <c r="Q909" s="13" t="str">
        <f>IF(OR(Dashboard!$C$4="All Customers",$E909=Dashboard!$C$4),IF($E909="","",$P909+ROW()/10000000),"")</f>
        <v/>
      </c>
    </row>
    <row r="910" spans="17:17" ht="14.25" customHeight="1" x14ac:dyDescent="0.3">
      <c r="Q910" s="13" t="str">
        <f>IF(OR(Dashboard!$C$4="All Customers",$E910=Dashboard!$C$4),IF($E910="","",$P910+ROW()/10000000),"")</f>
        <v/>
      </c>
    </row>
    <row r="911" spans="17:17" ht="14.25" customHeight="1" x14ac:dyDescent="0.3">
      <c r="Q911" s="13" t="str">
        <f>IF(OR(Dashboard!$C$4="All Customers",$E911=Dashboard!$C$4),IF($E911="","",$P911+ROW()/10000000),"")</f>
        <v/>
      </c>
    </row>
    <row r="912" spans="17:17" ht="14.25" customHeight="1" x14ac:dyDescent="0.3">
      <c r="Q912" s="13" t="str">
        <f>IF(OR(Dashboard!$C$4="All Customers",$E912=Dashboard!$C$4),IF($E912="","",$P912+ROW()/10000000),"")</f>
        <v/>
      </c>
    </row>
    <row r="913" spans="17:17" ht="14.25" customHeight="1" x14ac:dyDescent="0.3">
      <c r="Q913" s="13" t="str">
        <f>IF(OR(Dashboard!$C$4="All Customers",$E913=Dashboard!$C$4),IF($E913="","",$P913+ROW()/10000000),"")</f>
        <v/>
      </c>
    </row>
    <row r="914" spans="17:17" ht="14.25" customHeight="1" x14ac:dyDescent="0.3">
      <c r="Q914" s="13" t="str">
        <f>IF(OR(Dashboard!$C$4="All Customers",$E914=Dashboard!$C$4),IF($E914="","",$P914+ROW()/10000000),"")</f>
        <v/>
      </c>
    </row>
    <row r="915" spans="17:17" ht="14.25" customHeight="1" x14ac:dyDescent="0.3">
      <c r="Q915" s="13" t="str">
        <f>IF(OR(Dashboard!$C$4="All Customers",$E915=Dashboard!$C$4),IF($E915="","",$P915+ROW()/10000000),"")</f>
        <v/>
      </c>
    </row>
    <row r="916" spans="17:17" ht="14.25" customHeight="1" x14ac:dyDescent="0.3">
      <c r="Q916" s="13" t="str">
        <f>IF(OR(Dashboard!$C$4="All Customers",$E916=Dashboard!$C$4),IF($E916="","",$P916+ROW()/10000000),"")</f>
        <v/>
      </c>
    </row>
    <row r="917" spans="17:17" ht="14.25" customHeight="1" x14ac:dyDescent="0.3">
      <c r="Q917" s="13" t="str">
        <f>IF(OR(Dashboard!$C$4="All Customers",$E917=Dashboard!$C$4),IF($E917="","",$P917+ROW()/10000000),"")</f>
        <v/>
      </c>
    </row>
    <row r="918" spans="17:17" ht="14.25" customHeight="1" x14ac:dyDescent="0.3">
      <c r="Q918" s="13" t="str">
        <f>IF(OR(Dashboard!$C$4="All Customers",$E918=Dashboard!$C$4),IF($E918="","",$P918+ROW()/10000000),"")</f>
        <v/>
      </c>
    </row>
    <row r="919" spans="17:17" ht="14.25" customHeight="1" x14ac:dyDescent="0.3">
      <c r="Q919" s="13" t="str">
        <f>IF(OR(Dashboard!$C$4="All Customers",$E919=Dashboard!$C$4),IF($E919="","",$P919+ROW()/10000000),"")</f>
        <v/>
      </c>
    </row>
    <row r="920" spans="17:17" ht="14.25" customHeight="1" x14ac:dyDescent="0.3">
      <c r="Q920" s="13" t="str">
        <f>IF(OR(Dashboard!$C$4="All Customers",$E920=Dashboard!$C$4),IF($E920="","",$P920+ROW()/10000000),"")</f>
        <v/>
      </c>
    </row>
    <row r="921" spans="17:17" ht="14.25" customHeight="1" x14ac:dyDescent="0.3">
      <c r="Q921" s="13" t="str">
        <f>IF(OR(Dashboard!$C$4="All Customers",$E921=Dashboard!$C$4),IF($E921="","",$P921+ROW()/10000000),"")</f>
        <v/>
      </c>
    </row>
    <row r="922" spans="17:17" ht="14.25" customHeight="1" x14ac:dyDescent="0.3">
      <c r="Q922" s="13" t="str">
        <f>IF(OR(Dashboard!$C$4="All Customers",$E922=Dashboard!$C$4),IF($E922="","",$P922+ROW()/10000000),"")</f>
        <v/>
      </c>
    </row>
    <row r="923" spans="17:17" ht="14.25" customHeight="1" x14ac:dyDescent="0.3">
      <c r="Q923" s="13" t="str">
        <f>IF(OR(Dashboard!$C$4="All Customers",$E923=Dashboard!$C$4),IF($E923="","",$P923+ROW()/10000000),"")</f>
        <v/>
      </c>
    </row>
    <row r="924" spans="17:17" ht="14.25" customHeight="1" x14ac:dyDescent="0.3">
      <c r="Q924" s="13" t="str">
        <f>IF(OR(Dashboard!$C$4="All Customers",$E924=Dashboard!$C$4),IF($E924="","",$P924+ROW()/10000000),"")</f>
        <v/>
      </c>
    </row>
    <row r="925" spans="17:17" ht="14.25" customHeight="1" x14ac:dyDescent="0.3">
      <c r="Q925" s="13" t="str">
        <f>IF(OR(Dashboard!$C$4="All Customers",$E925=Dashboard!$C$4),IF($E925="","",$P925+ROW()/10000000),"")</f>
        <v/>
      </c>
    </row>
    <row r="926" spans="17:17" ht="14.25" customHeight="1" x14ac:dyDescent="0.3">
      <c r="Q926" s="13" t="str">
        <f>IF(OR(Dashboard!$C$4="All Customers",$E926=Dashboard!$C$4),IF($E926="","",$P926+ROW()/10000000),"")</f>
        <v/>
      </c>
    </row>
    <row r="927" spans="17:17" ht="14.25" customHeight="1" x14ac:dyDescent="0.3">
      <c r="Q927" s="13" t="str">
        <f>IF(OR(Dashboard!$C$4="All Customers",$E927=Dashboard!$C$4),IF($E927="","",$P927+ROW()/10000000),"")</f>
        <v/>
      </c>
    </row>
    <row r="928" spans="17:17" ht="14.25" customHeight="1" x14ac:dyDescent="0.3">
      <c r="Q928" s="13" t="str">
        <f>IF(OR(Dashboard!$C$4="All Customers",$E928=Dashboard!$C$4),IF($E928="","",$P928+ROW()/10000000),"")</f>
        <v/>
      </c>
    </row>
    <row r="929" spans="17:17" ht="14.25" customHeight="1" x14ac:dyDescent="0.3">
      <c r="Q929" s="13" t="str">
        <f>IF(OR(Dashboard!$C$4="All Customers",$E929=Dashboard!$C$4),IF($E929="","",$P929+ROW()/10000000),"")</f>
        <v/>
      </c>
    </row>
    <row r="930" spans="17:17" ht="14.25" customHeight="1" x14ac:dyDescent="0.3">
      <c r="Q930" s="13" t="str">
        <f>IF(OR(Dashboard!$C$4="All Customers",$E930=Dashboard!$C$4),IF($E930="","",$P930+ROW()/10000000),"")</f>
        <v/>
      </c>
    </row>
    <row r="931" spans="17:17" ht="14.25" customHeight="1" x14ac:dyDescent="0.3">
      <c r="Q931" s="13" t="str">
        <f>IF(OR(Dashboard!$C$4="All Customers",$E931=Dashboard!$C$4),IF($E931="","",$P931+ROW()/10000000),"")</f>
        <v/>
      </c>
    </row>
    <row r="932" spans="17:17" ht="14.25" customHeight="1" x14ac:dyDescent="0.3">
      <c r="Q932" s="13" t="str">
        <f>IF(OR(Dashboard!$C$4="All Customers",$E932=Dashboard!$C$4),IF($E932="","",$P932+ROW()/10000000),"")</f>
        <v/>
      </c>
    </row>
    <row r="933" spans="17:17" ht="14.25" customHeight="1" x14ac:dyDescent="0.3">
      <c r="Q933" s="13" t="str">
        <f>IF(OR(Dashboard!$C$4="All Customers",$E933=Dashboard!$C$4),IF($E933="","",$P933+ROW()/10000000),"")</f>
        <v/>
      </c>
    </row>
    <row r="934" spans="17:17" ht="14.25" customHeight="1" x14ac:dyDescent="0.3">
      <c r="Q934" s="13" t="str">
        <f>IF(OR(Dashboard!$C$4="All Customers",$E934=Dashboard!$C$4),IF($E934="","",$P934+ROW()/10000000),"")</f>
        <v/>
      </c>
    </row>
    <row r="935" spans="17:17" ht="14.25" customHeight="1" x14ac:dyDescent="0.3">
      <c r="Q935" s="13" t="str">
        <f>IF(OR(Dashboard!$C$4="All Customers",$E935=Dashboard!$C$4),IF($E935="","",$P935+ROW()/10000000),"")</f>
        <v/>
      </c>
    </row>
    <row r="936" spans="17:17" ht="14.25" customHeight="1" x14ac:dyDescent="0.3">
      <c r="Q936" s="13" t="str">
        <f>IF(OR(Dashboard!$C$4="All Customers",$E936=Dashboard!$C$4),IF($E936="","",$P936+ROW()/10000000),"")</f>
        <v/>
      </c>
    </row>
    <row r="937" spans="17:17" ht="14.25" customHeight="1" x14ac:dyDescent="0.3">
      <c r="Q937" s="13" t="str">
        <f>IF(OR(Dashboard!$C$4="All Customers",$E937=Dashboard!$C$4),IF($E937="","",$P937+ROW()/10000000),"")</f>
        <v/>
      </c>
    </row>
    <row r="938" spans="17:17" ht="14.25" customHeight="1" x14ac:dyDescent="0.3">
      <c r="Q938" s="13" t="str">
        <f>IF(OR(Dashboard!$C$4="All Customers",$E938=Dashboard!$C$4),IF($E938="","",$P938+ROW()/10000000),"")</f>
        <v/>
      </c>
    </row>
    <row r="939" spans="17:17" ht="14.25" customHeight="1" x14ac:dyDescent="0.3">
      <c r="Q939" s="13" t="str">
        <f>IF(OR(Dashboard!$C$4="All Customers",$E939=Dashboard!$C$4),IF($E939="","",$P939+ROW()/10000000),"")</f>
        <v/>
      </c>
    </row>
    <row r="940" spans="17:17" ht="14.25" customHeight="1" x14ac:dyDescent="0.3">
      <c r="Q940" s="13" t="str">
        <f>IF(OR(Dashboard!$C$4="All Customers",$E940=Dashboard!$C$4),IF($E940="","",$P940+ROW()/10000000),"")</f>
        <v/>
      </c>
    </row>
    <row r="941" spans="17:17" ht="14.25" customHeight="1" x14ac:dyDescent="0.3">
      <c r="Q941" s="13" t="str">
        <f>IF(OR(Dashboard!$C$4="All Customers",$E941=Dashboard!$C$4),IF($E941="","",$P941+ROW()/10000000),"")</f>
        <v/>
      </c>
    </row>
    <row r="942" spans="17:17" ht="14.25" customHeight="1" x14ac:dyDescent="0.3">
      <c r="Q942" s="13" t="str">
        <f>IF(OR(Dashboard!$C$4="All Customers",$E942=Dashboard!$C$4),IF($E942="","",$P942+ROW()/10000000),"")</f>
        <v/>
      </c>
    </row>
    <row r="943" spans="17:17" ht="14.25" customHeight="1" x14ac:dyDescent="0.3">
      <c r="Q943" s="13" t="str">
        <f>IF(OR(Dashboard!$C$4="All Customers",$E943=Dashboard!$C$4),IF($E943="","",$P943+ROW()/10000000),"")</f>
        <v/>
      </c>
    </row>
    <row r="944" spans="17:17" ht="14.25" customHeight="1" x14ac:dyDescent="0.3">
      <c r="Q944" s="13" t="str">
        <f>IF(OR(Dashboard!$C$4="All Customers",$E944=Dashboard!$C$4),IF($E944="","",$P944+ROW()/10000000),"")</f>
        <v/>
      </c>
    </row>
    <row r="945" spans="17:17" ht="14.25" customHeight="1" x14ac:dyDescent="0.3">
      <c r="Q945" s="13" t="str">
        <f>IF(OR(Dashboard!$C$4="All Customers",$E945=Dashboard!$C$4),IF($E945="","",$P945+ROW()/10000000),"")</f>
        <v/>
      </c>
    </row>
    <row r="946" spans="17:17" ht="14.25" customHeight="1" x14ac:dyDescent="0.3">
      <c r="Q946" s="13" t="str">
        <f>IF(OR(Dashboard!$C$4="All Customers",$E946=Dashboard!$C$4),IF($E946="","",$P946+ROW()/10000000),"")</f>
        <v/>
      </c>
    </row>
    <row r="947" spans="17:17" ht="14.25" customHeight="1" x14ac:dyDescent="0.3">
      <c r="Q947" s="13" t="str">
        <f>IF(OR(Dashboard!$C$4="All Customers",$E947=Dashboard!$C$4),IF($E947="","",$P947+ROW()/10000000),"")</f>
        <v/>
      </c>
    </row>
    <row r="948" spans="17:17" ht="14.25" customHeight="1" x14ac:dyDescent="0.3">
      <c r="Q948" s="13" t="str">
        <f>IF(OR(Dashboard!$C$4="All Customers",$E948=Dashboard!$C$4),IF($E948="","",$P948+ROW()/10000000),"")</f>
        <v/>
      </c>
    </row>
    <row r="949" spans="17:17" ht="14.25" customHeight="1" x14ac:dyDescent="0.3">
      <c r="Q949" s="13" t="str">
        <f>IF(OR(Dashboard!$C$4="All Customers",$E949=Dashboard!$C$4),IF($E949="","",$P949+ROW()/10000000),"")</f>
        <v/>
      </c>
    </row>
    <row r="950" spans="17:17" ht="14.25" customHeight="1" x14ac:dyDescent="0.3">
      <c r="Q950" s="13" t="str">
        <f>IF(OR(Dashboard!$C$4="All Customers",$E950=Dashboard!$C$4),IF($E950="","",$P950+ROW()/10000000),"")</f>
        <v/>
      </c>
    </row>
    <row r="951" spans="17:17" ht="14.25" customHeight="1" x14ac:dyDescent="0.3">
      <c r="Q951" s="13" t="str">
        <f>IF(OR(Dashboard!$C$4="All Customers",$E951=Dashboard!$C$4),IF($E951="","",$P951+ROW()/10000000),"")</f>
        <v/>
      </c>
    </row>
    <row r="952" spans="17:17" ht="14.25" customHeight="1" x14ac:dyDescent="0.3">
      <c r="Q952" s="13" t="str">
        <f>IF(OR(Dashboard!$C$4="All Customers",$E952=Dashboard!$C$4),IF($E952="","",$P952+ROW()/10000000),"")</f>
        <v/>
      </c>
    </row>
    <row r="953" spans="17:17" ht="14.25" customHeight="1" x14ac:dyDescent="0.3">
      <c r="Q953" s="13" t="str">
        <f>IF(OR(Dashboard!$C$4="All Customers",$E953=Dashboard!$C$4),IF($E953="","",$P953+ROW()/10000000),"")</f>
        <v/>
      </c>
    </row>
    <row r="954" spans="17:17" ht="14.25" customHeight="1" x14ac:dyDescent="0.3">
      <c r="Q954" s="13" t="str">
        <f>IF(OR(Dashboard!$C$4="All Customers",$E954=Dashboard!$C$4),IF($E954="","",$P954+ROW()/10000000),"")</f>
        <v/>
      </c>
    </row>
    <row r="955" spans="17:17" ht="14.25" customHeight="1" x14ac:dyDescent="0.3">
      <c r="Q955" s="13" t="str">
        <f>IF(OR(Dashboard!$C$4="All Customers",$E955=Dashboard!$C$4),IF($E955="","",$P955+ROW()/10000000),"")</f>
        <v/>
      </c>
    </row>
    <row r="956" spans="17:17" ht="14.25" customHeight="1" x14ac:dyDescent="0.3">
      <c r="Q956" s="13" t="str">
        <f>IF(OR(Dashboard!$C$4="All Customers",$E956=Dashboard!$C$4),IF($E956="","",$P956+ROW()/10000000),"")</f>
        <v/>
      </c>
    </row>
    <row r="957" spans="17:17" ht="14.25" customHeight="1" x14ac:dyDescent="0.3">
      <c r="Q957" s="13" t="str">
        <f>IF(OR(Dashboard!$C$4="All Customers",$E957=Dashboard!$C$4),IF($E957="","",$P957+ROW()/10000000),"")</f>
        <v/>
      </c>
    </row>
    <row r="958" spans="17:17" ht="14.25" customHeight="1" x14ac:dyDescent="0.3">
      <c r="Q958" s="13" t="str">
        <f>IF(OR(Dashboard!$C$4="All Customers",$E958=Dashboard!$C$4),IF($E958="","",$P958+ROW()/10000000),"")</f>
        <v/>
      </c>
    </row>
    <row r="959" spans="17:17" ht="14.25" customHeight="1" x14ac:dyDescent="0.3">
      <c r="Q959" s="13" t="str">
        <f>IF(OR(Dashboard!$C$4="All Customers",$E959=Dashboard!$C$4),IF($E959="","",$P959+ROW()/10000000),"")</f>
        <v/>
      </c>
    </row>
    <row r="960" spans="17:17" ht="14.25" customHeight="1" x14ac:dyDescent="0.3">
      <c r="Q960" s="13" t="str">
        <f>IF(OR(Dashboard!$C$4="All Customers",$E960=Dashboard!$C$4),IF($E960="","",$P960+ROW()/10000000),"")</f>
        <v/>
      </c>
    </row>
    <row r="961" spans="17:17" ht="14.25" customHeight="1" x14ac:dyDescent="0.3">
      <c r="Q961" s="13" t="str">
        <f>IF(OR(Dashboard!$C$4="All Customers",$E961=Dashboard!$C$4),IF($E961="","",$P961+ROW()/10000000),"")</f>
        <v/>
      </c>
    </row>
    <row r="962" spans="17:17" ht="14.25" customHeight="1" x14ac:dyDescent="0.3">
      <c r="Q962" s="13" t="str">
        <f>IF(OR(Dashboard!$C$4="All Customers",$E962=Dashboard!$C$4),IF($E962="","",$P962+ROW()/10000000),"")</f>
        <v/>
      </c>
    </row>
    <row r="963" spans="17:17" ht="14.25" customHeight="1" x14ac:dyDescent="0.3">
      <c r="Q963" s="13" t="str">
        <f>IF(OR(Dashboard!$C$4="All Customers",$E963=Dashboard!$C$4),IF($E963="","",$P963+ROW()/10000000),"")</f>
        <v/>
      </c>
    </row>
    <row r="964" spans="17:17" ht="14.25" customHeight="1" x14ac:dyDescent="0.3">
      <c r="Q964" s="13" t="str">
        <f>IF(OR(Dashboard!$C$4="All Customers",$E964=Dashboard!$C$4),IF($E964="","",$P964+ROW()/10000000),"")</f>
        <v/>
      </c>
    </row>
    <row r="965" spans="17:17" ht="14.25" customHeight="1" x14ac:dyDescent="0.3">
      <c r="Q965" s="13" t="str">
        <f>IF(OR(Dashboard!$C$4="All Customers",$E965=Dashboard!$C$4),IF($E965="","",$P965+ROW()/10000000),"")</f>
        <v/>
      </c>
    </row>
    <row r="966" spans="17:17" ht="14.25" customHeight="1" x14ac:dyDescent="0.3">
      <c r="Q966" s="13" t="str">
        <f>IF(OR(Dashboard!$C$4="All Customers",$E966=Dashboard!$C$4),IF($E966="","",$P966+ROW()/10000000),"")</f>
        <v/>
      </c>
    </row>
    <row r="967" spans="17:17" ht="14.25" customHeight="1" x14ac:dyDescent="0.3">
      <c r="Q967" s="13" t="str">
        <f>IF(OR(Dashboard!$C$4="All Customers",$E967=Dashboard!$C$4),IF($E967="","",$P967+ROW()/10000000),"")</f>
        <v/>
      </c>
    </row>
    <row r="968" spans="17:17" ht="14.25" customHeight="1" x14ac:dyDescent="0.3">
      <c r="Q968" s="13" t="str">
        <f>IF(OR(Dashboard!$C$4="All Customers",$E968=Dashboard!$C$4),IF($E968="","",$P968+ROW()/10000000),"")</f>
        <v/>
      </c>
    </row>
    <row r="969" spans="17:17" ht="14.25" customHeight="1" x14ac:dyDescent="0.3">
      <c r="Q969" s="13" t="str">
        <f>IF(OR(Dashboard!$C$4="All Customers",$E969=Dashboard!$C$4),IF($E969="","",$P969+ROW()/10000000),"")</f>
        <v/>
      </c>
    </row>
    <row r="970" spans="17:17" ht="14.25" customHeight="1" x14ac:dyDescent="0.3">
      <c r="Q970" s="13" t="str">
        <f>IF(OR(Dashboard!$C$4="All Customers",$E970=Dashboard!$C$4),IF($E970="","",$P970+ROW()/10000000),"")</f>
        <v/>
      </c>
    </row>
    <row r="971" spans="17:17" ht="14.25" customHeight="1" x14ac:dyDescent="0.3">
      <c r="Q971" s="13" t="str">
        <f>IF(OR(Dashboard!$C$4="All Customers",$E971=Dashboard!$C$4),IF($E971="","",$P971+ROW()/10000000),"")</f>
        <v/>
      </c>
    </row>
    <row r="972" spans="17:17" ht="14.25" customHeight="1" x14ac:dyDescent="0.3">
      <c r="Q972" s="13" t="str">
        <f>IF(OR(Dashboard!$C$4="All Customers",$E972=Dashboard!$C$4),IF($E972="","",$P972+ROW()/10000000),"")</f>
        <v/>
      </c>
    </row>
    <row r="973" spans="17:17" ht="14.25" customHeight="1" x14ac:dyDescent="0.3">
      <c r="Q973" s="13" t="str">
        <f>IF(OR(Dashboard!$C$4="All Customers",$E973=Dashboard!$C$4),IF($E973="","",$P973+ROW()/10000000),"")</f>
        <v/>
      </c>
    </row>
    <row r="974" spans="17:17" ht="14.25" customHeight="1" x14ac:dyDescent="0.3">
      <c r="Q974" s="13" t="str">
        <f>IF(OR(Dashboard!$C$4="All Customers",$E974=Dashboard!$C$4),IF($E974="","",$P974+ROW()/10000000),"")</f>
        <v/>
      </c>
    </row>
    <row r="975" spans="17:17" ht="14.25" customHeight="1" x14ac:dyDescent="0.3">
      <c r="Q975" s="13" t="str">
        <f>IF(OR(Dashboard!$C$4="All Customers",$E975=Dashboard!$C$4),IF($E975="","",$P975+ROW()/10000000),"")</f>
        <v/>
      </c>
    </row>
    <row r="976" spans="17:17" ht="14.25" customHeight="1" x14ac:dyDescent="0.3">
      <c r="Q976" s="13" t="str">
        <f>IF(OR(Dashboard!$C$4="All Customers",$E976=Dashboard!$C$4),IF($E976="","",$P976+ROW()/10000000),"")</f>
        <v/>
      </c>
    </row>
    <row r="977" spans="17:17" ht="14.25" customHeight="1" x14ac:dyDescent="0.3">
      <c r="Q977" s="13" t="str">
        <f>IF(OR(Dashboard!$C$4="All Customers",$E977=Dashboard!$C$4),IF($E977="","",$P977+ROW()/10000000),"")</f>
        <v/>
      </c>
    </row>
    <row r="978" spans="17:17" ht="14.25" customHeight="1" x14ac:dyDescent="0.3">
      <c r="Q978" s="13" t="str">
        <f>IF(OR(Dashboard!$C$4="All Customers",$E978=Dashboard!$C$4),IF($E978="","",$P978+ROW()/10000000),"")</f>
        <v/>
      </c>
    </row>
    <row r="979" spans="17:17" ht="14.25" customHeight="1" x14ac:dyDescent="0.3">
      <c r="Q979" s="13" t="str">
        <f>IF(OR(Dashboard!$C$4="All Customers",$E979=Dashboard!$C$4),IF($E979="","",$P979+ROW()/10000000),"")</f>
        <v/>
      </c>
    </row>
    <row r="980" spans="17:17" ht="14.25" customHeight="1" x14ac:dyDescent="0.3">
      <c r="Q980" s="13" t="str">
        <f>IF(OR(Dashboard!$C$4="All Customers",$E980=Dashboard!$C$4),IF($E980="","",$P980+ROW()/10000000),"")</f>
        <v/>
      </c>
    </row>
    <row r="981" spans="17:17" ht="14.25" customHeight="1" x14ac:dyDescent="0.3">
      <c r="Q981" s="13" t="str">
        <f>IF(OR(Dashboard!$C$4="All Customers",$E981=Dashboard!$C$4),IF($E981="","",$P981+ROW()/10000000),"")</f>
        <v/>
      </c>
    </row>
    <row r="982" spans="17:17" ht="14.25" customHeight="1" x14ac:dyDescent="0.3">
      <c r="Q982" s="13" t="str">
        <f>IF(OR(Dashboard!$C$4="All Customers",$E982=Dashboard!$C$4),IF($E982="","",$P982+ROW()/10000000),"")</f>
        <v/>
      </c>
    </row>
    <row r="983" spans="17:17" ht="14.25" customHeight="1" x14ac:dyDescent="0.3">
      <c r="Q983" s="13" t="str">
        <f>IF(OR(Dashboard!$C$4="All Customers",$E983=Dashboard!$C$4),IF($E983="","",$P983+ROW()/10000000),"")</f>
        <v/>
      </c>
    </row>
    <row r="984" spans="17:17" ht="14.25" customHeight="1" x14ac:dyDescent="0.3">
      <c r="Q984" s="13" t="str">
        <f>IF(OR(Dashboard!$C$4="All Customers",$E984=Dashboard!$C$4),IF($E984="","",$P984+ROW()/10000000),"")</f>
        <v/>
      </c>
    </row>
    <row r="985" spans="17:17" ht="14.25" customHeight="1" x14ac:dyDescent="0.3">
      <c r="Q985" s="13" t="str">
        <f>IF(OR(Dashboard!$C$4="All Customers",$E985=Dashboard!$C$4),IF($E985="","",$P985+ROW()/10000000),"")</f>
        <v/>
      </c>
    </row>
    <row r="986" spans="17:17" ht="14.25" customHeight="1" x14ac:dyDescent="0.3">
      <c r="Q986" s="13" t="str">
        <f>IF(OR(Dashboard!$C$4="All Customers",$E986=Dashboard!$C$4),IF($E986="","",$P986+ROW()/10000000),"")</f>
        <v/>
      </c>
    </row>
    <row r="987" spans="17:17" ht="14.25" customHeight="1" x14ac:dyDescent="0.3">
      <c r="Q987" s="13" t="str">
        <f>IF(OR(Dashboard!$C$4="All Customers",$E987=Dashboard!$C$4),IF($E987="","",$P987+ROW()/10000000),"")</f>
        <v/>
      </c>
    </row>
    <row r="988" spans="17:17" ht="14.25" customHeight="1" x14ac:dyDescent="0.3">
      <c r="Q988" s="13" t="str">
        <f>IF(OR(Dashboard!$C$4="All Customers",$E988=Dashboard!$C$4),IF($E988="","",$P988+ROW()/10000000),"")</f>
        <v/>
      </c>
    </row>
    <row r="989" spans="17:17" ht="14.25" customHeight="1" x14ac:dyDescent="0.3">
      <c r="Q989" s="13" t="str">
        <f>IF(OR(Dashboard!$C$4="All Customers",$E989=Dashboard!$C$4),IF($E989="","",$P989+ROW()/10000000),"")</f>
        <v/>
      </c>
    </row>
    <row r="990" spans="17:17" ht="14.25" customHeight="1" x14ac:dyDescent="0.3">
      <c r="Q990" s="13" t="str">
        <f>IF(OR(Dashboard!$C$4="All Customers",$E990=Dashboard!$C$4),IF($E990="","",$P990+ROW()/10000000),"")</f>
        <v/>
      </c>
    </row>
    <row r="991" spans="17:17" ht="14.25" customHeight="1" x14ac:dyDescent="0.3">
      <c r="Q991" s="13" t="str">
        <f>IF(OR(Dashboard!$C$4="All Customers",$E991=Dashboard!$C$4),IF($E991="","",$P991+ROW()/10000000),"")</f>
        <v/>
      </c>
    </row>
    <row r="992" spans="17:17" ht="14.25" customHeight="1" x14ac:dyDescent="0.3">
      <c r="Q992" s="13" t="str">
        <f>IF(OR(Dashboard!$C$4="All Customers",$E992=Dashboard!$C$4),IF($E992="","",$P992+ROW()/10000000),"")</f>
        <v/>
      </c>
    </row>
    <row r="993" spans="17:17" ht="14.25" customHeight="1" x14ac:dyDescent="0.3">
      <c r="Q993" s="13" t="str">
        <f>IF(OR(Dashboard!$C$4="All Customers",$E993=Dashboard!$C$4),IF($E993="","",$P993+ROW()/10000000),"")</f>
        <v/>
      </c>
    </row>
    <row r="994" spans="17:17" ht="14.25" customHeight="1" x14ac:dyDescent="0.3">
      <c r="Q994" s="13" t="str">
        <f>IF(OR(Dashboard!$C$4="All Customers",$E994=Dashboard!$C$4),IF($E994="","",$P994+ROW()/10000000),"")</f>
        <v/>
      </c>
    </row>
    <row r="995" spans="17:17" ht="14.25" customHeight="1" x14ac:dyDescent="0.3">
      <c r="Q995" s="13" t="str">
        <f>IF(OR(Dashboard!$C$4="All Customers",$E995=Dashboard!$C$4),IF($E995="","",$P995+ROW()/10000000),"")</f>
        <v/>
      </c>
    </row>
    <row r="996" spans="17:17" ht="14.25" customHeight="1" x14ac:dyDescent="0.3">
      <c r="Q996" s="13" t="str">
        <f>IF(OR(Dashboard!$C$4="All Customers",$E996=Dashboard!$C$4),IF($E996="","",$P996+ROW()/10000000),"")</f>
        <v/>
      </c>
    </row>
    <row r="997" spans="17:17" ht="14.25" customHeight="1" x14ac:dyDescent="0.3">
      <c r="Q997" s="13" t="str">
        <f>IF(OR(Dashboard!$C$4="All Customers",$E997=Dashboard!$C$4),IF($E997="","",$P997+ROW()/10000000),"")</f>
        <v/>
      </c>
    </row>
    <row r="998" spans="17:17" ht="14.25" customHeight="1" x14ac:dyDescent="0.3">
      <c r="Q998" s="13" t="str">
        <f>IF(OR(Dashboard!$C$4="All Customers",$E998=Dashboard!$C$4),IF($E998="","",$P998+ROW()/10000000),"")</f>
        <v/>
      </c>
    </row>
    <row r="999" spans="17:17" ht="14.25" customHeight="1" x14ac:dyDescent="0.3">
      <c r="Q999" s="13" t="str">
        <f>IF(OR(Dashboard!$C$4="All Customers",$E999=Dashboard!$C$4),IF($E999="","",$P999+ROW()/10000000),"")</f>
        <v/>
      </c>
    </row>
    <row r="1000" spans="17:17" ht="14.25" customHeight="1" x14ac:dyDescent="0.3">
      <c r="Q1000" s="13" t="str">
        <f>IF(OR(Dashboard!$C$4="All Customers",$E1000=Dashboard!$C$4),IF($E1000="","",$P1000+ROW()/10000000),"")</f>
        <v/>
      </c>
    </row>
    <row r="1001" spans="17:17" ht="14.25" customHeight="1" x14ac:dyDescent="0.3">
      <c r="Q1001" s="13" t="str">
        <f>IF(OR(Dashboard!$C$4="All Customers",$E1001=Dashboard!$C$4),IF($E1001="","",$P1001+ROW()/10000000),"")</f>
        <v/>
      </c>
    </row>
    <row r="1002" spans="17:17" ht="14.25" customHeight="1" x14ac:dyDescent="0.3">
      <c r="Q1002" s="13" t="str">
        <f>IF(OR(Dashboard!$C$4="All Customers",$E1002=Dashboard!$C$4),IF($E1002="","",$P1002+ROW()/10000000),"")</f>
        <v/>
      </c>
    </row>
    <row r="1003" spans="17:17" ht="14.25" customHeight="1" x14ac:dyDescent="0.3">
      <c r="Q1003" s="13" t="str">
        <f>IF(OR(Dashboard!$C$4="All Customers",$E1003=Dashboard!$C$4),IF($E1003="","",$P1003+ROW()/10000000),"")</f>
        <v/>
      </c>
    </row>
    <row r="1004" spans="17:17" ht="14.25" customHeight="1" x14ac:dyDescent="0.3">
      <c r="Q1004" s="13" t="str">
        <f>IF(OR(Dashboard!$C$4="All Customers",$E1004=Dashboard!$C$4),IF($E1004="","",$P1004+ROW()/10000000),"")</f>
        <v/>
      </c>
    </row>
    <row r="1005" spans="17:17" ht="14.25" customHeight="1" x14ac:dyDescent="0.3">
      <c r="Q1005" s="13" t="str">
        <f>IF(OR(Dashboard!$C$4="All Customers",$E1005=Dashboard!$C$4),IF($E1005="","",$P1005+ROW()/10000000),"")</f>
        <v/>
      </c>
    </row>
    <row r="1006" spans="17:17" ht="14.25" customHeight="1" x14ac:dyDescent="0.3">
      <c r="Q1006" s="13" t="str">
        <f>IF(OR(Dashboard!$C$4="All Customers",$E1006=Dashboard!$C$4),IF($E1006="","",$P1006+ROW()/10000000),"")</f>
        <v/>
      </c>
    </row>
    <row r="1007" spans="17:17" ht="14.25" customHeight="1" x14ac:dyDescent="0.3">
      <c r="Q1007" s="13" t="str">
        <f>IF(OR(Dashboard!$C$4="All Customers",$E1007=Dashboard!$C$4),IF($E1007="","",$P1007+ROW()/10000000),"")</f>
        <v/>
      </c>
    </row>
    <row r="1008" spans="17:17" ht="14.25" customHeight="1" x14ac:dyDescent="0.3">
      <c r="Q1008" s="13" t="str">
        <f>IF(OR(Dashboard!$C$4="All Customers",$E1008=Dashboard!$C$4),IF($E1008="","",$P1008+ROW()/10000000),"")</f>
        <v/>
      </c>
    </row>
    <row r="1009" spans="17:17" ht="14.25" customHeight="1" x14ac:dyDescent="0.3">
      <c r="Q1009" s="13" t="str">
        <f>IF(OR(Dashboard!$C$4="All Customers",$E1009=Dashboard!$C$4),IF($E1009="","",$P1009+ROW()/10000000),"")</f>
        <v/>
      </c>
    </row>
    <row r="1010" spans="17:17" ht="14.25" customHeight="1" x14ac:dyDescent="0.3">
      <c r="Q1010" s="13" t="str">
        <f>IF(OR(Dashboard!$C$4="All Customers",$E1010=Dashboard!$C$4),IF($E1010="","",$P1010+ROW()/10000000),"")</f>
        <v/>
      </c>
    </row>
    <row r="1011" spans="17:17" ht="14.25" customHeight="1" x14ac:dyDescent="0.3">
      <c r="Q1011" s="13" t="str">
        <f>IF(OR(Dashboard!$C$4="All Customers",$E1011=Dashboard!$C$4),IF($E1011="","",$P1011+ROW()/10000000),"")</f>
        <v/>
      </c>
    </row>
    <row r="1012" spans="17:17" ht="14.25" customHeight="1" x14ac:dyDescent="0.3">
      <c r="Q1012" s="13" t="str">
        <f>IF(OR(Dashboard!$C$4="All Customers",$E1012=Dashboard!$C$4),IF($E1012="","",$P1012+ROW()/10000000),"")</f>
        <v/>
      </c>
    </row>
    <row r="1013" spans="17:17" ht="14.25" customHeight="1" x14ac:dyDescent="0.3">
      <c r="Q1013" s="13" t="str">
        <f>IF(OR(Dashboard!$C$4="All Customers",$E1013=Dashboard!$C$4),IF($E1013="","",$P1013+ROW()/10000000),"")</f>
        <v/>
      </c>
    </row>
    <row r="1014" spans="17:17" ht="14.25" customHeight="1" x14ac:dyDescent="0.3">
      <c r="Q1014" s="13" t="str">
        <f>IF(OR(Dashboard!$C$4="All Customers",$E1014=Dashboard!$C$4),IF($E1014="","",$P1014+ROW()/10000000),"")</f>
        <v/>
      </c>
    </row>
    <row r="1015" spans="17:17" ht="14.25" customHeight="1" x14ac:dyDescent="0.3">
      <c r="Q1015" s="13" t="str">
        <f>IF(OR(Dashboard!$C$4="All Customers",$E1015=Dashboard!$C$4),IF($E1015="","",$P1015+ROW()/10000000),"")</f>
        <v/>
      </c>
    </row>
    <row r="1016" spans="17:17" ht="14.25" customHeight="1" x14ac:dyDescent="0.3">
      <c r="Q1016" s="13" t="str">
        <f>IF(OR(Dashboard!$C$4="All Customers",$E1016=Dashboard!$C$4),IF($E1016="","",$P1016+ROW()/10000000),"")</f>
        <v/>
      </c>
    </row>
    <row r="1017" spans="17:17" ht="14.25" customHeight="1" x14ac:dyDescent="0.3">
      <c r="Q1017" s="13" t="str">
        <f>IF(OR(Dashboard!$C$4="All Customers",$E1017=Dashboard!$C$4),IF($E1017="","",$P1017+ROW()/10000000),"")</f>
        <v/>
      </c>
    </row>
    <row r="1018" spans="17:17" ht="14.25" customHeight="1" x14ac:dyDescent="0.3">
      <c r="Q1018" s="13" t="str">
        <f>IF(OR(Dashboard!$C$4="All Customers",$E1018=Dashboard!$C$4),IF($E1018="","",$P1018+ROW()/10000000),"")</f>
        <v/>
      </c>
    </row>
    <row r="1019" spans="17:17" ht="14.25" customHeight="1" x14ac:dyDescent="0.3">
      <c r="Q1019" s="13" t="str">
        <f>IF(OR(Dashboard!$C$4="All Customers",$E1019=Dashboard!$C$4),IF($E1019="","",$P1019+ROW()/10000000),"")</f>
        <v/>
      </c>
    </row>
    <row r="1020" spans="17:17" ht="14.25" customHeight="1" x14ac:dyDescent="0.3">
      <c r="Q1020" s="13" t="str">
        <f>IF(OR(Dashboard!$C$4="All Customers",$E1020=Dashboard!$C$4),IF($E1020="","",$P1020+ROW()/10000000),"")</f>
        <v/>
      </c>
    </row>
    <row r="1021" spans="17:17" ht="14.25" customHeight="1" x14ac:dyDescent="0.3">
      <c r="Q1021" s="13" t="str">
        <f>IF(OR(Dashboard!$C$4="All Customers",$E1021=Dashboard!$C$4),IF($E1021="","",$P1021+ROW()/10000000),"")</f>
        <v/>
      </c>
    </row>
    <row r="1022" spans="17:17" ht="14.25" customHeight="1" x14ac:dyDescent="0.3">
      <c r="Q1022" s="13" t="str">
        <f>IF(OR(Dashboard!$C$4="All Customers",$E1022=Dashboard!$C$4),IF($E1022="","",$P1022+ROW()/10000000),"")</f>
        <v/>
      </c>
    </row>
    <row r="1023" spans="17:17" ht="14.25" customHeight="1" x14ac:dyDescent="0.3">
      <c r="Q1023" s="13" t="str">
        <f>IF(OR(Dashboard!$C$4="All Customers",$E1023=Dashboard!$C$4),IF($E1023="","",$P1023+ROW()/10000000),"")</f>
        <v/>
      </c>
    </row>
    <row r="1024" spans="17:17" ht="14.25" customHeight="1" x14ac:dyDescent="0.3">
      <c r="Q1024" s="13" t="str">
        <f>IF(OR(Dashboard!$C$4="All Customers",$E1024=Dashboard!$C$4),IF($E1024="","",$P1024+ROW()/10000000),"")</f>
        <v/>
      </c>
    </row>
    <row r="1025" spans="17:17" ht="14.25" customHeight="1" x14ac:dyDescent="0.3">
      <c r="Q1025" s="13" t="str">
        <f>IF(OR(Dashboard!$C$4="All Customers",$E1025=Dashboard!$C$4),IF($E1025="","",$P1025+ROW()/10000000),"")</f>
        <v/>
      </c>
    </row>
    <row r="1026" spans="17:17" ht="14.25" customHeight="1" x14ac:dyDescent="0.3">
      <c r="Q1026" s="13" t="str">
        <f>IF(OR(Dashboard!$C$4="All Customers",$E1026=Dashboard!$C$4),IF($E1026="","",$P1026+ROW()/10000000),"")</f>
        <v/>
      </c>
    </row>
    <row r="1027" spans="17:17" ht="14.25" customHeight="1" x14ac:dyDescent="0.3">
      <c r="Q1027" s="13" t="str">
        <f>IF(OR(Dashboard!$C$4="All Customers",$E1027=Dashboard!$C$4),IF($E1027="","",$P1027+ROW()/10000000),"")</f>
        <v/>
      </c>
    </row>
    <row r="1028" spans="17:17" ht="14.25" customHeight="1" x14ac:dyDescent="0.3">
      <c r="Q1028" s="13" t="str">
        <f>IF(OR(Dashboard!$C$4="All Customers",$E1028=Dashboard!$C$4),IF($E1028="","",$P1028+ROW()/10000000),"")</f>
        <v/>
      </c>
    </row>
    <row r="1029" spans="17:17" ht="14.25" customHeight="1" x14ac:dyDescent="0.3">
      <c r="Q1029" s="13" t="str">
        <f>IF(OR(Dashboard!$C$4="All Customers",$E1029=Dashboard!$C$4),IF($E1029="","",$P1029+ROW()/10000000),"")</f>
        <v/>
      </c>
    </row>
    <row r="1030" spans="17:17" ht="14.25" customHeight="1" x14ac:dyDescent="0.3">
      <c r="Q1030" s="13" t="str">
        <f>IF(OR(Dashboard!$C$4="All Customers",$E1030=Dashboard!$C$4),IF($E1030="","",$P1030+ROW()/10000000),"")</f>
        <v/>
      </c>
    </row>
    <row r="1031" spans="17:17" ht="14.25" customHeight="1" x14ac:dyDescent="0.3">
      <c r="Q1031" s="13" t="str">
        <f>IF(OR(Dashboard!$C$4="All Customers",$E1031=Dashboard!$C$4),IF($E1031="","",$P1031+ROW()/10000000),"")</f>
        <v/>
      </c>
    </row>
    <row r="1032" spans="17:17" ht="14.25" customHeight="1" x14ac:dyDescent="0.3">
      <c r="Q1032" s="13" t="str">
        <f>IF(OR(Dashboard!$C$4="All Customers",$E1032=Dashboard!$C$4),IF($E1032="","",$P1032+ROW()/10000000),"")</f>
        <v/>
      </c>
    </row>
    <row r="1033" spans="17:17" ht="14.25" customHeight="1" x14ac:dyDescent="0.3">
      <c r="Q1033" s="13" t="str">
        <f>IF(OR(Dashboard!$C$4="All Customers",$E1033=Dashboard!$C$4),IF($E1033="","",$P1033+ROW()/10000000),"")</f>
        <v/>
      </c>
    </row>
    <row r="1034" spans="17:17" ht="14.25" customHeight="1" x14ac:dyDescent="0.3">
      <c r="Q1034" s="13" t="str">
        <f>IF(OR(Dashboard!$C$4="All Customers",$E1034=Dashboard!$C$4),IF($E1034="","",$P1034+ROW()/10000000),"")</f>
        <v/>
      </c>
    </row>
    <row r="1035" spans="17:17" ht="14.25" customHeight="1" x14ac:dyDescent="0.3">
      <c r="Q1035" s="13" t="str">
        <f>IF(OR(Dashboard!$C$4="All Customers",$E1035=Dashboard!$C$4),IF($E1035="","",$P1035+ROW()/10000000),"")</f>
        <v/>
      </c>
    </row>
    <row r="1036" spans="17:17" ht="14.25" customHeight="1" x14ac:dyDescent="0.3">
      <c r="Q1036" s="13" t="str">
        <f>IF(OR(Dashboard!$C$4="All Customers",$E1036=Dashboard!$C$4),IF($E1036="","",$P1036+ROW()/10000000),"")</f>
        <v/>
      </c>
    </row>
    <row r="1037" spans="17:17" ht="14.25" customHeight="1" x14ac:dyDescent="0.3">
      <c r="Q1037" s="13" t="str">
        <f>IF(OR(Dashboard!$C$4="All Customers",$E1037=Dashboard!$C$4),IF($E1037="","",$P1037+ROW()/10000000),"")</f>
        <v/>
      </c>
    </row>
    <row r="1038" spans="17:17" ht="14.25" customHeight="1" x14ac:dyDescent="0.3">
      <c r="Q1038" s="13" t="str">
        <f>IF(OR(Dashboard!$C$4="All Customers",$E1038=Dashboard!$C$4),IF($E1038="","",$P1038+ROW()/10000000),"")</f>
        <v/>
      </c>
    </row>
    <row r="1039" spans="17:17" ht="14.25" customHeight="1" x14ac:dyDescent="0.3">
      <c r="Q1039" s="13" t="str">
        <f>IF(OR(Dashboard!$C$4="All Customers",$E1039=Dashboard!$C$4),IF($E1039="","",$P1039+ROW()/10000000),"")</f>
        <v/>
      </c>
    </row>
    <row r="1040" spans="17:17" ht="14.25" customHeight="1" x14ac:dyDescent="0.3">
      <c r="Q1040" s="13" t="str">
        <f>IF(OR(Dashboard!$C$4="All Customers",$E1040=Dashboard!$C$4),IF($E1040="","",$P1040+ROW()/10000000),"")</f>
        <v/>
      </c>
    </row>
    <row r="1041" spans="17:17" ht="14.25" customHeight="1" x14ac:dyDescent="0.3">
      <c r="Q1041" s="13" t="str">
        <f>IF(OR(Dashboard!$C$4="All Customers",$E1041=Dashboard!$C$4),IF($E1041="","",$P1041+ROW()/10000000),"")</f>
        <v/>
      </c>
    </row>
    <row r="1042" spans="17:17" ht="14.25" customHeight="1" x14ac:dyDescent="0.3">
      <c r="Q1042" s="13" t="str">
        <f>IF(OR(Dashboard!$C$4="All Customers",$E1042=Dashboard!$C$4),IF($E1042="","",$P1042+ROW()/10000000),"")</f>
        <v/>
      </c>
    </row>
    <row r="1043" spans="17:17" ht="14.25" customHeight="1" x14ac:dyDescent="0.3">
      <c r="Q1043" s="13" t="str">
        <f>IF(OR(Dashboard!$C$4="All Customers",$E1043=Dashboard!$C$4),IF($E1043="","",$P1043+ROW()/10000000),"")</f>
        <v/>
      </c>
    </row>
    <row r="1044" spans="17:17" ht="14.25" customHeight="1" x14ac:dyDescent="0.3">
      <c r="Q1044" s="13" t="str">
        <f>IF(OR(Dashboard!$C$4="All Customers",$E1044=Dashboard!$C$4),IF($E1044="","",$P1044+ROW()/10000000),"")</f>
        <v/>
      </c>
    </row>
    <row r="1045" spans="17:17" ht="14.25" customHeight="1" x14ac:dyDescent="0.3">
      <c r="Q1045" s="13" t="str">
        <f>IF(OR(Dashboard!$C$4="All Customers",$E1045=Dashboard!$C$4),IF($E1045="","",$P1045+ROW()/10000000),"")</f>
        <v/>
      </c>
    </row>
    <row r="1046" spans="17:17" ht="14.25" customHeight="1" x14ac:dyDescent="0.3">
      <c r="Q1046" s="13" t="str">
        <f>IF(OR(Dashboard!$C$4="All Customers",$E1046=Dashboard!$C$4),IF($E1046="","",$P1046+ROW()/10000000),"")</f>
        <v/>
      </c>
    </row>
    <row r="1047" spans="17:17" ht="14.25" customHeight="1" x14ac:dyDescent="0.3">
      <c r="Q1047" s="13" t="str">
        <f>IF(OR(Dashboard!$C$4="All Customers",$E1047=Dashboard!$C$4),IF($E1047="","",$P1047+ROW()/10000000),"")</f>
        <v/>
      </c>
    </row>
    <row r="1048" spans="17:17" ht="14.25" customHeight="1" x14ac:dyDescent="0.3">
      <c r="Q1048" s="13" t="str">
        <f>IF(OR(Dashboard!$C$4="All Customers",$E1048=Dashboard!$C$4),IF($E1048="","",$P1048+ROW()/10000000),"")</f>
        <v/>
      </c>
    </row>
    <row r="1049" spans="17:17" ht="14.25" customHeight="1" x14ac:dyDescent="0.3">
      <c r="Q1049" s="13" t="str">
        <f>IF(OR(Dashboard!$C$4="All Customers",$E1049=Dashboard!$C$4),IF($E1049="","",$P1049+ROW()/10000000),"")</f>
        <v/>
      </c>
    </row>
    <row r="1050" spans="17:17" ht="14.25" customHeight="1" x14ac:dyDescent="0.3">
      <c r="Q1050" s="13" t="str">
        <f>IF(OR(Dashboard!$C$4="All Customers",$E1050=Dashboard!$C$4),IF($E1050="","",$P1050+ROW()/10000000),"")</f>
        <v/>
      </c>
    </row>
    <row r="1051" spans="17:17" ht="14.25" customHeight="1" x14ac:dyDescent="0.3">
      <c r="Q1051" s="13" t="str">
        <f>IF(OR(Dashboard!$C$4="All Customers",$E1051=Dashboard!$C$4),IF($E1051="","",$P1051+ROW()/10000000),"")</f>
        <v/>
      </c>
    </row>
    <row r="1052" spans="17:17" ht="14.25" customHeight="1" x14ac:dyDescent="0.3">
      <c r="Q1052" s="13" t="str">
        <f>IF(OR(Dashboard!$C$4="All Customers",$E1052=Dashboard!$C$4),IF($E1052="","",$P1052+ROW()/10000000),"")</f>
        <v/>
      </c>
    </row>
    <row r="1053" spans="17:17" ht="14.25" customHeight="1" x14ac:dyDescent="0.3">
      <c r="Q1053" s="13" t="str">
        <f>IF(OR(Dashboard!$C$4="All Customers",$E1053=Dashboard!$C$4),IF($E1053="","",$P1053+ROW()/10000000),"")</f>
        <v/>
      </c>
    </row>
    <row r="1054" spans="17:17" ht="14.25" customHeight="1" x14ac:dyDescent="0.3">
      <c r="Q1054" s="13" t="str">
        <f>IF(OR(Dashboard!$C$4="All Customers",$E1054=Dashboard!$C$4),IF($E1054="","",$P1054+ROW()/10000000),"")</f>
        <v/>
      </c>
    </row>
    <row r="1055" spans="17:17" ht="14.25" customHeight="1" x14ac:dyDescent="0.3">
      <c r="Q1055" s="13" t="str">
        <f>IF(OR(Dashboard!$C$4="All Customers",$E1055=Dashboard!$C$4),IF($E1055="","",$P1055+ROW()/10000000),"")</f>
        <v/>
      </c>
    </row>
    <row r="1056" spans="17:17" ht="14.25" customHeight="1" x14ac:dyDescent="0.3">
      <c r="Q1056" s="13" t="str">
        <f>IF(OR(Dashboard!$C$4="All Customers",$E1056=Dashboard!$C$4),IF($E1056="","",$P1056+ROW()/10000000),"")</f>
        <v/>
      </c>
    </row>
    <row r="1057" spans="17:17" ht="14.25" customHeight="1" x14ac:dyDescent="0.3">
      <c r="Q1057" s="13" t="str">
        <f>IF(OR(Dashboard!$C$4="All Customers",$E1057=Dashboard!$C$4),IF($E1057="","",$P1057+ROW()/10000000),"")</f>
        <v/>
      </c>
    </row>
    <row r="1058" spans="17:17" ht="14.25" customHeight="1" x14ac:dyDescent="0.3">
      <c r="Q1058" s="13" t="str">
        <f>IF(OR(Dashboard!$C$4="All Customers",$E1058=Dashboard!$C$4),IF($E1058="","",$P1058+ROW()/10000000),"")</f>
        <v/>
      </c>
    </row>
    <row r="1059" spans="17:17" ht="14.25" customHeight="1" x14ac:dyDescent="0.3">
      <c r="Q1059" s="13" t="str">
        <f>IF(OR(Dashboard!$C$4="All Customers",$E1059=Dashboard!$C$4),IF($E1059="","",$P1059+ROW()/10000000),"")</f>
        <v/>
      </c>
    </row>
    <row r="1060" spans="17:17" ht="14.25" customHeight="1" x14ac:dyDescent="0.3">
      <c r="Q1060" s="13" t="str">
        <f>IF(OR(Dashboard!$C$4="All Customers",$E1060=Dashboard!$C$4),IF($E1060="","",$P1060+ROW()/10000000),"")</f>
        <v/>
      </c>
    </row>
    <row r="1061" spans="17:17" ht="14.25" customHeight="1" x14ac:dyDescent="0.3">
      <c r="Q1061" s="13" t="str">
        <f>IF(OR(Dashboard!$C$4="All Customers",$E1061=Dashboard!$C$4),IF($E1061="","",$P1061+ROW()/10000000),"")</f>
        <v/>
      </c>
    </row>
    <row r="1062" spans="17:17" ht="14.25" customHeight="1" x14ac:dyDescent="0.3">
      <c r="Q1062" s="13" t="str">
        <f>IF(OR(Dashboard!$C$4="All Customers",$E1062=Dashboard!$C$4),IF($E1062="","",$P1062+ROW()/10000000),"")</f>
        <v/>
      </c>
    </row>
    <row r="1063" spans="17:17" ht="14.25" customHeight="1" x14ac:dyDescent="0.3">
      <c r="Q1063" s="13" t="str">
        <f>IF(OR(Dashboard!$C$4="All Customers",$E1063=Dashboard!$C$4),IF($E1063="","",$P1063+ROW()/10000000),"")</f>
        <v/>
      </c>
    </row>
    <row r="1064" spans="17:17" ht="14.25" customHeight="1" x14ac:dyDescent="0.3">
      <c r="Q1064" s="13" t="str">
        <f>IF(OR(Dashboard!$C$4="All Customers",$E1064=Dashboard!$C$4),IF($E1064="","",$P1064+ROW()/10000000),"")</f>
        <v/>
      </c>
    </row>
    <row r="1065" spans="17:17" ht="14.25" customHeight="1" x14ac:dyDescent="0.3">
      <c r="Q1065" s="13" t="str">
        <f>IF(OR(Dashboard!$C$4="All Customers",$E1065=Dashboard!$C$4),IF($E1065="","",$P1065+ROW()/10000000),"")</f>
        <v/>
      </c>
    </row>
    <row r="1066" spans="17:17" ht="14.25" customHeight="1" x14ac:dyDescent="0.3">
      <c r="Q1066" s="13" t="str">
        <f>IF(OR(Dashboard!$C$4="All Customers",$E1066=Dashboard!$C$4),IF($E1066="","",$P1066+ROW()/10000000),"")</f>
        <v/>
      </c>
    </row>
    <row r="1067" spans="17:17" ht="14.25" customHeight="1" x14ac:dyDescent="0.3">
      <c r="Q1067" s="13" t="str">
        <f>IF(OR(Dashboard!$C$4="All Customers",$E1067=Dashboard!$C$4),IF($E1067="","",$P1067+ROW()/10000000),"")</f>
        <v/>
      </c>
    </row>
    <row r="1068" spans="17:17" ht="14.25" customHeight="1" x14ac:dyDescent="0.3">
      <c r="Q1068" s="13" t="str">
        <f>IF(OR(Dashboard!$C$4="All Customers",$E1068=Dashboard!$C$4),IF($E1068="","",$P1068+ROW()/10000000),"")</f>
        <v/>
      </c>
    </row>
    <row r="1069" spans="17:17" ht="14.25" customHeight="1" x14ac:dyDescent="0.3">
      <c r="Q1069" s="13" t="str">
        <f>IF(OR(Dashboard!$C$4="All Customers",$E1069=Dashboard!$C$4),IF($E1069="","",$P1069+ROW()/10000000),"")</f>
        <v/>
      </c>
    </row>
    <row r="1070" spans="17:17" ht="14.25" customHeight="1" x14ac:dyDescent="0.3">
      <c r="Q1070" s="13" t="str">
        <f>IF(OR(Dashboard!$C$4="All Customers",$E1070=Dashboard!$C$4),IF($E1070="","",$P1070+ROW()/10000000),"")</f>
        <v/>
      </c>
    </row>
    <row r="1071" spans="17:17" ht="14.25" customHeight="1" x14ac:dyDescent="0.3">
      <c r="Q1071" s="13" t="str">
        <f>IF(OR(Dashboard!$C$4="All Customers",$E1071=Dashboard!$C$4),IF($E1071="","",$P1071+ROW()/10000000),"")</f>
        <v/>
      </c>
    </row>
    <row r="1072" spans="17:17" ht="14.25" customHeight="1" x14ac:dyDescent="0.3">
      <c r="Q1072" s="13" t="str">
        <f>IF(OR(Dashboard!$C$4="All Customers",$E1072=Dashboard!$C$4),IF($E1072="","",$P1072+ROW()/10000000),"")</f>
        <v/>
      </c>
    </row>
    <row r="1073" spans="17:17" ht="14.25" customHeight="1" x14ac:dyDescent="0.3">
      <c r="Q1073" s="13" t="str">
        <f>IF(OR(Dashboard!$C$4="All Customers",$E1073=Dashboard!$C$4),IF($E1073="","",$P1073+ROW()/10000000),"")</f>
        <v/>
      </c>
    </row>
    <row r="1074" spans="17:17" ht="14.25" customHeight="1" x14ac:dyDescent="0.3">
      <c r="Q1074" s="13" t="str">
        <f>IF(OR(Dashboard!$C$4="All Customers",$E1074=Dashboard!$C$4),IF($E1074="","",$P1074+ROW()/10000000),"")</f>
        <v/>
      </c>
    </row>
    <row r="1075" spans="17:17" ht="14.25" customHeight="1" x14ac:dyDescent="0.3">
      <c r="Q1075" s="13" t="str">
        <f>IF(OR(Dashboard!$C$4="All Customers",$E1075=Dashboard!$C$4),IF($E1075="","",$P1075+ROW()/10000000),"")</f>
        <v/>
      </c>
    </row>
    <row r="1076" spans="17:17" ht="14.25" customHeight="1" x14ac:dyDescent="0.3">
      <c r="Q1076" s="13" t="str">
        <f>IF(OR(Dashboard!$C$4="All Customers",$E1076=Dashboard!$C$4),IF($E1076="","",$P1076+ROW()/10000000),"")</f>
        <v/>
      </c>
    </row>
    <row r="1077" spans="17:17" ht="14.25" customHeight="1" x14ac:dyDescent="0.3">
      <c r="Q1077" s="13" t="str">
        <f>IF(OR(Dashboard!$C$4="All Customers",$E1077=Dashboard!$C$4),IF($E1077="","",$P1077+ROW()/10000000),"")</f>
        <v/>
      </c>
    </row>
    <row r="1078" spans="17:17" ht="14.25" customHeight="1" x14ac:dyDescent="0.3">
      <c r="Q1078" s="13" t="str">
        <f>IF(OR(Dashboard!$C$4="All Customers",$E1078=Dashboard!$C$4),IF($E1078="","",$P1078+ROW()/10000000),"")</f>
        <v/>
      </c>
    </row>
    <row r="1079" spans="17:17" ht="14.25" customHeight="1" x14ac:dyDescent="0.3">
      <c r="Q1079" s="13" t="str">
        <f>IF(OR(Dashboard!$C$4="All Customers",$E1079=Dashboard!$C$4),IF($E1079="","",$P1079+ROW()/10000000),"")</f>
        <v/>
      </c>
    </row>
    <row r="1080" spans="17:17" ht="14.25" customHeight="1" x14ac:dyDescent="0.3">
      <c r="Q1080" s="13" t="str">
        <f>IF(OR(Dashboard!$C$4="All Customers",$E1080=Dashboard!$C$4),IF($E1080="","",$P1080+ROW()/10000000),"")</f>
        <v/>
      </c>
    </row>
    <row r="1081" spans="17:17" ht="14.25" customHeight="1" x14ac:dyDescent="0.3">
      <c r="Q1081" s="13" t="str">
        <f>IF(OR(Dashboard!$C$4="All Customers",$E1081=Dashboard!$C$4),IF($E1081="","",$P1081+ROW()/10000000),"")</f>
        <v/>
      </c>
    </row>
    <row r="1082" spans="17:17" ht="14.25" customHeight="1" x14ac:dyDescent="0.3">
      <c r="Q1082" s="13" t="str">
        <f>IF(OR(Dashboard!$C$4="All Customers",$E1082=Dashboard!$C$4),IF($E1082="","",$P1082+ROW()/10000000),"")</f>
        <v/>
      </c>
    </row>
    <row r="1083" spans="17:17" ht="14.25" customHeight="1" x14ac:dyDescent="0.3">
      <c r="Q1083" s="13" t="str">
        <f>IF(OR(Dashboard!$C$4="All Customers",$E1083=Dashboard!$C$4),IF($E1083="","",$P1083+ROW()/10000000),"")</f>
        <v/>
      </c>
    </row>
    <row r="1084" spans="17:17" ht="14.25" customHeight="1" x14ac:dyDescent="0.3">
      <c r="Q1084" s="13" t="str">
        <f>IF(OR(Dashboard!$C$4="All Customers",$E1084=Dashboard!$C$4),IF($E1084="","",$P1084+ROW()/10000000),"")</f>
        <v/>
      </c>
    </row>
    <row r="1085" spans="17:17" ht="14.25" customHeight="1" x14ac:dyDescent="0.3">
      <c r="Q1085" s="13" t="str">
        <f>IF(OR(Dashboard!$C$4="All Customers",$E1085=Dashboard!$C$4),IF($E1085="","",$P1085+ROW()/10000000),"")</f>
        <v/>
      </c>
    </row>
    <row r="1086" spans="17:17" ht="14.25" customHeight="1" x14ac:dyDescent="0.3">
      <c r="Q1086" s="13" t="str">
        <f>IF(OR(Dashboard!$C$4="All Customers",$E1086=Dashboard!$C$4),IF($E1086="","",$P1086+ROW()/10000000),"")</f>
        <v/>
      </c>
    </row>
    <row r="1087" spans="17:17" ht="14.25" customHeight="1" x14ac:dyDescent="0.3">
      <c r="Q1087" s="13" t="str">
        <f>IF(OR(Dashboard!$C$4="All Customers",$E1087=Dashboard!$C$4),IF($E1087="","",$P1087+ROW()/10000000),"")</f>
        <v/>
      </c>
    </row>
    <row r="1088" spans="17:17" ht="14.25" customHeight="1" x14ac:dyDescent="0.3">
      <c r="Q1088" s="13" t="str">
        <f>IF(OR(Dashboard!$C$4="All Customers",$E1088=Dashboard!$C$4),IF($E1088="","",$P1088+ROW()/10000000),"")</f>
        <v/>
      </c>
    </row>
    <row r="1089" spans="17:17" ht="14.25" customHeight="1" x14ac:dyDescent="0.3">
      <c r="Q1089" s="13" t="str">
        <f>IF(OR(Dashboard!$C$4="All Customers",$E1089=Dashboard!$C$4),IF($E1089="","",$P1089+ROW()/10000000),"")</f>
        <v/>
      </c>
    </row>
    <row r="1090" spans="17:17" ht="14.25" customHeight="1" x14ac:dyDescent="0.3">
      <c r="Q1090" s="13" t="str">
        <f>IF(OR(Dashboard!$C$4="All Customers",$E1090=Dashboard!$C$4),IF($E1090="","",$P1090+ROW()/10000000),"")</f>
        <v/>
      </c>
    </row>
    <row r="1091" spans="17:17" ht="14.25" customHeight="1" x14ac:dyDescent="0.3">
      <c r="Q1091" s="13" t="str">
        <f>IF(OR(Dashboard!$C$4="All Customers",$E1091=Dashboard!$C$4),IF($E1091="","",$P1091+ROW()/10000000),"")</f>
        <v/>
      </c>
    </row>
    <row r="1092" spans="17:17" ht="14.25" customHeight="1" x14ac:dyDescent="0.3">
      <c r="Q1092" s="13" t="str">
        <f>IF(OR(Dashboard!$C$4="All Customers",$E1092=Dashboard!$C$4),IF($E1092="","",$P1092+ROW()/10000000),"")</f>
        <v/>
      </c>
    </row>
    <row r="1093" spans="17:17" ht="14.25" customHeight="1" x14ac:dyDescent="0.3">
      <c r="Q1093" s="13" t="str">
        <f>IF(OR(Dashboard!$C$4="All Customers",$E1093=Dashboard!$C$4),IF($E1093="","",$P1093+ROW()/10000000),"")</f>
        <v/>
      </c>
    </row>
    <row r="1094" spans="17:17" ht="14.25" customHeight="1" x14ac:dyDescent="0.3">
      <c r="Q1094" s="13" t="str">
        <f>IF(OR(Dashboard!$C$4="All Customers",$E1094=Dashboard!$C$4),IF($E1094="","",$P1094+ROW()/10000000),"")</f>
        <v/>
      </c>
    </row>
    <row r="1095" spans="17:17" ht="14.25" customHeight="1" x14ac:dyDescent="0.3">
      <c r="Q1095" s="13" t="str">
        <f>IF(OR(Dashboard!$C$4="All Customers",$E1095=Dashboard!$C$4),IF($E1095="","",$P1095+ROW()/10000000),"")</f>
        <v/>
      </c>
    </row>
    <row r="1096" spans="17:17" ht="14.25" customHeight="1" x14ac:dyDescent="0.3">
      <c r="Q1096" s="13" t="str">
        <f>IF(OR(Dashboard!$C$4="All Customers",$E1096=Dashboard!$C$4),IF($E1096="","",$P1096+ROW()/10000000),"")</f>
        <v/>
      </c>
    </row>
    <row r="1097" spans="17:17" ht="14.25" customHeight="1" x14ac:dyDescent="0.3">
      <c r="Q1097" s="13" t="str">
        <f>IF(OR(Dashboard!$C$4="All Customers",$E1097=Dashboard!$C$4),IF($E1097="","",$P1097+ROW()/10000000),"")</f>
        <v/>
      </c>
    </row>
    <row r="1098" spans="17:17" ht="14.25" customHeight="1" x14ac:dyDescent="0.3">
      <c r="Q1098" s="13" t="str">
        <f>IF(OR(Dashboard!$C$4="All Customers",$E1098=Dashboard!$C$4),IF($E1098="","",$P1098+ROW()/10000000),"")</f>
        <v/>
      </c>
    </row>
    <row r="1099" spans="17:17" ht="14.25" customHeight="1" x14ac:dyDescent="0.3">
      <c r="Q1099" s="13" t="str">
        <f>IF(OR(Dashboard!$C$4="All Customers",$E1099=Dashboard!$C$4),IF($E1099="","",$P1099+ROW()/10000000),"")</f>
        <v/>
      </c>
    </row>
    <row r="1100" spans="17:17" ht="14.25" customHeight="1" x14ac:dyDescent="0.3">
      <c r="Q1100" s="13" t="str">
        <f>IF(OR(Dashboard!$C$4="All Customers",$E1100=Dashboard!$C$4),IF($E1100="","",$P1100+ROW()/10000000),"")</f>
        <v/>
      </c>
    </row>
    <row r="1101" spans="17:17" ht="14.25" customHeight="1" x14ac:dyDescent="0.3">
      <c r="Q1101" s="13" t="str">
        <f>IF(OR(Dashboard!$C$4="All Customers",$E1101=Dashboard!$C$4),IF($E1101="","",$P1101+ROW()/10000000),"")</f>
        <v/>
      </c>
    </row>
    <row r="1102" spans="17:17" ht="14.25" customHeight="1" x14ac:dyDescent="0.3">
      <c r="Q1102" s="13" t="str">
        <f>IF(OR(Dashboard!$C$4="All Customers",$E1102=Dashboard!$C$4),IF($E1102="","",$P1102+ROW()/10000000),"")</f>
        <v/>
      </c>
    </row>
    <row r="1103" spans="17:17" ht="14.25" customHeight="1" x14ac:dyDescent="0.3">
      <c r="Q1103" s="13" t="str">
        <f>IF(OR(Dashboard!$C$4="All Customers",$E1103=Dashboard!$C$4),IF($E1103="","",$P1103+ROW()/10000000),"")</f>
        <v/>
      </c>
    </row>
    <row r="1104" spans="17:17" ht="14.25" customHeight="1" x14ac:dyDescent="0.3">
      <c r="Q1104" s="13" t="str">
        <f>IF(OR(Dashboard!$C$4="All Customers",$E1104=Dashboard!$C$4),IF($E1104="","",$P1104+ROW()/10000000),"")</f>
        <v/>
      </c>
    </row>
    <row r="1105" spans="17:17" ht="14.25" customHeight="1" x14ac:dyDescent="0.3">
      <c r="Q1105" s="13" t="str">
        <f>IF(OR(Dashboard!$C$4="All Customers",$E1105=Dashboard!$C$4),IF($E1105="","",$P1105+ROW()/10000000),"")</f>
        <v/>
      </c>
    </row>
    <row r="1106" spans="17:17" ht="14.25" customHeight="1" x14ac:dyDescent="0.3">
      <c r="Q1106" s="13" t="str">
        <f>IF(OR(Dashboard!$C$4="All Customers",$E1106=Dashboard!$C$4),IF($E1106="","",$P1106+ROW()/10000000),"")</f>
        <v/>
      </c>
    </row>
    <row r="1107" spans="17:17" ht="14.25" customHeight="1" x14ac:dyDescent="0.3">
      <c r="Q1107" s="13" t="str">
        <f>IF(OR(Dashboard!$C$4="All Customers",$E1107=Dashboard!$C$4),IF($E1107="","",$P1107+ROW()/10000000),"")</f>
        <v/>
      </c>
    </row>
    <row r="1108" spans="17:17" ht="14.25" customHeight="1" x14ac:dyDescent="0.3">
      <c r="Q1108" s="13" t="str">
        <f>IF(OR(Dashboard!$C$4="All Customers",$E1108=Dashboard!$C$4),IF($E1108="","",$P1108+ROW()/10000000),"")</f>
        <v/>
      </c>
    </row>
    <row r="1109" spans="17:17" ht="14.25" customHeight="1" x14ac:dyDescent="0.3">
      <c r="Q1109" s="13" t="str">
        <f>IF(OR(Dashboard!$C$4="All Customers",$E1109=Dashboard!$C$4),IF($E1109="","",$P1109+ROW()/10000000),"")</f>
        <v/>
      </c>
    </row>
    <row r="1110" spans="17:17" ht="14.25" customHeight="1" x14ac:dyDescent="0.3">
      <c r="Q1110" s="13" t="str">
        <f>IF(OR(Dashboard!$C$4="All Customers",$E1110=Dashboard!$C$4),IF($E1110="","",$P1110+ROW()/10000000),"")</f>
        <v/>
      </c>
    </row>
    <row r="1111" spans="17:17" ht="14.25" customHeight="1" x14ac:dyDescent="0.3">
      <c r="Q1111" s="13" t="str">
        <f>IF(OR(Dashboard!$C$4="All Customers",$E1111=Dashboard!$C$4),IF($E1111="","",$P1111+ROW()/10000000),"")</f>
        <v/>
      </c>
    </row>
    <row r="1112" spans="17:17" ht="14.25" customHeight="1" x14ac:dyDescent="0.3">
      <c r="Q1112" s="13" t="str">
        <f>IF(OR(Dashboard!$C$4="All Customers",$E1112=Dashboard!$C$4),IF($E1112="","",$P1112+ROW()/10000000),"")</f>
        <v/>
      </c>
    </row>
    <row r="1113" spans="17:17" ht="14.25" customHeight="1" x14ac:dyDescent="0.3">
      <c r="Q1113" s="13" t="str">
        <f>IF(OR(Dashboard!$C$4="All Customers",$E1113=Dashboard!$C$4),IF($E1113="","",$P1113+ROW()/10000000),"")</f>
        <v/>
      </c>
    </row>
    <row r="1114" spans="17:17" ht="14.25" customHeight="1" x14ac:dyDescent="0.3">
      <c r="Q1114" s="13" t="str">
        <f>IF(OR(Dashboard!$C$4="All Customers",$E1114=Dashboard!$C$4),IF($E1114="","",$P1114+ROW()/10000000),"")</f>
        <v/>
      </c>
    </row>
    <row r="1115" spans="17:17" ht="14.25" customHeight="1" x14ac:dyDescent="0.3">
      <c r="Q1115" s="13" t="str">
        <f>IF(OR(Dashboard!$C$4="All Customers",$E1115=Dashboard!$C$4),IF($E1115="","",$P1115+ROW()/10000000),"")</f>
        <v/>
      </c>
    </row>
    <row r="1116" spans="17:17" ht="14.25" customHeight="1" x14ac:dyDescent="0.3">
      <c r="Q1116" s="13" t="str">
        <f>IF(OR(Dashboard!$C$4="All Customers",$E1116=Dashboard!$C$4),IF($E1116="","",$P1116+ROW()/10000000),"")</f>
        <v/>
      </c>
    </row>
    <row r="1117" spans="17:17" ht="14.25" customHeight="1" x14ac:dyDescent="0.3">
      <c r="Q1117" s="13" t="str">
        <f>IF(OR(Dashboard!$C$4="All Customers",$E1117=Dashboard!$C$4),IF($E1117="","",$P1117+ROW()/10000000),"")</f>
        <v/>
      </c>
    </row>
    <row r="1118" spans="17:17" ht="14.25" customHeight="1" x14ac:dyDescent="0.3">
      <c r="Q1118" s="13" t="str">
        <f>IF(OR(Dashboard!$C$4="All Customers",$E1118=Dashboard!$C$4),IF($E1118="","",$P1118+ROW()/10000000),"")</f>
        <v/>
      </c>
    </row>
    <row r="1119" spans="17:17" ht="14.25" customHeight="1" x14ac:dyDescent="0.3">
      <c r="Q1119" s="13" t="str">
        <f>IF(OR(Dashboard!$C$4="All Customers",$E1119=Dashboard!$C$4),IF($E1119="","",$P1119+ROW()/10000000),"")</f>
        <v/>
      </c>
    </row>
    <row r="1120" spans="17:17" ht="14.25" customHeight="1" x14ac:dyDescent="0.3">
      <c r="Q1120" s="13" t="str">
        <f>IF(OR(Dashboard!$C$4="All Customers",$E1120=Dashboard!$C$4),IF($E1120="","",$P1120+ROW()/10000000),"")</f>
        <v/>
      </c>
    </row>
    <row r="1121" spans="17:17" ht="14.25" customHeight="1" x14ac:dyDescent="0.3">
      <c r="Q1121" s="13" t="str">
        <f>IF(OR(Dashboard!$C$4="All Customers",$E1121=Dashboard!$C$4),IF($E1121="","",$P1121+ROW()/10000000),"")</f>
        <v/>
      </c>
    </row>
    <row r="1122" spans="17:17" ht="14.25" customHeight="1" x14ac:dyDescent="0.3">
      <c r="Q1122" s="13" t="str">
        <f>IF(OR(Dashboard!$C$4="All Customers",$E1122=Dashboard!$C$4),IF($E1122="","",$P1122+ROW()/10000000),"")</f>
        <v/>
      </c>
    </row>
    <row r="1123" spans="17:17" ht="14.25" customHeight="1" x14ac:dyDescent="0.3">
      <c r="Q1123" s="13" t="str">
        <f>IF(OR(Dashboard!$C$4="All Customers",$E1123=Dashboard!$C$4),IF($E1123="","",$P1123+ROW()/10000000),"")</f>
        <v/>
      </c>
    </row>
    <row r="1124" spans="17:17" ht="14.25" customHeight="1" x14ac:dyDescent="0.3">
      <c r="Q1124" s="13" t="str">
        <f>IF(OR(Dashboard!$C$4="All Customers",$E1124=Dashboard!$C$4),IF($E1124="","",$P1124+ROW()/10000000),"")</f>
        <v/>
      </c>
    </row>
    <row r="1125" spans="17:17" ht="14.25" customHeight="1" x14ac:dyDescent="0.3">
      <c r="Q1125" s="13" t="str">
        <f>IF(OR(Dashboard!$C$4="All Customers",$E1125=Dashboard!$C$4),IF($E1125="","",$P1125+ROW()/10000000),"")</f>
        <v/>
      </c>
    </row>
    <row r="1126" spans="17:17" ht="14.25" customHeight="1" x14ac:dyDescent="0.3">
      <c r="Q1126" s="13" t="str">
        <f>IF(OR(Dashboard!$C$4="All Customers",$E1126=Dashboard!$C$4),IF($E1126="","",$P1126+ROW()/10000000),"")</f>
        <v/>
      </c>
    </row>
    <row r="1127" spans="17:17" ht="14.25" customHeight="1" x14ac:dyDescent="0.3">
      <c r="Q1127" s="13" t="str">
        <f>IF(OR(Dashboard!$C$4="All Customers",$E1127=Dashboard!$C$4),IF($E1127="","",$P1127+ROW()/10000000),"")</f>
        <v/>
      </c>
    </row>
    <row r="1128" spans="17:17" ht="14.25" customHeight="1" x14ac:dyDescent="0.3">
      <c r="Q1128" s="13" t="str">
        <f>IF(OR(Dashboard!$C$4="All Customers",$E1128=Dashboard!$C$4),IF($E1128="","",$P1128+ROW()/10000000),"")</f>
        <v/>
      </c>
    </row>
    <row r="1129" spans="17:17" ht="14.25" customHeight="1" x14ac:dyDescent="0.3">
      <c r="Q1129" s="13" t="str">
        <f>IF(OR(Dashboard!$C$4="All Customers",$E1129=Dashboard!$C$4),IF($E1129="","",$P1129+ROW()/10000000),"")</f>
        <v/>
      </c>
    </row>
    <row r="1130" spans="17:17" ht="14.25" customHeight="1" x14ac:dyDescent="0.3">
      <c r="Q1130" s="13" t="str">
        <f>IF(OR(Dashboard!$C$4="All Customers",$E1130=Dashboard!$C$4),IF($E1130="","",$P1130+ROW()/10000000),"")</f>
        <v/>
      </c>
    </row>
    <row r="1131" spans="17:17" ht="14.25" customHeight="1" x14ac:dyDescent="0.3">
      <c r="Q1131" s="13" t="str">
        <f>IF(OR(Dashboard!$C$4="All Customers",$E1131=Dashboard!$C$4),IF($E1131="","",$P1131+ROW()/10000000),"")</f>
        <v/>
      </c>
    </row>
    <row r="1132" spans="17:17" ht="14.25" customHeight="1" x14ac:dyDescent="0.3">
      <c r="Q1132" s="13" t="str">
        <f>IF(OR(Dashboard!$C$4="All Customers",$E1132=Dashboard!$C$4),IF($E1132="","",$P1132+ROW()/10000000),"")</f>
        <v/>
      </c>
    </row>
    <row r="1133" spans="17:17" ht="14.25" customHeight="1" x14ac:dyDescent="0.3">
      <c r="Q1133" s="13" t="str">
        <f>IF(OR(Dashboard!$C$4="All Customers",$E1133=Dashboard!$C$4),IF($E1133="","",$P1133+ROW()/10000000),"")</f>
        <v/>
      </c>
    </row>
    <row r="1134" spans="17:17" ht="14.25" customHeight="1" x14ac:dyDescent="0.3">
      <c r="Q1134" s="13" t="str">
        <f>IF(OR(Dashboard!$C$4="All Customers",$E1134=Dashboard!$C$4),IF($E1134="","",$P1134+ROW()/10000000),"")</f>
        <v/>
      </c>
    </row>
    <row r="1135" spans="17:17" ht="14.25" customHeight="1" x14ac:dyDescent="0.3">
      <c r="Q1135" s="13" t="str">
        <f>IF(OR(Dashboard!$C$4="All Customers",$E1135=Dashboard!$C$4),IF($E1135="","",$P1135+ROW()/10000000),"")</f>
        <v/>
      </c>
    </row>
    <row r="1136" spans="17:17" ht="14.25" customHeight="1" x14ac:dyDescent="0.3">
      <c r="Q1136" s="13" t="str">
        <f>IF(OR(Dashboard!$C$4="All Customers",$E1136=Dashboard!$C$4),IF($E1136="","",$P1136+ROW()/10000000),"")</f>
        <v/>
      </c>
    </row>
    <row r="1137" spans="17:17" ht="14.25" customHeight="1" x14ac:dyDescent="0.3">
      <c r="Q1137" s="13" t="str">
        <f>IF(OR(Dashboard!$C$4="All Customers",$E1137=Dashboard!$C$4),IF($E1137="","",$P1137+ROW()/10000000),"")</f>
        <v/>
      </c>
    </row>
    <row r="1138" spans="17:17" ht="14.25" customHeight="1" x14ac:dyDescent="0.3">
      <c r="Q1138" s="13" t="str">
        <f>IF(OR(Dashboard!$C$4="All Customers",$E1138=Dashboard!$C$4),IF($E1138="","",$P1138+ROW()/10000000),"")</f>
        <v/>
      </c>
    </row>
    <row r="1139" spans="17:17" ht="14.25" customHeight="1" x14ac:dyDescent="0.3">
      <c r="Q1139" s="13" t="str">
        <f>IF(OR(Dashboard!$C$4="All Customers",$E1139=Dashboard!$C$4),IF($E1139="","",$P1139+ROW()/10000000),"")</f>
        <v/>
      </c>
    </row>
    <row r="1140" spans="17:17" ht="14.25" customHeight="1" x14ac:dyDescent="0.3">
      <c r="Q1140" s="13" t="str">
        <f>IF(OR(Dashboard!$C$4="All Customers",$E1140=Dashboard!$C$4),IF($E1140="","",$P1140+ROW()/10000000),"")</f>
        <v/>
      </c>
    </row>
    <row r="1141" spans="17:17" ht="14.25" customHeight="1" x14ac:dyDescent="0.3">
      <c r="Q1141" s="13" t="str">
        <f>IF(OR(Dashboard!$C$4="All Customers",$E1141=Dashboard!$C$4),IF($E1141="","",$P1141+ROW()/10000000),"")</f>
        <v/>
      </c>
    </row>
    <row r="1142" spans="17:17" ht="14.25" customHeight="1" x14ac:dyDescent="0.3">
      <c r="Q1142" s="13" t="str">
        <f>IF(OR(Dashboard!$C$4="All Customers",$E1142=Dashboard!$C$4),IF($E1142="","",$P1142+ROW()/10000000),"")</f>
        <v/>
      </c>
    </row>
    <row r="1143" spans="17:17" ht="14.25" customHeight="1" x14ac:dyDescent="0.3">
      <c r="Q1143" s="13" t="str">
        <f>IF(OR(Dashboard!$C$4="All Customers",$E1143=Dashboard!$C$4),IF($E1143="","",$P1143+ROW()/10000000),"")</f>
        <v/>
      </c>
    </row>
    <row r="1144" spans="17:17" ht="14.25" customHeight="1" x14ac:dyDescent="0.3">
      <c r="Q1144" s="13" t="str">
        <f>IF(OR(Dashboard!$C$4="All Customers",$E1144=Dashboard!$C$4),IF($E1144="","",$P1144+ROW()/10000000),"")</f>
        <v/>
      </c>
    </row>
    <row r="1145" spans="17:17" ht="14.25" customHeight="1" x14ac:dyDescent="0.3">
      <c r="Q1145" s="13" t="str">
        <f>IF(OR(Dashboard!$C$4="All Customers",$E1145=Dashboard!$C$4),IF($E1145="","",$P1145+ROW()/10000000),"")</f>
        <v/>
      </c>
    </row>
    <row r="1146" spans="17:17" ht="14.25" customHeight="1" x14ac:dyDescent="0.3">
      <c r="Q1146" s="13" t="str">
        <f>IF(OR(Dashboard!$C$4="All Customers",$E1146=Dashboard!$C$4),IF($E1146="","",$P1146+ROW()/10000000),"")</f>
        <v/>
      </c>
    </row>
    <row r="1147" spans="17:17" ht="14.25" customHeight="1" x14ac:dyDescent="0.3">
      <c r="Q1147" s="13" t="str">
        <f>IF(OR(Dashboard!$C$4="All Customers",$E1147=Dashboard!$C$4),IF($E1147="","",$P1147+ROW()/10000000),"")</f>
        <v/>
      </c>
    </row>
    <row r="1148" spans="17:17" ht="14.25" customHeight="1" x14ac:dyDescent="0.3">
      <c r="Q1148" s="13" t="str">
        <f>IF(OR(Dashboard!$C$4="All Customers",$E1148=Dashboard!$C$4),IF($E1148="","",$P1148+ROW()/10000000),"")</f>
        <v/>
      </c>
    </row>
    <row r="1149" spans="17:17" ht="14.25" customHeight="1" x14ac:dyDescent="0.3">
      <c r="Q1149" s="13" t="str">
        <f>IF(OR(Dashboard!$C$4="All Customers",$E1149=Dashboard!$C$4),IF($E1149="","",$P1149+ROW()/10000000),"")</f>
        <v/>
      </c>
    </row>
    <row r="1150" spans="17:17" ht="14.25" customHeight="1" x14ac:dyDescent="0.3">
      <c r="Q1150" s="13" t="str">
        <f>IF(OR(Dashboard!$C$4="All Customers",$E1150=Dashboard!$C$4),IF($E1150="","",$P1150+ROW()/10000000),"")</f>
        <v/>
      </c>
    </row>
    <row r="1151" spans="17:17" ht="14.25" customHeight="1" x14ac:dyDescent="0.3">
      <c r="Q1151" s="13" t="str">
        <f>IF(OR(Dashboard!$C$4="All Customers",$E1151=Dashboard!$C$4),IF($E1151="","",$P1151+ROW()/10000000),"")</f>
        <v/>
      </c>
    </row>
    <row r="1152" spans="17:17" ht="14.25" customHeight="1" x14ac:dyDescent="0.3">
      <c r="Q1152" s="13" t="str">
        <f>IF(OR(Dashboard!$C$4="All Customers",$E1152=Dashboard!$C$4),IF($E1152="","",$P1152+ROW()/10000000),"")</f>
        <v/>
      </c>
    </row>
    <row r="1153" spans="17:17" ht="14.25" customHeight="1" x14ac:dyDescent="0.3">
      <c r="Q1153" s="13" t="str">
        <f>IF(OR(Dashboard!$C$4="All Customers",$E1153=Dashboard!$C$4),IF($E1153="","",$P1153+ROW()/10000000),"")</f>
        <v/>
      </c>
    </row>
    <row r="1154" spans="17:17" ht="14.25" customHeight="1" x14ac:dyDescent="0.3">
      <c r="Q1154" s="13" t="str">
        <f>IF(OR(Dashboard!$C$4="All Customers",$E1154=Dashboard!$C$4),IF($E1154="","",$P1154+ROW()/10000000),"")</f>
        <v/>
      </c>
    </row>
    <row r="1155" spans="17:17" ht="14.25" customHeight="1" x14ac:dyDescent="0.3">
      <c r="Q1155" s="13" t="str">
        <f>IF(OR(Dashboard!$C$4="All Customers",$E1155=Dashboard!$C$4),IF($E1155="","",$P1155+ROW()/10000000),"")</f>
        <v/>
      </c>
    </row>
    <row r="1156" spans="17:17" ht="14.25" customHeight="1" x14ac:dyDescent="0.3">
      <c r="Q1156" s="13" t="str">
        <f>IF(OR(Dashboard!$C$4="All Customers",$E1156=Dashboard!$C$4),IF($E1156="","",$P1156+ROW()/10000000),"")</f>
        <v/>
      </c>
    </row>
    <row r="1157" spans="17:17" ht="14.25" customHeight="1" x14ac:dyDescent="0.3">
      <c r="Q1157" s="13" t="str">
        <f>IF(OR(Dashboard!$C$4="All Customers",$E1157=Dashboard!$C$4),IF($E1157="","",$P1157+ROW()/10000000),"")</f>
        <v/>
      </c>
    </row>
    <row r="1158" spans="17:17" ht="14.25" customHeight="1" x14ac:dyDescent="0.3">
      <c r="Q1158" s="13" t="str">
        <f>IF(OR(Dashboard!$C$4="All Customers",$E1158=Dashboard!$C$4),IF($E1158="","",$P1158+ROW()/10000000),"")</f>
        <v/>
      </c>
    </row>
    <row r="1159" spans="17:17" ht="14.25" customHeight="1" x14ac:dyDescent="0.3">
      <c r="Q1159" s="13" t="str">
        <f>IF(OR(Dashboard!$C$4="All Customers",$E1159=Dashboard!$C$4),IF($E1159="","",$P1159+ROW()/10000000),"")</f>
        <v/>
      </c>
    </row>
    <row r="1160" spans="17:17" ht="14.25" customHeight="1" x14ac:dyDescent="0.3">
      <c r="Q1160" s="13" t="str">
        <f>IF(OR(Dashboard!$C$4="All Customers",$E1160=Dashboard!$C$4),IF($E1160="","",$P1160+ROW()/10000000),"")</f>
        <v/>
      </c>
    </row>
    <row r="1161" spans="17:17" ht="14.25" customHeight="1" x14ac:dyDescent="0.3">
      <c r="Q1161" s="13" t="str">
        <f>IF(OR(Dashboard!$C$4="All Customers",$E1161=Dashboard!$C$4),IF($E1161="","",$P1161+ROW()/10000000),"")</f>
        <v/>
      </c>
    </row>
    <row r="1162" spans="17:17" ht="14.25" customHeight="1" x14ac:dyDescent="0.3">
      <c r="Q1162" s="13" t="str">
        <f>IF(OR(Dashboard!$C$4="All Customers",$E1162=Dashboard!$C$4),IF($E1162="","",$P1162+ROW()/10000000),"")</f>
        <v/>
      </c>
    </row>
    <row r="1163" spans="17:17" ht="14.25" customHeight="1" x14ac:dyDescent="0.3">
      <c r="Q1163" s="13" t="str">
        <f>IF(OR(Dashboard!$C$4="All Customers",$E1163=Dashboard!$C$4),IF($E1163="","",$P1163+ROW()/10000000),"")</f>
        <v/>
      </c>
    </row>
    <row r="1164" spans="17:17" ht="14.25" customHeight="1" x14ac:dyDescent="0.3">
      <c r="Q1164" s="13" t="str">
        <f>IF(OR(Dashboard!$C$4="All Customers",$E1164=Dashboard!$C$4),IF($E1164="","",$P1164+ROW()/10000000),"")</f>
        <v/>
      </c>
    </row>
    <row r="1165" spans="17:17" ht="14.25" customHeight="1" x14ac:dyDescent="0.3">
      <c r="Q1165" s="13" t="str">
        <f>IF(OR(Dashboard!$C$4="All Customers",$E1165=Dashboard!$C$4),IF($E1165="","",$P1165+ROW()/10000000),"")</f>
        <v/>
      </c>
    </row>
    <row r="1166" spans="17:17" ht="14.25" customHeight="1" x14ac:dyDescent="0.3">
      <c r="Q1166" s="13" t="str">
        <f>IF(OR(Dashboard!$C$4="All Customers",$E1166=Dashboard!$C$4),IF($E1166="","",$P1166+ROW()/10000000),"")</f>
        <v/>
      </c>
    </row>
    <row r="1167" spans="17:17" ht="14.25" customHeight="1" x14ac:dyDescent="0.3">
      <c r="Q1167" s="13" t="str">
        <f>IF(OR(Dashboard!$C$4="All Customers",$E1167=Dashboard!$C$4),IF($E1167="","",$P1167+ROW()/10000000),"")</f>
        <v/>
      </c>
    </row>
    <row r="1168" spans="17:17" ht="14.25" customHeight="1" x14ac:dyDescent="0.3">
      <c r="Q1168" s="13" t="str">
        <f>IF(OR(Dashboard!$C$4="All Customers",$E1168=Dashboard!$C$4),IF($E1168="","",$P1168+ROW()/10000000),"")</f>
        <v/>
      </c>
    </row>
    <row r="1169" spans="17:17" ht="14.25" customHeight="1" x14ac:dyDescent="0.3">
      <c r="Q1169" s="13" t="str">
        <f>IF(OR(Dashboard!$C$4="All Customers",$E1169=Dashboard!$C$4),IF($E1169="","",$P1169+ROW()/10000000),"")</f>
        <v/>
      </c>
    </row>
    <row r="1170" spans="17:17" ht="14.25" customHeight="1" x14ac:dyDescent="0.3">
      <c r="Q1170" s="13" t="str">
        <f>IF(OR(Dashboard!$C$4="All Customers",$E1170=Dashboard!$C$4),IF($E1170="","",$P1170+ROW()/10000000),"")</f>
        <v/>
      </c>
    </row>
    <row r="1171" spans="17:17" ht="14.25" customHeight="1" x14ac:dyDescent="0.3">
      <c r="Q1171" s="13" t="str">
        <f>IF(OR(Dashboard!$C$4="All Customers",$E1171=Dashboard!$C$4),IF($E1171="","",$P1171+ROW()/10000000),"")</f>
        <v/>
      </c>
    </row>
    <row r="1172" spans="17:17" ht="14.25" customHeight="1" x14ac:dyDescent="0.3">
      <c r="Q1172" s="13" t="str">
        <f>IF(OR(Dashboard!$C$4="All Customers",$E1172=Dashboard!$C$4),IF($E1172="","",$P1172+ROW()/10000000),"")</f>
        <v/>
      </c>
    </row>
    <row r="1173" spans="17:17" ht="14.25" customHeight="1" x14ac:dyDescent="0.3">
      <c r="Q1173" s="13" t="str">
        <f>IF(OR(Dashboard!$C$4="All Customers",$E1173=Dashboard!$C$4),IF($E1173="","",$P1173+ROW()/10000000),"")</f>
        <v/>
      </c>
    </row>
    <row r="1174" spans="17:17" ht="14.25" customHeight="1" x14ac:dyDescent="0.3">
      <c r="Q1174" s="13" t="str">
        <f>IF(OR(Dashboard!$C$4="All Customers",$E1174=Dashboard!$C$4),IF($E1174="","",$P1174+ROW()/10000000),"")</f>
        <v/>
      </c>
    </row>
    <row r="1175" spans="17:17" ht="14.25" customHeight="1" x14ac:dyDescent="0.3">
      <c r="Q1175" s="13" t="str">
        <f>IF(OR(Dashboard!$C$4="All Customers",$E1175=Dashboard!$C$4),IF($E1175="","",$P1175+ROW()/10000000),"")</f>
        <v/>
      </c>
    </row>
    <row r="1176" spans="17:17" ht="14.25" customHeight="1" x14ac:dyDescent="0.3">
      <c r="Q1176" s="13" t="str">
        <f>IF(OR(Dashboard!$C$4="All Customers",$E1176=Dashboard!$C$4),IF($E1176="","",$P1176+ROW()/10000000),"")</f>
        <v/>
      </c>
    </row>
    <row r="1177" spans="17:17" ht="14.25" customHeight="1" x14ac:dyDescent="0.3">
      <c r="Q1177" s="13" t="str">
        <f>IF(OR(Dashboard!$C$4="All Customers",$E1177=Dashboard!$C$4),IF($E1177="","",$P1177+ROW()/10000000),"")</f>
        <v/>
      </c>
    </row>
    <row r="1178" spans="17:17" ht="14.25" customHeight="1" x14ac:dyDescent="0.3">
      <c r="Q1178" s="13" t="str">
        <f>IF(OR(Dashboard!$C$4="All Customers",$E1178=Dashboard!$C$4),IF($E1178="","",$P1178+ROW()/10000000),"")</f>
        <v/>
      </c>
    </row>
    <row r="1179" spans="17:17" ht="14.25" customHeight="1" x14ac:dyDescent="0.3">
      <c r="Q1179" s="13" t="str">
        <f>IF(OR(Dashboard!$C$4="All Customers",$E1179=Dashboard!$C$4),IF($E1179="","",$P1179+ROW()/10000000),"")</f>
        <v/>
      </c>
    </row>
    <row r="1180" spans="17:17" ht="14.25" customHeight="1" x14ac:dyDescent="0.3">
      <c r="Q1180" s="13" t="str">
        <f>IF(OR(Dashboard!$C$4="All Customers",$E1180=Dashboard!$C$4),IF($E1180="","",$P1180+ROW()/10000000),"")</f>
        <v/>
      </c>
    </row>
    <row r="1181" spans="17:17" ht="14.25" customHeight="1" x14ac:dyDescent="0.3">
      <c r="Q1181" s="13" t="str">
        <f>IF(OR(Dashboard!$C$4="All Customers",$E1181=Dashboard!$C$4),IF($E1181="","",$P1181+ROW()/10000000),"")</f>
        <v/>
      </c>
    </row>
    <row r="1182" spans="17:17" ht="14.25" customHeight="1" x14ac:dyDescent="0.3">
      <c r="Q1182" s="13" t="str">
        <f>IF(OR(Dashboard!$C$4="All Customers",$E1182=Dashboard!$C$4),IF($E1182="","",$P1182+ROW()/10000000),"")</f>
        <v/>
      </c>
    </row>
    <row r="1183" spans="17:17" ht="14.25" customHeight="1" x14ac:dyDescent="0.3">
      <c r="Q1183" s="13" t="str">
        <f>IF(OR(Dashboard!$C$4="All Customers",$E1183=Dashboard!$C$4),IF($E1183="","",$P1183+ROW()/10000000),"")</f>
        <v/>
      </c>
    </row>
    <row r="1184" spans="17:17" ht="14.25" customHeight="1" x14ac:dyDescent="0.3">
      <c r="Q1184" s="13" t="str">
        <f>IF(OR(Dashboard!$C$4="All Customers",$E1184=Dashboard!$C$4),IF($E1184="","",$P1184+ROW()/10000000),"")</f>
        <v/>
      </c>
    </row>
    <row r="1185" spans="17:17" ht="14.25" customHeight="1" x14ac:dyDescent="0.3">
      <c r="Q1185" s="13" t="str">
        <f>IF(OR(Dashboard!$C$4="All Customers",$E1185=Dashboard!$C$4),IF($E1185="","",$P1185+ROW()/10000000),"")</f>
        <v/>
      </c>
    </row>
    <row r="1186" spans="17:17" ht="14.25" customHeight="1" x14ac:dyDescent="0.3">
      <c r="Q1186" s="13" t="str">
        <f>IF(OR(Dashboard!$C$4="All Customers",$E1186=Dashboard!$C$4),IF($E1186="","",$P1186+ROW()/10000000),"")</f>
        <v/>
      </c>
    </row>
    <row r="1187" spans="17:17" ht="14.25" customHeight="1" x14ac:dyDescent="0.3">
      <c r="Q1187" s="13" t="str">
        <f>IF(OR(Dashboard!$C$4="All Customers",$E1187=Dashboard!$C$4),IF($E1187="","",$P1187+ROW()/10000000),"")</f>
        <v/>
      </c>
    </row>
    <row r="1188" spans="17:17" ht="14.25" customHeight="1" x14ac:dyDescent="0.3">
      <c r="Q1188" s="13" t="str">
        <f>IF(OR(Dashboard!$C$4="All Customers",$E1188=Dashboard!$C$4),IF($E1188="","",$P1188+ROW()/10000000),"")</f>
        <v/>
      </c>
    </row>
    <row r="1189" spans="17:17" ht="14.25" customHeight="1" x14ac:dyDescent="0.3">
      <c r="Q1189" s="13" t="str">
        <f>IF(OR(Dashboard!$C$4="All Customers",$E1189=Dashboard!$C$4),IF($E1189="","",$P1189+ROW()/10000000),"")</f>
        <v/>
      </c>
    </row>
    <row r="1190" spans="17:17" ht="14.25" customHeight="1" x14ac:dyDescent="0.3">
      <c r="Q1190" s="13" t="str">
        <f>IF(OR(Dashboard!$C$4="All Customers",$E1190=Dashboard!$C$4),IF($E1190="","",$P1190+ROW()/10000000),"")</f>
        <v/>
      </c>
    </row>
    <row r="1191" spans="17:17" ht="14.25" customHeight="1" x14ac:dyDescent="0.3">
      <c r="Q1191" s="13" t="str">
        <f>IF(OR(Dashboard!$C$4="All Customers",$E1191=Dashboard!$C$4),IF($E1191="","",$P1191+ROW()/10000000),"")</f>
        <v/>
      </c>
    </row>
    <row r="1192" spans="17:17" ht="14.25" customHeight="1" x14ac:dyDescent="0.3">
      <c r="Q1192" s="13" t="str">
        <f>IF(OR(Dashboard!$C$4="All Customers",$E1192=Dashboard!$C$4),IF($E1192="","",$P1192+ROW()/10000000),"")</f>
        <v/>
      </c>
    </row>
    <row r="1193" spans="17:17" ht="14.25" customHeight="1" x14ac:dyDescent="0.3">
      <c r="Q1193" s="13" t="str">
        <f>IF(OR(Dashboard!$C$4="All Customers",$E1193=Dashboard!$C$4),IF($E1193="","",$P1193+ROW()/10000000),"")</f>
        <v/>
      </c>
    </row>
    <row r="1194" spans="17:17" ht="14.25" customHeight="1" x14ac:dyDescent="0.3">
      <c r="Q1194" s="13" t="str">
        <f>IF(OR(Dashboard!$C$4="All Customers",$E1194=Dashboard!$C$4),IF($E1194="","",$P1194+ROW()/10000000),"")</f>
        <v/>
      </c>
    </row>
    <row r="1195" spans="17:17" ht="14.25" customHeight="1" x14ac:dyDescent="0.3">
      <c r="Q1195" s="13" t="str">
        <f>IF(OR(Dashboard!$C$4="All Customers",$E1195=Dashboard!$C$4),IF($E1195="","",$P1195+ROW()/10000000),"")</f>
        <v/>
      </c>
    </row>
    <row r="1196" spans="17:17" ht="14.25" customHeight="1" x14ac:dyDescent="0.3">
      <c r="Q1196" s="13" t="str">
        <f>IF(OR(Dashboard!$C$4="All Customers",$E1196=Dashboard!$C$4),IF($E1196="","",$P1196+ROW()/10000000),"")</f>
        <v/>
      </c>
    </row>
    <row r="1197" spans="17:17" ht="14.25" customHeight="1" x14ac:dyDescent="0.3">
      <c r="Q1197" s="13" t="str">
        <f>IF(OR(Dashboard!$C$4="All Customers",$E1197=Dashboard!$C$4),IF($E1197="","",$P1197+ROW()/10000000),"")</f>
        <v/>
      </c>
    </row>
    <row r="1198" spans="17:17" ht="14.25" customHeight="1" x14ac:dyDescent="0.3">
      <c r="Q1198" s="13" t="str">
        <f>IF(OR(Dashboard!$C$4="All Customers",$E1198=Dashboard!$C$4),IF($E1198="","",$P1198+ROW()/10000000),"")</f>
        <v/>
      </c>
    </row>
    <row r="1199" spans="17:17" ht="14.25" customHeight="1" x14ac:dyDescent="0.3">
      <c r="Q1199" s="13" t="str">
        <f>IF(OR(Dashboard!$C$4="All Customers",$E1199=Dashboard!$C$4),IF($E1199="","",$P1199+ROW()/10000000),"")</f>
        <v/>
      </c>
    </row>
    <row r="1200" spans="17:17" ht="14.25" customHeight="1" x14ac:dyDescent="0.3">
      <c r="Q1200" s="13" t="str">
        <f>IF(OR(Dashboard!$C$4="All Customers",$E1200=Dashboard!$C$4),IF($E1200="","",$P1200+ROW()/10000000),"")</f>
        <v/>
      </c>
    </row>
    <row r="1201" spans="17:17" ht="14.25" customHeight="1" x14ac:dyDescent="0.3">
      <c r="Q1201" s="13" t="str">
        <f>IF(OR(Dashboard!$C$4="All Customers",$E1201=Dashboard!$C$4),IF($E1201="","",$P1201+ROW()/10000000),"")</f>
        <v/>
      </c>
    </row>
    <row r="1202" spans="17:17" ht="14.25" customHeight="1" x14ac:dyDescent="0.3">
      <c r="Q1202" s="13" t="str">
        <f>IF(OR(Dashboard!$C$4="All Customers",$E1202=Dashboard!$C$4),IF($E1202="","",$P1202+ROW()/10000000),"")</f>
        <v/>
      </c>
    </row>
    <row r="1203" spans="17:17" ht="14.25" customHeight="1" x14ac:dyDescent="0.3">
      <c r="Q1203" s="13" t="str">
        <f>IF(OR(Dashboard!$C$4="All Customers",$E1203=Dashboard!$C$4),IF($E1203="","",$P1203+ROW()/10000000),"")</f>
        <v/>
      </c>
    </row>
    <row r="1204" spans="17:17" ht="14.25" customHeight="1" x14ac:dyDescent="0.3">
      <c r="Q1204" s="13" t="str">
        <f>IF(OR(Dashboard!$C$4="All Customers",$E1204=Dashboard!$C$4),IF($E1204="","",$P1204+ROW()/10000000),"")</f>
        <v/>
      </c>
    </row>
    <row r="1205" spans="17:17" ht="14.25" customHeight="1" x14ac:dyDescent="0.3">
      <c r="Q1205" s="13" t="str">
        <f>IF(OR(Dashboard!$C$4="All Customers",$E1205=Dashboard!$C$4),IF($E1205="","",$P1205+ROW()/10000000),"")</f>
        <v/>
      </c>
    </row>
    <row r="1206" spans="17:17" ht="14.25" customHeight="1" x14ac:dyDescent="0.3">
      <c r="Q1206" s="13" t="str">
        <f>IF(OR(Dashboard!$C$4="All Customers",$E1206=Dashboard!$C$4),IF($E1206="","",$P1206+ROW()/10000000),"")</f>
        <v/>
      </c>
    </row>
    <row r="1207" spans="17:17" ht="14.25" customHeight="1" x14ac:dyDescent="0.3">
      <c r="Q1207" s="13" t="str">
        <f>IF(OR(Dashboard!$C$4="All Customers",$E1207=Dashboard!$C$4),IF($E1207="","",$P1207+ROW()/10000000),"")</f>
        <v/>
      </c>
    </row>
    <row r="1208" spans="17:17" ht="14.25" customHeight="1" x14ac:dyDescent="0.3">
      <c r="Q1208" s="13" t="str">
        <f>IF(OR(Dashboard!$C$4="All Customers",$E1208=Dashboard!$C$4),IF($E1208="","",$P1208+ROW()/10000000),"")</f>
        <v/>
      </c>
    </row>
    <row r="1209" spans="17:17" ht="14.25" customHeight="1" x14ac:dyDescent="0.3">
      <c r="Q1209" s="13" t="str">
        <f>IF(OR(Dashboard!$C$4="All Customers",$E1209=Dashboard!$C$4),IF($E1209="","",$P1209+ROW()/10000000),"")</f>
        <v/>
      </c>
    </row>
    <row r="1210" spans="17:17" ht="14.25" customHeight="1" x14ac:dyDescent="0.3">
      <c r="Q1210" s="13" t="str">
        <f>IF(OR(Dashboard!$C$4="All Customers",$E1210=Dashboard!$C$4),IF($E1210="","",$P1210+ROW()/10000000),"")</f>
        <v/>
      </c>
    </row>
    <row r="1211" spans="17:17" ht="14.25" customHeight="1" x14ac:dyDescent="0.3">
      <c r="Q1211" s="13" t="str">
        <f>IF(OR(Dashboard!$C$4="All Customers",$E1211=Dashboard!$C$4),IF($E1211="","",$P1211+ROW()/10000000),"")</f>
        <v/>
      </c>
    </row>
    <row r="1212" spans="17:17" ht="14.25" customHeight="1" x14ac:dyDescent="0.3">
      <c r="Q1212" s="13" t="str">
        <f>IF(OR(Dashboard!$C$4="All Customers",$E1212=Dashboard!$C$4),IF($E1212="","",$P1212+ROW()/10000000),"")</f>
        <v/>
      </c>
    </row>
    <row r="1213" spans="17:17" ht="14.25" customHeight="1" x14ac:dyDescent="0.3">
      <c r="Q1213" s="13" t="str">
        <f>IF(OR(Dashboard!$C$4="All Customers",$E1213=Dashboard!$C$4),IF($E1213="","",$P1213+ROW()/10000000),"")</f>
        <v/>
      </c>
    </row>
    <row r="1214" spans="17:17" ht="14.25" customHeight="1" x14ac:dyDescent="0.3">
      <c r="Q1214" s="13" t="str">
        <f>IF(OR(Dashboard!$C$4="All Customers",$E1214=Dashboard!$C$4),IF($E1214="","",$P1214+ROW()/10000000),"")</f>
        <v/>
      </c>
    </row>
    <row r="1215" spans="17:17" ht="14.25" customHeight="1" x14ac:dyDescent="0.3">
      <c r="Q1215" s="13" t="str">
        <f>IF(OR(Dashboard!$C$4="All Customers",$E1215=Dashboard!$C$4),IF($E1215="","",$P1215+ROW()/10000000),"")</f>
        <v/>
      </c>
    </row>
    <row r="1216" spans="17:17" ht="14.25" customHeight="1" x14ac:dyDescent="0.3">
      <c r="Q1216" s="13" t="str">
        <f>IF(OR(Dashboard!$C$4="All Customers",$E1216=Dashboard!$C$4),IF($E1216="","",$P1216+ROW()/10000000),"")</f>
        <v/>
      </c>
    </row>
    <row r="1217" spans="17:17" ht="14.25" customHeight="1" x14ac:dyDescent="0.3">
      <c r="Q1217" s="13" t="str">
        <f>IF(OR(Dashboard!$C$4="All Customers",$E1217=Dashboard!$C$4),IF($E1217="","",$P1217+ROW()/10000000),"")</f>
        <v/>
      </c>
    </row>
    <row r="1218" spans="17:17" ht="14.25" customHeight="1" x14ac:dyDescent="0.3">
      <c r="Q1218" s="13" t="str">
        <f>IF(OR(Dashboard!$C$4="All Customers",$E1218=Dashboard!$C$4),IF($E1218="","",$P1218+ROW()/10000000),"")</f>
        <v/>
      </c>
    </row>
    <row r="1219" spans="17:17" ht="14.25" customHeight="1" x14ac:dyDescent="0.3">
      <c r="Q1219" s="13" t="str">
        <f>IF(OR(Dashboard!$C$4="All Customers",$E1219=Dashboard!$C$4),IF($E1219="","",$P1219+ROW()/10000000),"")</f>
        <v/>
      </c>
    </row>
    <row r="1220" spans="17:17" ht="14.25" customHeight="1" x14ac:dyDescent="0.3">
      <c r="Q1220" s="13" t="str">
        <f>IF(OR(Dashboard!$C$4="All Customers",$E1220=Dashboard!$C$4),IF($E1220="","",$P1220+ROW()/10000000),"")</f>
        <v/>
      </c>
    </row>
    <row r="1221" spans="17:17" ht="14.25" customHeight="1" x14ac:dyDescent="0.3">
      <c r="Q1221" s="13" t="str">
        <f>IF(OR(Dashboard!$C$4="All Customers",$E1221=Dashboard!$C$4),IF($E1221="","",$P1221+ROW()/10000000),"")</f>
        <v/>
      </c>
    </row>
    <row r="1222" spans="17:17" ht="14.25" customHeight="1" x14ac:dyDescent="0.3">
      <c r="Q1222" s="13" t="str">
        <f>IF(OR(Dashboard!$C$4="All Customers",$E1222=Dashboard!$C$4),IF($E1222="","",$P1222+ROW()/10000000),"")</f>
        <v/>
      </c>
    </row>
    <row r="1223" spans="17:17" ht="14.25" customHeight="1" x14ac:dyDescent="0.3">
      <c r="Q1223" s="13" t="str">
        <f>IF(OR(Dashboard!$C$4="All Customers",$E1223=Dashboard!$C$4),IF($E1223="","",$P1223+ROW()/10000000),"")</f>
        <v/>
      </c>
    </row>
    <row r="1224" spans="17:17" ht="14.25" customHeight="1" x14ac:dyDescent="0.3">
      <c r="Q1224" s="13" t="str">
        <f>IF(OR(Dashboard!$C$4="All Customers",$E1224=Dashboard!$C$4),IF($E1224="","",$P1224+ROW()/10000000),"")</f>
        <v/>
      </c>
    </row>
    <row r="1225" spans="17:17" ht="14.25" customHeight="1" x14ac:dyDescent="0.3">
      <c r="Q1225" s="13" t="str">
        <f>IF(OR(Dashboard!$C$4="All Customers",$E1225=Dashboard!$C$4),IF($E1225="","",$P1225+ROW()/10000000),"")</f>
        <v/>
      </c>
    </row>
    <row r="1226" spans="17:17" ht="14.25" customHeight="1" x14ac:dyDescent="0.3">
      <c r="Q1226" s="13" t="str">
        <f>IF(OR(Dashboard!$C$4="All Customers",$E1226=Dashboard!$C$4),IF($E1226="","",$P1226+ROW()/10000000),"")</f>
        <v/>
      </c>
    </row>
    <row r="1227" spans="17:17" ht="14.25" customHeight="1" x14ac:dyDescent="0.3">
      <c r="Q1227" s="13" t="str">
        <f>IF(OR(Dashboard!$C$4="All Customers",$E1227=Dashboard!$C$4),IF($E1227="","",$P1227+ROW()/10000000),"")</f>
        <v/>
      </c>
    </row>
    <row r="1228" spans="17:17" ht="14.25" customHeight="1" x14ac:dyDescent="0.3">
      <c r="Q1228" s="13" t="str">
        <f>IF(OR(Dashboard!$C$4="All Customers",$E1228=Dashboard!$C$4),IF($E1228="","",$P1228+ROW()/10000000),"")</f>
        <v/>
      </c>
    </row>
    <row r="1229" spans="17:17" ht="14.25" customHeight="1" x14ac:dyDescent="0.3">
      <c r="Q1229" s="13" t="str">
        <f>IF(OR(Dashboard!$C$4="All Customers",$E1229=Dashboard!$C$4),IF($E1229="","",$P1229+ROW()/10000000),"")</f>
        <v/>
      </c>
    </row>
    <row r="1230" spans="17:17" ht="14.25" customHeight="1" x14ac:dyDescent="0.3">
      <c r="Q1230" s="13" t="str">
        <f>IF(OR(Dashboard!$C$4="All Customers",$E1230=Dashboard!$C$4),IF($E1230="","",$P1230+ROW()/10000000),"")</f>
        <v/>
      </c>
    </row>
    <row r="1231" spans="17:17" ht="14.25" customHeight="1" x14ac:dyDescent="0.3">
      <c r="Q1231" s="13" t="str">
        <f>IF(OR(Dashboard!$C$4="All Customers",$E1231=Dashboard!$C$4),IF($E1231="","",$P1231+ROW()/10000000),"")</f>
        <v/>
      </c>
    </row>
    <row r="1232" spans="17:17" ht="14.25" customHeight="1" x14ac:dyDescent="0.3">
      <c r="Q1232" s="13" t="str">
        <f>IF(OR(Dashboard!$C$4="All Customers",$E1232=Dashboard!$C$4),IF($E1232="","",$P1232+ROW()/10000000),"")</f>
        <v/>
      </c>
    </row>
    <row r="1233" spans="17:17" ht="14.25" customHeight="1" x14ac:dyDescent="0.3">
      <c r="Q1233" s="13" t="str">
        <f>IF(OR(Dashboard!$C$4="All Customers",$E1233=Dashboard!$C$4),IF($E1233="","",$P1233+ROW()/10000000),"")</f>
        <v/>
      </c>
    </row>
    <row r="1234" spans="17:17" ht="14.25" customHeight="1" x14ac:dyDescent="0.3">
      <c r="Q1234" s="13" t="str">
        <f>IF(OR(Dashboard!$C$4="All Customers",$E1234=Dashboard!$C$4),IF($E1234="","",$P1234+ROW()/10000000),"")</f>
        <v/>
      </c>
    </row>
    <row r="1235" spans="17:17" ht="14.25" customHeight="1" x14ac:dyDescent="0.3">
      <c r="Q1235" s="13" t="str">
        <f>IF(OR(Dashboard!$C$4="All Customers",$E1235=Dashboard!$C$4),IF($E1235="","",$P1235+ROW()/10000000),"")</f>
        <v/>
      </c>
    </row>
    <row r="1236" spans="17:17" ht="14.25" customHeight="1" x14ac:dyDescent="0.3">
      <c r="Q1236" s="13" t="str">
        <f>IF(OR(Dashboard!$C$4="All Customers",$E1236=Dashboard!$C$4),IF($E1236="","",$P1236+ROW()/10000000),"")</f>
        <v/>
      </c>
    </row>
    <row r="1237" spans="17:17" ht="14.25" customHeight="1" x14ac:dyDescent="0.3">
      <c r="Q1237" s="13" t="str">
        <f>IF(OR(Dashboard!$C$4="All Customers",$E1237=Dashboard!$C$4),IF($E1237="","",$P1237+ROW()/10000000),"")</f>
        <v/>
      </c>
    </row>
    <row r="1238" spans="17:17" ht="14.25" customHeight="1" x14ac:dyDescent="0.3">
      <c r="Q1238" s="13" t="str">
        <f>IF(OR(Dashboard!$C$4="All Customers",$E1238=Dashboard!$C$4),IF($E1238="","",$P1238+ROW()/10000000),"")</f>
        <v/>
      </c>
    </row>
    <row r="1239" spans="17:17" ht="14.25" customHeight="1" x14ac:dyDescent="0.3">
      <c r="Q1239" s="13" t="str">
        <f>IF(OR(Dashboard!$C$4="All Customers",$E1239=Dashboard!$C$4),IF($E1239="","",$P1239+ROW()/10000000),"")</f>
        <v/>
      </c>
    </row>
    <row r="1240" spans="17:17" ht="14.25" customHeight="1" x14ac:dyDescent="0.3">
      <c r="Q1240" s="13" t="str">
        <f>IF(OR(Dashboard!$C$4="All Customers",$E1240=Dashboard!$C$4),IF($E1240="","",$P1240+ROW()/10000000),"")</f>
        <v/>
      </c>
    </row>
    <row r="1241" spans="17:17" ht="14.25" customHeight="1" x14ac:dyDescent="0.3">
      <c r="Q1241" s="13" t="str">
        <f>IF(OR(Dashboard!$C$4="All Customers",$E1241=Dashboard!$C$4),IF($E1241="","",$P1241+ROW()/10000000),"")</f>
        <v/>
      </c>
    </row>
    <row r="1242" spans="17:17" ht="14.25" customHeight="1" x14ac:dyDescent="0.3">
      <c r="Q1242" s="13" t="str">
        <f>IF(OR(Dashboard!$C$4="All Customers",$E1242=Dashboard!$C$4),IF($E1242="","",$P1242+ROW()/10000000),"")</f>
        <v/>
      </c>
    </row>
    <row r="1243" spans="17:17" ht="14.25" customHeight="1" x14ac:dyDescent="0.3">
      <c r="Q1243" s="13" t="str">
        <f>IF(OR(Dashboard!$C$4="All Customers",$E1243=Dashboard!$C$4),IF($E1243="","",$P1243+ROW()/10000000),"")</f>
        <v/>
      </c>
    </row>
    <row r="1244" spans="17:17" ht="14.25" customHeight="1" x14ac:dyDescent="0.3">
      <c r="Q1244" s="13" t="str">
        <f>IF(OR(Dashboard!$C$4="All Customers",$E1244=Dashboard!$C$4),IF($E1244="","",$P1244+ROW()/10000000),"")</f>
        <v/>
      </c>
    </row>
    <row r="1245" spans="17:17" ht="14.25" customHeight="1" x14ac:dyDescent="0.3">
      <c r="Q1245" s="13" t="str">
        <f>IF(OR(Dashboard!$C$4="All Customers",$E1245=Dashboard!$C$4),IF($E1245="","",$P1245+ROW()/10000000),"")</f>
        <v/>
      </c>
    </row>
    <row r="1246" spans="17:17" ht="14.25" customHeight="1" x14ac:dyDescent="0.3">
      <c r="Q1246" s="13" t="str">
        <f>IF(OR(Dashboard!$C$4="All Customers",$E1246=Dashboard!$C$4),IF($E1246="","",$P1246+ROW()/10000000),"")</f>
        <v/>
      </c>
    </row>
    <row r="1247" spans="17:17" ht="14.25" customHeight="1" x14ac:dyDescent="0.3">
      <c r="Q1247" s="13" t="str">
        <f>IF(OR(Dashboard!$C$4="All Customers",$E1247=Dashboard!$C$4),IF($E1247="","",$P1247+ROW()/10000000),"")</f>
        <v/>
      </c>
    </row>
    <row r="1248" spans="17:17" ht="14.25" customHeight="1" x14ac:dyDescent="0.3">
      <c r="Q1248" s="13" t="str">
        <f>IF(OR(Dashboard!$C$4="All Customers",$E1248=Dashboard!$C$4),IF($E1248="","",$P1248+ROW()/10000000),"")</f>
        <v/>
      </c>
    </row>
    <row r="1249" spans="17:17" ht="14.25" customHeight="1" x14ac:dyDescent="0.3">
      <c r="Q1249" s="13" t="str">
        <f>IF(OR(Dashboard!$C$4="All Customers",$E1249=Dashboard!$C$4),IF($E1249="","",$P1249+ROW()/10000000),"")</f>
        <v/>
      </c>
    </row>
    <row r="1250" spans="17:17" ht="14.25" customHeight="1" x14ac:dyDescent="0.3">
      <c r="Q1250" s="13" t="str">
        <f>IF(OR(Dashboard!$C$4="All Customers",$E1250=Dashboard!$C$4),IF($E1250="","",$P1250+ROW()/10000000),"")</f>
        <v/>
      </c>
    </row>
    <row r="1251" spans="17:17" ht="14.25" customHeight="1" x14ac:dyDescent="0.3">
      <c r="Q1251" s="13" t="str">
        <f>IF(OR(Dashboard!$C$4="All Customers",$E1251=Dashboard!$C$4),IF($E1251="","",$P1251+ROW()/10000000),"")</f>
        <v/>
      </c>
    </row>
    <row r="1252" spans="17:17" ht="14.25" customHeight="1" x14ac:dyDescent="0.3">
      <c r="Q1252" s="13" t="str">
        <f>IF(OR(Dashboard!$C$4="All Customers",$E1252=Dashboard!$C$4),IF($E1252="","",$P1252+ROW()/10000000),"")</f>
        <v/>
      </c>
    </row>
    <row r="1253" spans="17:17" ht="14.25" customHeight="1" x14ac:dyDescent="0.3">
      <c r="Q1253" s="13" t="str">
        <f>IF(OR(Dashboard!$C$4="All Customers",$E1253=Dashboard!$C$4),IF($E1253="","",$P1253+ROW()/10000000),"")</f>
        <v/>
      </c>
    </row>
    <row r="1254" spans="17:17" ht="14.25" customHeight="1" x14ac:dyDescent="0.3">
      <c r="Q1254" s="13" t="str">
        <f>IF(OR(Dashboard!$C$4="All Customers",$E1254=Dashboard!$C$4),IF($E1254="","",$P1254+ROW()/10000000),"")</f>
        <v/>
      </c>
    </row>
    <row r="1255" spans="17:17" ht="14.25" customHeight="1" x14ac:dyDescent="0.3">
      <c r="Q1255" s="13" t="str">
        <f>IF(OR(Dashboard!$C$4="All Customers",$E1255=Dashboard!$C$4),IF($E1255="","",$P1255+ROW()/10000000),"")</f>
        <v/>
      </c>
    </row>
    <row r="1256" spans="17:17" ht="14.25" customHeight="1" x14ac:dyDescent="0.3">
      <c r="Q1256" s="13" t="str">
        <f>IF(OR(Dashboard!$C$4="All Customers",$E1256=Dashboard!$C$4),IF($E1256="","",$P1256+ROW()/10000000),"")</f>
        <v/>
      </c>
    </row>
    <row r="1257" spans="17:17" ht="14.25" customHeight="1" x14ac:dyDescent="0.3">
      <c r="Q1257" s="13" t="str">
        <f>IF(OR(Dashboard!$C$4="All Customers",$E1257=Dashboard!$C$4),IF($E1257="","",$P1257+ROW()/10000000),"")</f>
        <v/>
      </c>
    </row>
    <row r="1258" spans="17:17" ht="14.25" customHeight="1" x14ac:dyDescent="0.3">
      <c r="Q1258" s="13" t="str">
        <f>IF(OR(Dashboard!$C$4="All Customers",$E1258=Dashboard!$C$4),IF($E1258="","",$P1258+ROW()/10000000),"")</f>
        <v/>
      </c>
    </row>
    <row r="1259" spans="17:17" ht="14.25" customHeight="1" x14ac:dyDescent="0.3">
      <c r="Q1259" s="13" t="str">
        <f>IF(OR(Dashboard!$C$4="All Customers",$E1259=Dashboard!$C$4),IF($E1259="","",$P1259+ROW()/10000000),"")</f>
        <v/>
      </c>
    </row>
    <row r="1260" spans="17:17" ht="14.25" customHeight="1" x14ac:dyDescent="0.3">
      <c r="Q1260" s="13" t="str">
        <f>IF(OR(Dashboard!$C$4="All Customers",$E1260=Dashboard!$C$4),IF($E1260="","",$P1260+ROW()/10000000),"")</f>
        <v/>
      </c>
    </row>
    <row r="1261" spans="17:17" ht="14.25" customHeight="1" x14ac:dyDescent="0.3">
      <c r="Q1261" s="13" t="str">
        <f>IF(OR(Dashboard!$C$4="All Customers",$E1261=Dashboard!$C$4),IF($E1261="","",$P1261+ROW()/10000000),"")</f>
        <v/>
      </c>
    </row>
    <row r="1262" spans="17:17" ht="14.25" customHeight="1" x14ac:dyDescent="0.3">
      <c r="Q1262" s="13" t="str">
        <f>IF(OR(Dashboard!$C$4="All Customers",$E1262=Dashboard!$C$4),IF($E1262="","",$P1262+ROW()/10000000),"")</f>
        <v/>
      </c>
    </row>
    <row r="1263" spans="17:17" ht="14.25" customHeight="1" x14ac:dyDescent="0.3">
      <c r="Q1263" s="13" t="str">
        <f>IF(OR(Dashboard!$C$4="All Customers",$E1263=Dashboard!$C$4),IF($E1263="","",$P1263+ROW()/10000000),"")</f>
        <v/>
      </c>
    </row>
    <row r="1264" spans="17:17" ht="14.25" customHeight="1" x14ac:dyDescent="0.3">
      <c r="Q1264" s="13" t="str">
        <f>IF(OR(Dashboard!$C$4="All Customers",$E1264=Dashboard!$C$4),IF($E1264="","",$P1264+ROW()/10000000),"")</f>
        <v/>
      </c>
    </row>
    <row r="1265" spans="17:17" ht="14.25" customHeight="1" x14ac:dyDescent="0.3">
      <c r="Q1265" s="13" t="str">
        <f>IF(OR(Dashboard!$C$4="All Customers",$E1265=Dashboard!$C$4),IF($E1265="","",$P1265+ROW()/10000000),"")</f>
        <v/>
      </c>
    </row>
    <row r="1266" spans="17:17" ht="14.25" customHeight="1" x14ac:dyDescent="0.3">
      <c r="Q1266" s="13" t="str">
        <f>IF(OR(Dashboard!$C$4="All Customers",$E1266=Dashboard!$C$4),IF($E1266="","",$P1266+ROW()/10000000),"")</f>
        <v/>
      </c>
    </row>
    <row r="1267" spans="17:17" ht="14.25" customHeight="1" x14ac:dyDescent="0.3">
      <c r="Q1267" s="13" t="str">
        <f>IF(OR(Dashboard!$C$4="All Customers",$E1267=Dashboard!$C$4),IF($E1267="","",$P1267+ROW()/10000000),"")</f>
        <v/>
      </c>
    </row>
    <row r="1268" spans="17:17" ht="14.25" customHeight="1" x14ac:dyDescent="0.3">
      <c r="Q1268" s="13" t="str">
        <f>IF(OR(Dashboard!$C$4="All Customers",$E1268=Dashboard!$C$4),IF($E1268="","",$P1268+ROW()/10000000),"")</f>
        <v/>
      </c>
    </row>
    <row r="1269" spans="17:17" ht="14.25" customHeight="1" x14ac:dyDescent="0.3">
      <c r="Q1269" s="13" t="str">
        <f>IF(OR(Dashboard!$C$4="All Customers",$E1269=Dashboard!$C$4),IF($E1269="","",$P1269+ROW()/10000000),"")</f>
        <v/>
      </c>
    </row>
    <row r="1270" spans="17:17" ht="14.25" customHeight="1" x14ac:dyDescent="0.3">
      <c r="Q1270" s="13" t="str">
        <f>IF(OR(Dashboard!$C$4="All Customers",$E1270=Dashboard!$C$4),IF($E1270="","",$P1270+ROW()/10000000),"")</f>
        <v/>
      </c>
    </row>
    <row r="1271" spans="17:17" ht="14.25" customHeight="1" x14ac:dyDescent="0.3">
      <c r="Q1271" s="13" t="str">
        <f>IF(OR(Dashboard!$C$4="All Customers",$E1271=Dashboard!$C$4),IF($E1271="","",$P1271+ROW()/10000000),"")</f>
        <v/>
      </c>
    </row>
    <row r="1272" spans="17:17" ht="14.25" customHeight="1" x14ac:dyDescent="0.3">
      <c r="Q1272" s="13" t="str">
        <f>IF(OR(Dashboard!$C$4="All Customers",$E1272=Dashboard!$C$4),IF($E1272="","",$P1272+ROW()/10000000),"")</f>
        <v/>
      </c>
    </row>
    <row r="1273" spans="17:17" ht="14.25" customHeight="1" x14ac:dyDescent="0.3">
      <c r="Q1273" s="13" t="str">
        <f>IF(OR(Dashboard!$C$4="All Customers",$E1273=Dashboard!$C$4),IF($E1273="","",$P1273+ROW()/10000000),"")</f>
        <v/>
      </c>
    </row>
    <row r="1274" spans="17:17" ht="14.25" customHeight="1" x14ac:dyDescent="0.3">
      <c r="Q1274" s="13" t="str">
        <f>IF(OR(Dashboard!$C$4="All Customers",$E1274=Dashboard!$C$4),IF($E1274="","",$P1274+ROW()/10000000),"")</f>
        <v/>
      </c>
    </row>
    <row r="1275" spans="17:17" ht="14.25" customHeight="1" x14ac:dyDescent="0.3">
      <c r="Q1275" s="13" t="str">
        <f>IF(OR(Dashboard!$C$4="All Customers",$E1275=Dashboard!$C$4),IF($E1275="","",$P1275+ROW()/10000000),"")</f>
        <v/>
      </c>
    </row>
    <row r="1276" spans="17:17" ht="14.25" customHeight="1" x14ac:dyDescent="0.3">
      <c r="Q1276" s="13" t="str">
        <f>IF(OR(Dashboard!$C$4="All Customers",$E1276=Dashboard!$C$4),IF($E1276="","",$P1276+ROW()/10000000),"")</f>
        <v/>
      </c>
    </row>
    <row r="1277" spans="17:17" ht="14.25" customHeight="1" x14ac:dyDescent="0.3">
      <c r="Q1277" s="13" t="str">
        <f>IF(OR(Dashboard!$C$4="All Customers",$E1277=Dashboard!$C$4),IF($E1277="","",$P1277+ROW()/10000000),"")</f>
        <v/>
      </c>
    </row>
    <row r="1278" spans="17:17" ht="14.25" customHeight="1" x14ac:dyDescent="0.3">
      <c r="Q1278" s="13" t="str">
        <f>IF(OR(Dashboard!$C$4="All Customers",$E1278=Dashboard!$C$4),IF($E1278="","",$P1278+ROW()/10000000),"")</f>
        <v/>
      </c>
    </row>
    <row r="1279" spans="17:17" ht="14.25" customHeight="1" x14ac:dyDescent="0.3">
      <c r="Q1279" s="13" t="str">
        <f>IF(OR(Dashboard!$C$4="All Customers",$E1279=Dashboard!$C$4),IF($E1279="","",$P1279+ROW()/10000000),"")</f>
        <v/>
      </c>
    </row>
    <row r="1280" spans="17:17" ht="14.25" customHeight="1" x14ac:dyDescent="0.3">
      <c r="Q1280" s="13" t="str">
        <f>IF(OR(Dashboard!$C$4="All Customers",$E1280=Dashboard!$C$4),IF($E1280="","",$P1280+ROW()/10000000),"")</f>
        <v/>
      </c>
    </row>
    <row r="1281" spans="17:17" ht="14.25" customHeight="1" x14ac:dyDescent="0.3">
      <c r="Q1281" s="13" t="str">
        <f>IF(OR(Dashboard!$C$4="All Customers",$E1281=Dashboard!$C$4),IF($E1281="","",$P1281+ROW()/10000000),"")</f>
        <v/>
      </c>
    </row>
    <row r="1282" spans="17:17" ht="14.25" customHeight="1" x14ac:dyDescent="0.3">
      <c r="Q1282" s="13" t="str">
        <f>IF(OR(Dashboard!$C$4="All Customers",$E1282=Dashboard!$C$4),IF($E1282="","",$P1282+ROW()/10000000),"")</f>
        <v/>
      </c>
    </row>
    <row r="1283" spans="17:17" ht="14.25" customHeight="1" x14ac:dyDescent="0.3">
      <c r="Q1283" s="13" t="str">
        <f>IF(OR(Dashboard!$C$4="All Customers",$E1283=Dashboard!$C$4),IF($E1283="","",$P1283+ROW()/10000000),"")</f>
        <v/>
      </c>
    </row>
    <row r="1284" spans="17:17" ht="14.25" customHeight="1" x14ac:dyDescent="0.3">
      <c r="Q1284" s="13" t="str">
        <f>IF(OR(Dashboard!$C$4="All Customers",$E1284=Dashboard!$C$4),IF($E1284="","",$P1284+ROW()/10000000),"")</f>
        <v/>
      </c>
    </row>
    <row r="1285" spans="17:17" ht="14.25" customHeight="1" x14ac:dyDescent="0.3">
      <c r="Q1285" s="13" t="str">
        <f>IF(OR(Dashboard!$C$4="All Customers",$E1285=Dashboard!$C$4),IF($E1285="","",$P1285+ROW()/10000000),"")</f>
        <v/>
      </c>
    </row>
    <row r="1286" spans="17:17" ht="14.25" customHeight="1" x14ac:dyDescent="0.3">
      <c r="Q1286" s="13" t="str">
        <f>IF(OR(Dashboard!$C$4="All Customers",$E1286=Dashboard!$C$4),IF($E1286="","",$P1286+ROW()/10000000),"")</f>
        <v/>
      </c>
    </row>
    <row r="1287" spans="17:17" ht="14.25" customHeight="1" x14ac:dyDescent="0.3">
      <c r="Q1287" s="13" t="str">
        <f>IF(OR(Dashboard!$C$4="All Customers",$E1287=Dashboard!$C$4),IF($E1287="","",$P1287+ROW()/10000000),"")</f>
        <v/>
      </c>
    </row>
    <row r="1288" spans="17:17" ht="14.25" customHeight="1" x14ac:dyDescent="0.3">
      <c r="Q1288" s="13" t="str">
        <f>IF(OR(Dashboard!$C$4="All Customers",$E1288=Dashboard!$C$4),IF($E1288="","",$P1288+ROW()/10000000),"")</f>
        <v/>
      </c>
    </row>
    <row r="1289" spans="17:17" ht="14.25" customHeight="1" x14ac:dyDescent="0.3">
      <c r="Q1289" s="13" t="str">
        <f>IF(OR(Dashboard!$C$4="All Customers",$E1289=Dashboard!$C$4),IF($E1289="","",$P1289+ROW()/10000000),"")</f>
        <v/>
      </c>
    </row>
    <row r="1290" spans="17:17" ht="14.25" customHeight="1" x14ac:dyDescent="0.3">
      <c r="Q1290" s="13" t="str">
        <f>IF(OR(Dashboard!$C$4="All Customers",$E1290=Dashboard!$C$4),IF($E1290="","",$P1290+ROW()/10000000),"")</f>
        <v/>
      </c>
    </row>
    <row r="1291" spans="17:17" ht="14.25" customHeight="1" x14ac:dyDescent="0.3">
      <c r="Q1291" s="13" t="str">
        <f>IF(OR(Dashboard!$C$4="All Customers",$E1291=Dashboard!$C$4),IF($E1291="","",$P1291+ROW()/10000000),"")</f>
        <v/>
      </c>
    </row>
    <row r="1292" spans="17:17" ht="14.25" customHeight="1" x14ac:dyDescent="0.3">
      <c r="Q1292" s="13" t="str">
        <f>IF(OR(Dashboard!$C$4="All Customers",$E1292=Dashboard!$C$4),IF($E1292="","",$P1292+ROW()/10000000),"")</f>
        <v/>
      </c>
    </row>
    <row r="1293" spans="17:17" ht="14.25" customHeight="1" x14ac:dyDescent="0.3">
      <c r="Q1293" s="13" t="str">
        <f>IF(OR(Dashboard!$C$4="All Customers",$E1293=Dashboard!$C$4),IF($E1293="","",$P1293+ROW()/10000000),"")</f>
        <v/>
      </c>
    </row>
    <row r="1294" spans="17:17" ht="14.25" customHeight="1" x14ac:dyDescent="0.3">
      <c r="Q1294" s="13" t="str">
        <f>IF(OR(Dashboard!$C$4="All Customers",$E1294=Dashboard!$C$4),IF($E1294="","",$P1294+ROW()/10000000),"")</f>
        <v/>
      </c>
    </row>
    <row r="1295" spans="17:17" ht="14.25" customHeight="1" x14ac:dyDescent="0.3">
      <c r="Q1295" s="13" t="str">
        <f>IF(OR(Dashboard!$C$4="All Customers",$E1295=Dashboard!$C$4),IF($E1295="","",$P1295+ROW()/10000000),"")</f>
        <v/>
      </c>
    </row>
    <row r="1296" spans="17:17" ht="14.25" customHeight="1" x14ac:dyDescent="0.3">
      <c r="Q1296" s="13" t="str">
        <f>IF(OR(Dashboard!$C$4="All Customers",$E1296=Dashboard!$C$4),IF($E1296="","",$P1296+ROW()/10000000),"")</f>
        <v/>
      </c>
    </row>
    <row r="1297" spans="17:17" ht="14.25" customHeight="1" x14ac:dyDescent="0.3">
      <c r="Q1297" s="13" t="str">
        <f>IF(OR(Dashboard!$C$4="All Customers",$E1297=Dashboard!$C$4),IF($E1297="","",$P1297+ROW()/10000000),"")</f>
        <v/>
      </c>
    </row>
    <row r="1298" spans="17:17" ht="14.25" customHeight="1" x14ac:dyDescent="0.3">
      <c r="Q1298" s="13" t="str">
        <f>IF(OR(Dashboard!$C$4="All Customers",$E1298=Dashboard!$C$4),IF($E1298="","",$P1298+ROW()/10000000),"")</f>
        <v/>
      </c>
    </row>
    <row r="1299" spans="17:17" ht="14.25" customHeight="1" x14ac:dyDescent="0.3">
      <c r="Q1299" s="13" t="str">
        <f>IF(OR(Dashboard!$C$4="All Customers",$E1299=Dashboard!$C$4),IF($E1299="","",$P1299+ROW()/10000000),"")</f>
        <v/>
      </c>
    </row>
    <row r="1300" spans="17:17" ht="14.25" customHeight="1" x14ac:dyDescent="0.3">
      <c r="Q1300" s="13" t="str">
        <f>IF(OR(Dashboard!$C$4="All Customers",$E1300=Dashboard!$C$4),IF($E1300="","",$P1300+ROW()/10000000),"")</f>
        <v/>
      </c>
    </row>
    <row r="1301" spans="17:17" ht="14.25" customHeight="1" x14ac:dyDescent="0.3">
      <c r="Q1301" s="13" t="str">
        <f>IF(OR(Dashboard!$C$4="All Customers",$E1301=Dashboard!$C$4),IF($E1301="","",$P1301+ROW()/10000000),"")</f>
        <v/>
      </c>
    </row>
    <row r="1302" spans="17:17" ht="14.25" customHeight="1" x14ac:dyDescent="0.3">
      <c r="Q1302" s="13" t="str">
        <f>IF(OR(Dashboard!$C$4="All Customers",$E1302=Dashboard!$C$4),IF($E1302="","",$P1302+ROW()/10000000),"")</f>
        <v/>
      </c>
    </row>
    <row r="1303" spans="17:17" ht="14.25" customHeight="1" x14ac:dyDescent="0.3">
      <c r="Q1303" s="13" t="str">
        <f>IF(OR(Dashboard!$C$4="All Customers",$E1303=Dashboard!$C$4),IF($E1303="","",$P1303+ROW()/10000000),"")</f>
        <v/>
      </c>
    </row>
    <row r="1304" spans="17:17" ht="14.25" customHeight="1" x14ac:dyDescent="0.3">
      <c r="Q1304" s="13" t="str">
        <f>IF(OR(Dashboard!$C$4="All Customers",$E1304=Dashboard!$C$4),IF($E1304="","",$P1304+ROW()/10000000),"")</f>
        <v/>
      </c>
    </row>
    <row r="1305" spans="17:17" ht="14.25" customHeight="1" x14ac:dyDescent="0.3">
      <c r="Q1305" s="13" t="str">
        <f>IF(OR(Dashboard!$C$4="All Customers",$E1305=Dashboard!$C$4),IF($E1305="","",$P1305+ROW()/10000000),"")</f>
        <v/>
      </c>
    </row>
    <row r="1306" spans="17:17" ht="14.25" customHeight="1" x14ac:dyDescent="0.3">
      <c r="Q1306" s="13" t="str">
        <f>IF(OR(Dashboard!$C$4="All Customers",$E1306=Dashboard!$C$4),IF($E1306="","",$P1306+ROW()/10000000),"")</f>
        <v/>
      </c>
    </row>
    <row r="1307" spans="17:17" ht="14.25" customHeight="1" x14ac:dyDescent="0.3">
      <c r="Q1307" s="13" t="str">
        <f>IF(OR(Dashboard!$C$4="All Customers",$E1307=Dashboard!$C$4),IF($E1307="","",$P1307+ROW()/10000000),"")</f>
        <v/>
      </c>
    </row>
    <row r="1308" spans="17:17" ht="14.25" customHeight="1" x14ac:dyDescent="0.3">
      <c r="Q1308" s="13" t="str">
        <f>IF(OR(Dashboard!$C$4="All Customers",$E1308=Dashboard!$C$4),IF($E1308="","",$P1308+ROW()/10000000),"")</f>
        <v/>
      </c>
    </row>
    <row r="1309" spans="17:17" ht="14.25" customHeight="1" x14ac:dyDescent="0.3">
      <c r="Q1309" s="13" t="str">
        <f>IF(OR(Dashboard!$C$4="All Customers",$E1309=Dashboard!$C$4),IF($E1309="","",$P1309+ROW()/10000000),"")</f>
        <v/>
      </c>
    </row>
    <row r="1310" spans="17:17" ht="14.25" customHeight="1" x14ac:dyDescent="0.3">
      <c r="Q1310" s="13" t="str">
        <f>IF(OR(Dashboard!$C$4="All Customers",$E1310=Dashboard!$C$4),IF($E1310="","",$P1310+ROW()/10000000),"")</f>
        <v/>
      </c>
    </row>
    <row r="1311" spans="17:17" ht="14.25" customHeight="1" x14ac:dyDescent="0.3">
      <c r="Q1311" s="13" t="str">
        <f>IF(OR(Dashboard!$C$4="All Customers",$E1311=Dashboard!$C$4),IF($E1311="","",$P1311+ROW()/10000000),"")</f>
        <v/>
      </c>
    </row>
    <row r="1312" spans="17:17" ht="14.25" customHeight="1" x14ac:dyDescent="0.3">
      <c r="Q1312" s="13" t="str">
        <f>IF(OR(Dashboard!$C$4="All Customers",$E1312=Dashboard!$C$4),IF($E1312="","",$P1312+ROW()/10000000),"")</f>
        <v/>
      </c>
    </row>
    <row r="1313" spans="17:17" ht="14.25" customHeight="1" x14ac:dyDescent="0.3">
      <c r="Q1313" s="13" t="str">
        <f>IF(OR(Dashboard!$C$4="All Customers",$E1313=Dashboard!$C$4),IF($E1313="","",$P1313+ROW()/10000000),"")</f>
        <v/>
      </c>
    </row>
    <row r="1314" spans="17:17" ht="14.25" customHeight="1" x14ac:dyDescent="0.3">
      <c r="Q1314" s="13" t="str">
        <f>IF(OR(Dashboard!$C$4="All Customers",$E1314=Dashboard!$C$4),IF($E1314="","",$P1314+ROW()/10000000),"")</f>
        <v/>
      </c>
    </row>
    <row r="1315" spans="17:17" ht="14.25" customHeight="1" x14ac:dyDescent="0.3">
      <c r="Q1315" s="13" t="str">
        <f>IF(OR(Dashboard!$C$4="All Customers",$E1315=Dashboard!$C$4),IF($E1315="","",$P1315+ROW()/10000000),"")</f>
        <v/>
      </c>
    </row>
    <row r="1316" spans="17:17" ht="14.25" customHeight="1" x14ac:dyDescent="0.3">
      <c r="Q1316" s="13" t="str">
        <f>IF(OR(Dashboard!$C$4="All Customers",$E1316=Dashboard!$C$4),IF($E1316="","",$P1316+ROW()/10000000),"")</f>
        <v/>
      </c>
    </row>
    <row r="1317" spans="17:17" ht="14.25" customHeight="1" x14ac:dyDescent="0.3">
      <c r="Q1317" s="13" t="str">
        <f>IF(OR(Dashboard!$C$4="All Customers",$E1317=Dashboard!$C$4),IF($E1317="","",$P1317+ROW()/10000000),"")</f>
        <v/>
      </c>
    </row>
    <row r="1318" spans="17:17" ht="14.25" customHeight="1" x14ac:dyDescent="0.3">
      <c r="Q1318" s="13" t="str">
        <f>IF(OR(Dashboard!$C$4="All Customers",$E1318=Dashboard!$C$4),IF($E1318="","",$P1318+ROW()/10000000),"")</f>
        <v/>
      </c>
    </row>
    <row r="1319" spans="17:17" ht="14.25" customHeight="1" x14ac:dyDescent="0.3">
      <c r="Q1319" s="13" t="str">
        <f>IF(OR(Dashboard!$C$4="All Customers",$E1319=Dashboard!$C$4),IF($E1319="","",$P1319+ROW()/10000000),"")</f>
        <v/>
      </c>
    </row>
    <row r="1320" spans="17:17" ht="14.25" customHeight="1" x14ac:dyDescent="0.3">
      <c r="Q1320" s="13" t="str">
        <f>IF(OR(Dashboard!$C$4="All Customers",$E1320=Dashboard!$C$4),IF($E1320="","",$P1320+ROW()/10000000),"")</f>
        <v/>
      </c>
    </row>
    <row r="1321" spans="17:17" ht="14.25" customHeight="1" x14ac:dyDescent="0.3">
      <c r="Q1321" s="13" t="str">
        <f>IF(OR(Dashboard!$C$4="All Customers",$E1321=Dashboard!$C$4),IF($E1321="","",$P1321+ROW()/10000000),"")</f>
        <v/>
      </c>
    </row>
    <row r="1322" spans="17:17" ht="14.25" customHeight="1" x14ac:dyDescent="0.3">
      <c r="Q1322" s="13" t="str">
        <f>IF(OR(Dashboard!$C$4="All Customers",$E1322=Dashboard!$C$4),IF($E1322="","",$P1322+ROW()/10000000),"")</f>
        <v/>
      </c>
    </row>
    <row r="1323" spans="17:17" ht="14.25" customHeight="1" x14ac:dyDescent="0.3">
      <c r="Q1323" s="13" t="str">
        <f>IF(OR(Dashboard!$C$4="All Customers",$E1323=Dashboard!$C$4),IF($E1323="","",$P1323+ROW()/10000000),"")</f>
        <v/>
      </c>
    </row>
    <row r="1324" spans="17:17" ht="14.25" customHeight="1" x14ac:dyDescent="0.3">
      <c r="Q1324" s="13" t="str">
        <f>IF(OR(Dashboard!$C$4="All Customers",$E1324=Dashboard!$C$4),IF($E1324="","",$P1324+ROW()/10000000),"")</f>
        <v/>
      </c>
    </row>
    <row r="1325" spans="17:17" ht="14.25" customHeight="1" x14ac:dyDescent="0.3">
      <c r="Q1325" s="13" t="str">
        <f>IF(OR(Dashboard!$C$4="All Customers",$E1325=Dashboard!$C$4),IF($E1325="","",$P1325+ROW()/10000000),"")</f>
        <v/>
      </c>
    </row>
    <row r="1326" spans="17:17" ht="14.25" customHeight="1" x14ac:dyDescent="0.3">
      <c r="Q1326" s="13" t="str">
        <f>IF(OR(Dashboard!$C$4="All Customers",$E1326=Dashboard!$C$4),IF($E1326="","",$P1326+ROW()/10000000),"")</f>
        <v/>
      </c>
    </row>
    <row r="1327" spans="17:17" ht="14.25" customHeight="1" x14ac:dyDescent="0.3">
      <c r="Q1327" s="13" t="str">
        <f>IF(OR(Dashboard!$C$4="All Customers",$E1327=Dashboard!$C$4),IF($E1327="","",$P1327+ROW()/10000000),"")</f>
        <v/>
      </c>
    </row>
    <row r="1328" spans="17:17" ht="14.25" customHeight="1" x14ac:dyDescent="0.3">
      <c r="Q1328" s="13" t="str">
        <f>IF(OR(Dashboard!$C$4="All Customers",$E1328=Dashboard!$C$4),IF($E1328="","",$P1328+ROW()/10000000),"")</f>
        <v/>
      </c>
    </row>
    <row r="1329" spans="17:17" ht="14.25" customHeight="1" x14ac:dyDescent="0.3">
      <c r="Q1329" s="13" t="str">
        <f>IF(OR(Dashboard!$C$4="All Customers",$E1329=Dashboard!$C$4),IF($E1329="","",$P1329+ROW()/10000000),"")</f>
        <v/>
      </c>
    </row>
    <row r="1330" spans="17:17" ht="14.25" customHeight="1" x14ac:dyDescent="0.3">
      <c r="Q1330" s="13" t="str">
        <f>IF(OR(Dashboard!$C$4="All Customers",$E1330=Dashboard!$C$4),IF($E1330="","",$P1330+ROW()/10000000),"")</f>
        <v/>
      </c>
    </row>
    <row r="1331" spans="17:17" ht="14.25" customHeight="1" x14ac:dyDescent="0.3">
      <c r="Q1331" s="13" t="str">
        <f>IF(OR(Dashboard!$C$4="All Customers",$E1331=Dashboard!$C$4),IF($E1331="","",$P1331+ROW()/10000000),"")</f>
        <v/>
      </c>
    </row>
    <row r="1332" spans="17:17" ht="14.25" customHeight="1" x14ac:dyDescent="0.3">
      <c r="Q1332" s="13" t="str">
        <f>IF(OR(Dashboard!$C$4="All Customers",$E1332=Dashboard!$C$4),IF($E1332="","",$P1332+ROW()/10000000),"")</f>
        <v/>
      </c>
    </row>
    <row r="1333" spans="17:17" ht="14.25" customHeight="1" x14ac:dyDescent="0.3">
      <c r="Q1333" s="13" t="str">
        <f>IF(OR(Dashboard!$C$4="All Customers",$E1333=Dashboard!$C$4),IF($E1333="","",$P1333+ROW()/10000000),"")</f>
        <v/>
      </c>
    </row>
    <row r="1334" spans="17:17" ht="14.25" customHeight="1" x14ac:dyDescent="0.3">
      <c r="Q1334" s="13" t="str">
        <f>IF(OR(Dashboard!$C$4="All Customers",$E1334=Dashboard!$C$4),IF($E1334="","",$P1334+ROW()/10000000),"")</f>
        <v/>
      </c>
    </row>
    <row r="1335" spans="17:17" ht="14.25" customHeight="1" x14ac:dyDescent="0.3">
      <c r="Q1335" s="13" t="str">
        <f>IF(OR(Dashboard!$C$4="All Customers",$E1335=Dashboard!$C$4),IF($E1335="","",$P1335+ROW()/10000000),"")</f>
        <v/>
      </c>
    </row>
    <row r="1336" spans="17:17" ht="14.25" customHeight="1" x14ac:dyDescent="0.3">
      <c r="Q1336" s="13" t="str">
        <f>IF(OR(Dashboard!$C$4="All Customers",$E1336=Dashboard!$C$4),IF($E1336="","",$P1336+ROW()/10000000),"")</f>
        <v/>
      </c>
    </row>
    <row r="1337" spans="17:17" ht="14.25" customHeight="1" x14ac:dyDescent="0.3">
      <c r="Q1337" s="13" t="str">
        <f>IF(OR(Dashboard!$C$4="All Customers",$E1337=Dashboard!$C$4),IF($E1337="","",$P1337+ROW()/10000000),"")</f>
        <v/>
      </c>
    </row>
    <row r="1338" spans="17:17" ht="14.25" customHeight="1" x14ac:dyDescent="0.3">
      <c r="Q1338" s="13" t="str">
        <f>IF(OR(Dashboard!$C$4="All Customers",$E1338=Dashboard!$C$4),IF($E1338="","",$P1338+ROW()/10000000),"")</f>
        <v/>
      </c>
    </row>
    <row r="1339" spans="17:17" ht="14.25" customHeight="1" x14ac:dyDescent="0.3">
      <c r="Q1339" s="13" t="str">
        <f>IF(OR(Dashboard!$C$4="All Customers",$E1339=Dashboard!$C$4),IF($E1339="","",$P1339+ROW()/10000000),"")</f>
        <v/>
      </c>
    </row>
    <row r="1340" spans="17:17" ht="14.25" customHeight="1" x14ac:dyDescent="0.3">
      <c r="Q1340" s="13" t="str">
        <f>IF(OR(Dashboard!$C$4="All Customers",$E1340=Dashboard!$C$4),IF($E1340="","",$P1340+ROW()/10000000),"")</f>
        <v/>
      </c>
    </row>
    <row r="1341" spans="17:17" ht="14.25" customHeight="1" x14ac:dyDescent="0.3">
      <c r="Q1341" s="13" t="str">
        <f>IF(OR(Dashboard!$C$4="All Customers",$E1341=Dashboard!$C$4),IF($E1341="","",$P1341+ROW()/10000000),"")</f>
        <v/>
      </c>
    </row>
    <row r="1342" spans="17:17" ht="14.25" customHeight="1" x14ac:dyDescent="0.3">
      <c r="Q1342" s="13" t="str">
        <f>IF(OR(Dashboard!$C$4="All Customers",$E1342=Dashboard!$C$4),IF($E1342="","",$P1342+ROW()/10000000),"")</f>
        <v/>
      </c>
    </row>
    <row r="1343" spans="17:17" ht="14.25" customHeight="1" x14ac:dyDescent="0.3">
      <c r="Q1343" s="13" t="str">
        <f>IF(OR(Dashboard!$C$4="All Customers",$E1343=Dashboard!$C$4),IF($E1343="","",$P1343+ROW()/10000000),"")</f>
        <v/>
      </c>
    </row>
    <row r="1344" spans="17:17" ht="14.25" customHeight="1" x14ac:dyDescent="0.3">
      <c r="Q1344" s="13" t="str">
        <f>IF(OR(Dashboard!$C$4="All Customers",$E1344=Dashboard!$C$4),IF($E1344="","",$P1344+ROW()/10000000),"")</f>
        <v/>
      </c>
    </row>
    <row r="1345" spans="17:17" ht="14.25" customHeight="1" x14ac:dyDescent="0.3">
      <c r="Q1345" s="13" t="str">
        <f>IF(OR(Dashboard!$C$4="All Customers",$E1345=Dashboard!$C$4),IF($E1345="","",$P1345+ROW()/10000000),"")</f>
        <v/>
      </c>
    </row>
    <row r="1346" spans="17:17" ht="14.25" customHeight="1" x14ac:dyDescent="0.3">
      <c r="Q1346" s="13" t="str">
        <f>IF(OR(Dashboard!$C$4="All Customers",$E1346=Dashboard!$C$4),IF($E1346="","",$P1346+ROW()/10000000),"")</f>
        <v/>
      </c>
    </row>
    <row r="1347" spans="17:17" ht="14.25" customHeight="1" x14ac:dyDescent="0.3">
      <c r="Q1347" s="13" t="str">
        <f>IF(OR(Dashboard!$C$4="All Customers",$E1347=Dashboard!$C$4),IF($E1347="","",$P1347+ROW()/10000000),"")</f>
        <v/>
      </c>
    </row>
    <row r="1348" spans="17:17" ht="14.25" customHeight="1" x14ac:dyDescent="0.3">
      <c r="Q1348" s="13" t="str">
        <f>IF(OR(Dashboard!$C$4="All Customers",$E1348=Dashboard!$C$4),IF($E1348="","",$P1348+ROW()/10000000),"")</f>
        <v/>
      </c>
    </row>
    <row r="1349" spans="17:17" ht="14.25" customHeight="1" x14ac:dyDescent="0.3">
      <c r="Q1349" s="13" t="str">
        <f>IF(OR(Dashboard!$C$4="All Customers",$E1349=Dashboard!$C$4),IF($E1349="","",$P1349+ROW()/10000000),"")</f>
        <v/>
      </c>
    </row>
    <row r="1350" spans="17:17" ht="14.25" customHeight="1" x14ac:dyDescent="0.3">
      <c r="Q1350" s="13" t="str">
        <f>IF(OR(Dashboard!$C$4="All Customers",$E1350=Dashboard!$C$4),IF($E1350="","",$P1350+ROW()/10000000),"")</f>
        <v/>
      </c>
    </row>
    <row r="1351" spans="17:17" ht="14.25" customHeight="1" x14ac:dyDescent="0.3">
      <c r="Q1351" s="13" t="str">
        <f>IF(OR(Dashboard!$C$4="All Customers",$E1351=Dashboard!$C$4),IF($E1351="","",$P1351+ROW()/10000000),"")</f>
        <v/>
      </c>
    </row>
    <row r="1352" spans="17:17" ht="14.25" customHeight="1" x14ac:dyDescent="0.3">
      <c r="Q1352" s="13" t="str">
        <f>IF(OR(Dashboard!$C$4="All Customers",$E1352=Dashboard!$C$4),IF($E1352="","",$P1352+ROW()/10000000),"")</f>
        <v/>
      </c>
    </row>
    <row r="1353" spans="17:17" ht="14.25" customHeight="1" x14ac:dyDescent="0.3">
      <c r="Q1353" s="13" t="str">
        <f>IF(OR(Dashboard!$C$4="All Customers",$E1353=Dashboard!$C$4),IF($E1353="","",$P1353+ROW()/10000000),"")</f>
        <v/>
      </c>
    </row>
    <row r="1354" spans="17:17" ht="14.25" customHeight="1" x14ac:dyDescent="0.3">
      <c r="Q1354" s="13" t="str">
        <f>IF(OR(Dashboard!$C$4="All Customers",$E1354=Dashboard!$C$4),IF($E1354="","",$P1354+ROW()/10000000),"")</f>
        <v/>
      </c>
    </row>
    <row r="1355" spans="17:17" ht="14.25" customHeight="1" x14ac:dyDescent="0.3">
      <c r="Q1355" s="13" t="str">
        <f>IF(OR(Dashboard!$C$4="All Customers",$E1355=Dashboard!$C$4),IF($E1355="","",$P1355+ROW()/10000000),"")</f>
        <v/>
      </c>
    </row>
    <row r="1356" spans="17:17" ht="14.25" customHeight="1" x14ac:dyDescent="0.3">
      <c r="Q1356" s="13" t="str">
        <f>IF(OR(Dashboard!$C$4="All Customers",$E1356=Dashboard!$C$4),IF($E1356="","",$P1356+ROW()/10000000),"")</f>
        <v/>
      </c>
    </row>
    <row r="1357" spans="17:17" ht="14.25" customHeight="1" x14ac:dyDescent="0.3">
      <c r="Q1357" s="13" t="str">
        <f>IF(OR(Dashboard!$C$4="All Customers",$E1357=Dashboard!$C$4),IF($E1357="","",$P1357+ROW()/10000000),"")</f>
        <v/>
      </c>
    </row>
    <row r="1358" spans="17:17" ht="14.25" customHeight="1" x14ac:dyDescent="0.3">
      <c r="Q1358" s="13" t="str">
        <f>IF(OR(Dashboard!$C$4="All Customers",$E1358=Dashboard!$C$4),IF($E1358="","",$P1358+ROW()/10000000),"")</f>
        <v/>
      </c>
    </row>
    <row r="1359" spans="17:17" ht="14.25" customHeight="1" x14ac:dyDescent="0.3">
      <c r="Q1359" s="13" t="str">
        <f>IF(OR(Dashboard!$C$4="All Customers",$E1359=Dashboard!$C$4),IF($E1359="","",$P1359+ROW()/10000000),"")</f>
        <v/>
      </c>
    </row>
    <row r="1360" spans="17:17" ht="14.25" customHeight="1" x14ac:dyDescent="0.3">
      <c r="Q1360" s="13" t="str">
        <f>IF(OR(Dashboard!$C$4="All Customers",$E1360=Dashboard!$C$4),IF($E1360="","",$P1360+ROW()/10000000),"")</f>
        <v/>
      </c>
    </row>
    <row r="1361" spans="17:17" ht="14.25" customHeight="1" x14ac:dyDescent="0.3">
      <c r="Q1361" s="13" t="str">
        <f>IF(OR(Dashboard!$C$4="All Customers",$E1361=Dashboard!$C$4),IF($E1361="","",$P1361+ROW()/10000000),"")</f>
        <v/>
      </c>
    </row>
    <row r="1362" spans="17:17" ht="14.25" customHeight="1" x14ac:dyDescent="0.3">
      <c r="Q1362" s="13" t="str">
        <f>IF(OR(Dashboard!$C$4="All Customers",$E1362=Dashboard!$C$4),IF($E1362="","",$P1362+ROW()/10000000),"")</f>
        <v/>
      </c>
    </row>
    <row r="1363" spans="17:17" ht="14.25" customHeight="1" x14ac:dyDescent="0.3">
      <c r="Q1363" s="13" t="str">
        <f>IF(OR(Dashboard!$C$4="All Customers",$E1363=Dashboard!$C$4),IF($E1363="","",$P1363+ROW()/10000000),"")</f>
        <v/>
      </c>
    </row>
    <row r="1364" spans="17:17" ht="14.25" customHeight="1" x14ac:dyDescent="0.3">
      <c r="Q1364" s="13" t="str">
        <f>IF(OR(Dashboard!$C$4="All Customers",$E1364=Dashboard!$C$4),IF($E1364="","",$P1364+ROW()/10000000),"")</f>
        <v/>
      </c>
    </row>
    <row r="1365" spans="17:17" ht="14.25" customHeight="1" x14ac:dyDescent="0.3">
      <c r="Q1365" s="13" t="str">
        <f>IF(OR(Dashboard!$C$4="All Customers",$E1365=Dashboard!$C$4),IF($E1365="","",$P1365+ROW()/10000000),"")</f>
        <v/>
      </c>
    </row>
    <row r="1366" spans="17:17" ht="14.25" customHeight="1" x14ac:dyDescent="0.3">
      <c r="Q1366" s="13" t="str">
        <f>IF(OR(Dashboard!$C$4="All Customers",$E1366=Dashboard!$C$4),IF($E1366="","",$P1366+ROW()/10000000),"")</f>
        <v/>
      </c>
    </row>
    <row r="1367" spans="17:17" ht="14.25" customHeight="1" x14ac:dyDescent="0.3">
      <c r="Q1367" s="13" t="str">
        <f>IF(OR(Dashboard!$C$4="All Customers",$E1367=Dashboard!$C$4),IF($E1367="","",$P1367+ROW()/10000000),"")</f>
        <v/>
      </c>
    </row>
    <row r="1368" spans="17:17" ht="14.25" customHeight="1" x14ac:dyDescent="0.3">
      <c r="Q1368" s="13" t="str">
        <f>IF(OR(Dashboard!$C$4="All Customers",$E1368=Dashboard!$C$4),IF($E1368="","",$P1368+ROW()/10000000),"")</f>
        <v/>
      </c>
    </row>
    <row r="1369" spans="17:17" ht="14.25" customHeight="1" x14ac:dyDescent="0.3">
      <c r="Q1369" s="13" t="str">
        <f>IF(OR(Dashboard!$C$4="All Customers",$E1369=Dashboard!$C$4),IF($E1369="","",$P1369+ROW()/10000000),"")</f>
        <v/>
      </c>
    </row>
    <row r="1370" spans="17:17" ht="14.25" customHeight="1" x14ac:dyDescent="0.3">
      <c r="Q1370" s="13" t="str">
        <f>IF(OR(Dashboard!$C$4="All Customers",$E1370=Dashboard!$C$4),IF($E1370="","",$P1370+ROW()/10000000),"")</f>
        <v/>
      </c>
    </row>
    <row r="1371" spans="17:17" ht="14.25" customHeight="1" x14ac:dyDescent="0.3">
      <c r="Q1371" s="13" t="str">
        <f>IF(OR(Dashboard!$C$4="All Customers",$E1371=Dashboard!$C$4),IF($E1371="","",$P1371+ROW()/10000000),"")</f>
        <v/>
      </c>
    </row>
    <row r="1372" spans="17:17" ht="14.25" customHeight="1" x14ac:dyDescent="0.3">
      <c r="Q1372" s="13" t="str">
        <f>IF(OR(Dashboard!$C$4="All Customers",$E1372=Dashboard!$C$4),IF($E1372="","",$P1372+ROW()/10000000),"")</f>
        <v/>
      </c>
    </row>
    <row r="1373" spans="17:17" ht="14.25" customHeight="1" x14ac:dyDescent="0.3">
      <c r="Q1373" s="13" t="str">
        <f>IF(OR(Dashboard!$C$4="All Customers",$E1373=Dashboard!$C$4),IF($E1373="","",$P1373+ROW()/10000000),"")</f>
        <v/>
      </c>
    </row>
    <row r="1374" spans="17:17" ht="14.25" customHeight="1" x14ac:dyDescent="0.3">
      <c r="Q1374" s="13" t="str">
        <f>IF(OR(Dashboard!$C$4="All Customers",$E1374=Dashboard!$C$4),IF($E1374="","",$P1374+ROW()/10000000),"")</f>
        <v/>
      </c>
    </row>
    <row r="1375" spans="17:17" ht="14.25" customHeight="1" x14ac:dyDescent="0.3">
      <c r="Q1375" s="13" t="str">
        <f>IF(OR(Dashboard!$C$4="All Customers",$E1375=Dashboard!$C$4),IF($E1375="","",$P1375+ROW()/10000000),"")</f>
        <v/>
      </c>
    </row>
    <row r="1376" spans="17:17" ht="14.25" customHeight="1" x14ac:dyDescent="0.3">
      <c r="Q1376" s="13" t="str">
        <f>IF(OR(Dashboard!$C$4="All Customers",$E1376=Dashboard!$C$4),IF($E1376="","",$P1376+ROW()/10000000),"")</f>
        <v/>
      </c>
    </row>
    <row r="1377" spans="17:17" ht="14.25" customHeight="1" x14ac:dyDescent="0.3">
      <c r="Q1377" s="13" t="str">
        <f>IF(OR(Dashboard!$C$4="All Customers",$E1377=Dashboard!$C$4),IF($E1377="","",$P1377+ROW()/10000000),"")</f>
        <v/>
      </c>
    </row>
    <row r="1378" spans="17:17" ht="14.25" customHeight="1" x14ac:dyDescent="0.3">
      <c r="Q1378" s="13" t="str">
        <f>IF(OR(Dashboard!$C$4="All Customers",$E1378=Dashboard!$C$4),IF($E1378="","",$P1378+ROW()/10000000),"")</f>
        <v/>
      </c>
    </row>
    <row r="1379" spans="17:17" ht="14.25" customHeight="1" x14ac:dyDescent="0.3">
      <c r="Q1379" s="13" t="str">
        <f>IF(OR(Dashboard!$C$4="All Customers",$E1379=Dashboard!$C$4),IF($E1379="","",$P1379+ROW()/10000000),"")</f>
        <v/>
      </c>
    </row>
    <row r="1380" spans="17:17" ht="14.25" customHeight="1" x14ac:dyDescent="0.3">
      <c r="Q1380" s="13" t="str">
        <f>IF(OR(Dashboard!$C$4="All Customers",$E1380=Dashboard!$C$4),IF($E1380="","",$P1380+ROW()/10000000),"")</f>
        <v/>
      </c>
    </row>
    <row r="1381" spans="17:17" ht="14.25" customHeight="1" x14ac:dyDescent="0.3">
      <c r="Q1381" s="13" t="str">
        <f>IF(OR(Dashboard!$C$4="All Customers",$E1381=Dashboard!$C$4),IF($E1381="","",$P1381+ROW()/10000000),"")</f>
        <v/>
      </c>
    </row>
    <row r="1382" spans="17:17" ht="14.25" customHeight="1" x14ac:dyDescent="0.3">
      <c r="Q1382" s="13" t="str">
        <f>IF(OR(Dashboard!$C$4="All Customers",$E1382=Dashboard!$C$4),IF($E1382="","",$P1382+ROW()/10000000),"")</f>
        <v/>
      </c>
    </row>
    <row r="1383" spans="17:17" ht="14.25" customHeight="1" x14ac:dyDescent="0.3">
      <c r="Q1383" s="13" t="str">
        <f>IF(OR(Dashboard!$C$4="All Customers",$E1383=Dashboard!$C$4),IF($E1383="","",$P1383+ROW()/10000000),"")</f>
        <v/>
      </c>
    </row>
    <row r="1384" spans="17:17" ht="14.25" customHeight="1" x14ac:dyDescent="0.3">
      <c r="Q1384" s="13" t="str">
        <f>IF(OR(Dashboard!$C$4="All Customers",$E1384=Dashboard!$C$4),IF($E1384="","",$P1384+ROW()/10000000),"")</f>
        <v/>
      </c>
    </row>
    <row r="1385" spans="17:17" ht="14.25" customHeight="1" x14ac:dyDescent="0.3">
      <c r="Q1385" s="13" t="str">
        <f>IF(OR(Dashboard!$C$4="All Customers",$E1385=Dashboard!$C$4),IF($E1385="","",$P1385+ROW()/10000000),"")</f>
        <v/>
      </c>
    </row>
    <row r="1386" spans="17:17" ht="14.25" customHeight="1" x14ac:dyDescent="0.3">
      <c r="Q1386" s="13" t="str">
        <f>IF(OR(Dashboard!$C$4="All Customers",$E1386=Dashboard!$C$4),IF($E1386="","",$P1386+ROW()/10000000),"")</f>
        <v/>
      </c>
    </row>
    <row r="1387" spans="17:17" ht="14.25" customHeight="1" x14ac:dyDescent="0.3">
      <c r="Q1387" s="13" t="str">
        <f>IF(OR(Dashboard!$C$4="All Customers",$E1387=Dashboard!$C$4),IF($E1387="","",$P1387+ROW()/10000000),"")</f>
        <v/>
      </c>
    </row>
    <row r="1388" spans="17:17" ht="14.25" customHeight="1" x14ac:dyDescent="0.3">
      <c r="Q1388" s="13" t="str">
        <f>IF(OR(Dashboard!$C$4="All Customers",$E1388=Dashboard!$C$4),IF($E1388="","",$P1388+ROW()/10000000),"")</f>
        <v/>
      </c>
    </row>
    <row r="1389" spans="17:17" ht="14.25" customHeight="1" x14ac:dyDescent="0.3">
      <c r="Q1389" s="13" t="str">
        <f>IF(OR(Dashboard!$C$4="All Customers",$E1389=Dashboard!$C$4),IF($E1389="","",$P1389+ROW()/10000000),"")</f>
        <v/>
      </c>
    </row>
    <row r="1390" spans="17:17" ht="14.25" customHeight="1" x14ac:dyDescent="0.3">
      <c r="Q1390" s="13" t="str">
        <f>IF(OR(Dashboard!$C$4="All Customers",$E1390=Dashboard!$C$4),IF($E1390="","",$P1390+ROW()/10000000),"")</f>
        <v/>
      </c>
    </row>
    <row r="1391" spans="17:17" ht="14.25" customHeight="1" x14ac:dyDescent="0.3">
      <c r="Q1391" s="13" t="str">
        <f>IF(OR(Dashboard!$C$4="All Customers",$E1391=Dashboard!$C$4),IF($E1391="","",$P1391+ROW()/10000000),"")</f>
        <v/>
      </c>
    </row>
    <row r="1392" spans="17:17" ht="14.25" customHeight="1" x14ac:dyDescent="0.3">
      <c r="Q1392" s="13" t="str">
        <f>IF(OR(Dashboard!$C$4="All Customers",$E1392=Dashboard!$C$4),IF($E1392="","",$P1392+ROW()/10000000),"")</f>
        <v/>
      </c>
    </row>
    <row r="1393" spans="17:17" ht="14.25" customHeight="1" x14ac:dyDescent="0.3">
      <c r="Q1393" s="13" t="str">
        <f>IF(OR(Dashboard!$C$4="All Customers",$E1393=Dashboard!$C$4),IF($E1393="","",$P1393+ROW()/10000000),"")</f>
        <v/>
      </c>
    </row>
    <row r="1394" spans="17:17" ht="14.25" customHeight="1" x14ac:dyDescent="0.3">
      <c r="Q1394" s="13" t="str">
        <f>IF(OR(Dashboard!$C$4="All Customers",$E1394=Dashboard!$C$4),IF($E1394="","",$P1394+ROW()/10000000),"")</f>
        <v/>
      </c>
    </row>
    <row r="1395" spans="17:17" ht="14.25" customHeight="1" x14ac:dyDescent="0.3">
      <c r="Q1395" s="13" t="str">
        <f>IF(OR(Dashboard!$C$4="All Customers",$E1395=Dashboard!$C$4),IF($E1395="","",$P1395+ROW()/10000000),"")</f>
        <v/>
      </c>
    </row>
    <row r="1396" spans="17:17" ht="14.25" customHeight="1" x14ac:dyDescent="0.3">
      <c r="Q1396" s="13" t="str">
        <f>IF(OR(Dashboard!$C$4="All Customers",$E1396=Dashboard!$C$4),IF($E1396="","",$P1396+ROW()/10000000),"")</f>
        <v/>
      </c>
    </row>
    <row r="1397" spans="17:17" ht="14.25" customHeight="1" x14ac:dyDescent="0.3">
      <c r="Q1397" s="13" t="str">
        <f>IF(OR(Dashboard!$C$4="All Customers",$E1397=Dashboard!$C$4),IF($E1397="","",$P1397+ROW()/10000000),"")</f>
        <v/>
      </c>
    </row>
    <row r="1398" spans="17:17" ht="14.25" customHeight="1" x14ac:dyDescent="0.3">
      <c r="Q1398" s="13" t="str">
        <f>IF(OR(Dashboard!$C$4="All Customers",$E1398=Dashboard!$C$4),IF($E1398="","",$P1398+ROW()/10000000),"")</f>
        <v/>
      </c>
    </row>
    <row r="1399" spans="17:17" ht="14.25" customHeight="1" x14ac:dyDescent="0.3">
      <c r="Q1399" s="13" t="str">
        <f>IF(OR(Dashboard!$C$4="All Customers",$E1399=Dashboard!$C$4),IF($E1399="","",$P1399+ROW()/10000000),"")</f>
        <v/>
      </c>
    </row>
    <row r="1400" spans="17:17" ht="14.25" customHeight="1" x14ac:dyDescent="0.3">
      <c r="Q1400" s="13" t="str">
        <f>IF(OR(Dashboard!$C$4="All Customers",$E1400=Dashboard!$C$4),IF($E1400="","",$P1400+ROW()/10000000),"")</f>
        <v/>
      </c>
    </row>
    <row r="1401" spans="17:17" ht="14.25" customHeight="1" x14ac:dyDescent="0.3">
      <c r="Q1401" s="13" t="str">
        <f>IF(OR(Dashboard!$C$4="All Customers",$E1401=Dashboard!$C$4),IF($E1401="","",$P1401+ROW()/10000000),"")</f>
        <v/>
      </c>
    </row>
    <row r="1402" spans="17:17" ht="14.25" customHeight="1" x14ac:dyDescent="0.3">
      <c r="Q1402" s="13" t="str">
        <f>IF(OR(Dashboard!$C$4="All Customers",$E1402=Dashboard!$C$4),IF($E1402="","",$P1402+ROW()/10000000),"")</f>
        <v/>
      </c>
    </row>
    <row r="1403" spans="17:17" ht="14.25" customHeight="1" x14ac:dyDescent="0.3">
      <c r="Q1403" s="13" t="str">
        <f>IF(OR(Dashboard!$C$4="All Customers",$E1403=Dashboard!$C$4),IF($E1403="","",$P1403+ROW()/10000000),"")</f>
        <v/>
      </c>
    </row>
    <row r="1404" spans="17:17" ht="14.25" customHeight="1" x14ac:dyDescent="0.3">
      <c r="Q1404" s="13" t="str">
        <f>IF(OR(Dashboard!$C$4="All Customers",$E1404=Dashboard!$C$4),IF($E1404="","",$P1404+ROW()/10000000),"")</f>
        <v/>
      </c>
    </row>
    <row r="1405" spans="17:17" ht="14.25" customHeight="1" x14ac:dyDescent="0.3">
      <c r="Q1405" s="13" t="str">
        <f>IF(OR(Dashboard!$C$4="All Customers",$E1405=Dashboard!$C$4),IF($E1405="","",$P1405+ROW()/10000000),"")</f>
        <v/>
      </c>
    </row>
    <row r="1406" spans="17:17" ht="14.25" customHeight="1" x14ac:dyDescent="0.3">
      <c r="Q1406" s="13" t="str">
        <f>IF(OR(Dashboard!$C$4="All Customers",$E1406=Dashboard!$C$4),IF($E1406="","",$P1406+ROW()/10000000),"")</f>
        <v/>
      </c>
    </row>
    <row r="1407" spans="17:17" ht="14.25" customHeight="1" x14ac:dyDescent="0.3">
      <c r="Q1407" s="13" t="str">
        <f>IF(OR(Dashboard!$C$4="All Customers",$E1407=Dashboard!$C$4),IF($E1407="","",$P1407+ROW()/10000000),"")</f>
        <v/>
      </c>
    </row>
    <row r="1408" spans="17:17" ht="14.25" customHeight="1" x14ac:dyDescent="0.3">
      <c r="Q1408" s="13" t="str">
        <f>IF(OR(Dashboard!$C$4="All Customers",$E1408=Dashboard!$C$4),IF($E1408="","",$P1408+ROW()/10000000),"")</f>
        <v/>
      </c>
    </row>
    <row r="1409" spans="17:17" ht="14.25" customHeight="1" x14ac:dyDescent="0.3">
      <c r="Q1409" s="13" t="str">
        <f>IF(OR(Dashboard!$C$4="All Customers",$E1409=Dashboard!$C$4),IF($E1409="","",$P1409+ROW()/10000000),"")</f>
        <v/>
      </c>
    </row>
    <row r="1410" spans="17:17" ht="14.25" customHeight="1" x14ac:dyDescent="0.3">
      <c r="Q1410" s="13" t="str">
        <f>IF(OR(Dashboard!$C$4="All Customers",$E1410=Dashboard!$C$4),IF($E1410="","",$P1410+ROW()/10000000),"")</f>
        <v/>
      </c>
    </row>
    <row r="1411" spans="17:17" ht="14.25" customHeight="1" x14ac:dyDescent="0.3">
      <c r="Q1411" s="13" t="str">
        <f>IF(OR(Dashboard!$C$4="All Customers",$E1411=Dashboard!$C$4),IF($E1411="","",$P1411+ROW()/10000000),"")</f>
        <v/>
      </c>
    </row>
    <row r="1412" spans="17:17" ht="14.25" customHeight="1" x14ac:dyDescent="0.3">
      <c r="Q1412" s="13" t="str">
        <f>IF(OR(Dashboard!$C$4="All Customers",$E1412=Dashboard!$C$4),IF($E1412="","",$P1412+ROW()/10000000),"")</f>
        <v/>
      </c>
    </row>
    <row r="1413" spans="17:17" ht="14.25" customHeight="1" x14ac:dyDescent="0.3">
      <c r="Q1413" s="13" t="str">
        <f>IF(OR(Dashboard!$C$4="All Customers",$E1413=Dashboard!$C$4),IF($E1413="","",$P1413+ROW()/10000000),"")</f>
        <v/>
      </c>
    </row>
    <row r="1414" spans="17:17" ht="14.25" customHeight="1" x14ac:dyDescent="0.3">
      <c r="Q1414" s="13" t="str">
        <f>IF(OR(Dashboard!$C$4="All Customers",$E1414=Dashboard!$C$4),IF($E1414="","",$P1414+ROW()/10000000),"")</f>
        <v/>
      </c>
    </row>
    <row r="1415" spans="17:17" ht="14.25" customHeight="1" x14ac:dyDescent="0.3">
      <c r="Q1415" s="13" t="str">
        <f>IF(OR(Dashboard!$C$4="All Customers",$E1415=Dashboard!$C$4),IF($E1415="","",$P1415+ROW()/10000000),"")</f>
        <v/>
      </c>
    </row>
    <row r="1416" spans="17:17" ht="14.25" customHeight="1" x14ac:dyDescent="0.3">
      <c r="Q1416" s="13" t="str">
        <f>IF(OR(Dashboard!$C$4="All Customers",$E1416=Dashboard!$C$4),IF($E1416="","",$P1416+ROW()/10000000),"")</f>
        <v/>
      </c>
    </row>
    <row r="1417" spans="17:17" ht="14.25" customHeight="1" x14ac:dyDescent="0.3">
      <c r="Q1417" s="13" t="str">
        <f>IF(OR(Dashboard!$C$4="All Customers",$E1417=Dashboard!$C$4),IF($E1417="","",$P1417+ROW()/10000000),"")</f>
        <v/>
      </c>
    </row>
    <row r="1418" spans="17:17" ht="14.25" customHeight="1" x14ac:dyDescent="0.3">
      <c r="Q1418" s="13" t="str">
        <f>IF(OR(Dashboard!$C$4="All Customers",$E1418=Dashboard!$C$4),IF($E1418="","",$P1418+ROW()/10000000),"")</f>
        <v/>
      </c>
    </row>
    <row r="1419" spans="17:17" ht="14.25" customHeight="1" x14ac:dyDescent="0.3">
      <c r="Q1419" s="13" t="str">
        <f>IF(OR(Dashboard!$C$4="All Customers",$E1419=Dashboard!$C$4),IF($E1419="","",$P1419+ROW()/10000000),"")</f>
        <v/>
      </c>
    </row>
    <row r="1420" spans="17:17" ht="14.25" customHeight="1" x14ac:dyDescent="0.3">
      <c r="Q1420" s="13" t="str">
        <f>IF(OR(Dashboard!$C$4="All Customers",$E1420=Dashboard!$C$4),IF($E1420="","",$P1420+ROW()/10000000),"")</f>
        <v/>
      </c>
    </row>
    <row r="1421" spans="17:17" ht="14.25" customHeight="1" x14ac:dyDescent="0.3">
      <c r="Q1421" s="13" t="str">
        <f>IF(OR(Dashboard!$C$4="All Customers",$E1421=Dashboard!$C$4),IF($E1421="","",$P1421+ROW()/10000000),"")</f>
        <v/>
      </c>
    </row>
    <row r="1422" spans="17:17" ht="14.25" customHeight="1" x14ac:dyDescent="0.3">
      <c r="Q1422" s="13" t="str">
        <f>IF(OR(Dashboard!$C$4="All Customers",$E1422=Dashboard!$C$4),IF($E1422="","",$P1422+ROW()/10000000),"")</f>
        <v/>
      </c>
    </row>
    <row r="1423" spans="17:17" ht="14.25" customHeight="1" x14ac:dyDescent="0.3">
      <c r="Q1423" s="13" t="str">
        <f>IF(OR(Dashboard!$C$4="All Customers",$E1423=Dashboard!$C$4),IF($E1423="","",$P1423+ROW()/10000000),"")</f>
        <v/>
      </c>
    </row>
    <row r="1424" spans="17:17" ht="14.25" customHeight="1" x14ac:dyDescent="0.3">
      <c r="Q1424" s="13" t="str">
        <f>IF(OR(Dashboard!$C$4="All Customers",$E1424=Dashboard!$C$4),IF($E1424="","",$P1424+ROW()/10000000),"")</f>
        <v/>
      </c>
    </row>
    <row r="1425" spans="17:17" ht="14.25" customHeight="1" x14ac:dyDescent="0.3">
      <c r="Q1425" s="13" t="str">
        <f>IF(OR(Dashboard!$C$4="All Customers",$E1425=Dashboard!$C$4),IF($E1425="","",$P1425+ROW()/10000000),"")</f>
        <v/>
      </c>
    </row>
    <row r="1426" spans="17:17" ht="14.25" customHeight="1" x14ac:dyDescent="0.3">
      <c r="Q1426" s="13" t="str">
        <f>IF(OR(Dashboard!$C$4="All Customers",$E1426=Dashboard!$C$4),IF($E1426="","",$P1426+ROW()/10000000),"")</f>
        <v/>
      </c>
    </row>
    <row r="1427" spans="17:17" ht="14.25" customHeight="1" x14ac:dyDescent="0.3">
      <c r="Q1427" s="13" t="str">
        <f>IF(OR(Dashboard!$C$4="All Customers",$E1427=Dashboard!$C$4),IF($E1427="","",$P1427+ROW()/10000000),"")</f>
        <v/>
      </c>
    </row>
    <row r="1428" spans="17:17" ht="14.25" customHeight="1" x14ac:dyDescent="0.3">
      <c r="Q1428" s="13" t="str">
        <f>IF(OR(Dashboard!$C$4="All Customers",$E1428=Dashboard!$C$4),IF($E1428="","",$P1428+ROW()/10000000),"")</f>
        <v/>
      </c>
    </row>
    <row r="1429" spans="17:17" ht="14.25" customHeight="1" x14ac:dyDescent="0.3">
      <c r="Q1429" s="13" t="str">
        <f>IF(OR(Dashboard!$C$4="All Customers",$E1429=Dashboard!$C$4),IF($E1429="","",$P1429+ROW()/10000000),"")</f>
        <v/>
      </c>
    </row>
    <row r="1430" spans="17:17" ht="14.25" customHeight="1" x14ac:dyDescent="0.3">
      <c r="Q1430" s="13" t="str">
        <f>IF(OR(Dashboard!$C$4="All Customers",$E1430=Dashboard!$C$4),IF($E1430="","",$P1430+ROW()/10000000),"")</f>
        <v/>
      </c>
    </row>
    <row r="1431" spans="17:17" ht="14.25" customHeight="1" x14ac:dyDescent="0.3">
      <c r="Q1431" s="13" t="str">
        <f>IF(OR(Dashboard!$C$4="All Customers",$E1431=Dashboard!$C$4),IF($E1431="","",$P1431+ROW()/10000000),"")</f>
        <v/>
      </c>
    </row>
    <row r="1432" spans="17:17" ht="14.25" customHeight="1" x14ac:dyDescent="0.3">
      <c r="Q1432" s="13" t="str">
        <f>IF(OR(Dashboard!$C$4="All Customers",$E1432=Dashboard!$C$4),IF($E1432="","",$P1432+ROW()/10000000),"")</f>
        <v/>
      </c>
    </row>
    <row r="1433" spans="17:17" ht="14.25" customHeight="1" x14ac:dyDescent="0.3">
      <c r="Q1433" s="13" t="str">
        <f>IF(OR(Dashboard!$C$4="All Customers",$E1433=Dashboard!$C$4),IF($E1433="","",$P1433+ROW()/10000000),"")</f>
        <v/>
      </c>
    </row>
    <row r="1434" spans="17:17" ht="14.25" customHeight="1" x14ac:dyDescent="0.3">
      <c r="Q1434" s="13" t="str">
        <f>IF(OR(Dashboard!$C$4="All Customers",$E1434=Dashboard!$C$4),IF($E1434="","",$P1434+ROW()/10000000),"")</f>
        <v/>
      </c>
    </row>
    <row r="1435" spans="17:17" ht="14.25" customHeight="1" x14ac:dyDescent="0.3">
      <c r="Q1435" s="13" t="str">
        <f>IF(OR(Dashboard!$C$4="All Customers",$E1435=Dashboard!$C$4),IF($E1435="","",$P1435+ROW()/10000000),"")</f>
        <v/>
      </c>
    </row>
    <row r="1436" spans="17:17" ht="14.25" customHeight="1" x14ac:dyDescent="0.3">
      <c r="Q1436" s="13" t="str">
        <f>IF(OR(Dashboard!$C$4="All Customers",$E1436=Dashboard!$C$4),IF($E1436="","",$P1436+ROW()/10000000),"")</f>
        <v/>
      </c>
    </row>
    <row r="1437" spans="17:17" ht="14.25" customHeight="1" x14ac:dyDescent="0.3">
      <c r="Q1437" s="13" t="str">
        <f>IF(OR(Dashboard!$C$4="All Customers",$E1437=Dashboard!$C$4),IF($E1437="","",$P1437+ROW()/10000000),"")</f>
        <v/>
      </c>
    </row>
    <row r="1438" spans="17:17" ht="14.25" customHeight="1" x14ac:dyDescent="0.3">
      <c r="Q1438" s="13" t="str">
        <f>IF(OR(Dashboard!$C$4="All Customers",$E1438=Dashboard!$C$4),IF($E1438="","",$P1438+ROW()/10000000),"")</f>
        <v/>
      </c>
    </row>
    <row r="1439" spans="17:17" ht="14.25" customHeight="1" x14ac:dyDescent="0.3">
      <c r="Q1439" s="13" t="str">
        <f>IF(OR(Dashboard!$C$4="All Customers",$E1439=Dashboard!$C$4),IF($E1439="","",$P1439+ROW()/10000000),"")</f>
        <v/>
      </c>
    </row>
    <row r="1440" spans="17:17" ht="14.25" customHeight="1" x14ac:dyDescent="0.3">
      <c r="Q1440" s="13" t="str">
        <f>IF(OR(Dashboard!$C$4="All Customers",$E1440=Dashboard!$C$4),IF($E1440="","",$P1440+ROW()/10000000),"")</f>
        <v/>
      </c>
    </row>
    <row r="1441" spans="17:17" ht="14.25" customHeight="1" x14ac:dyDescent="0.3">
      <c r="Q1441" s="13" t="str">
        <f>IF(OR(Dashboard!$C$4="All Customers",$E1441=Dashboard!$C$4),IF($E1441="","",$P1441+ROW()/10000000),"")</f>
        <v/>
      </c>
    </row>
    <row r="1442" spans="17:17" ht="14.25" customHeight="1" x14ac:dyDescent="0.3">
      <c r="Q1442" s="13" t="str">
        <f>IF(OR(Dashboard!$C$4="All Customers",$E1442=Dashboard!$C$4),IF($E1442="","",$P1442+ROW()/10000000),"")</f>
        <v/>
      </c>
    </row>
    <row r="1443" spans="17:17" ht="14.25" customHeight="1" x14ac:dyDescent="0.3">
      <c r="Q1443" s="13" t="str">
        <f>IF(OR(Dashboard!$C$4="All Customers",$E1443=Dashboard!$C$4),IF($E1443="","",$P1443+ROW()/10000000),"")</f>
        <v/>
      </c>
    </row>
    <row r="1444" spans="17:17" ht="14.25" customHeight="1" x14ac:dyDescent="0.3">
      <c r="Q1444" s="13" t="str">
        <f>IF(OR(Dashboard!$C$4="All Customers",$E1444=Dashboard!$C$4),IF($E1444="","",$P1444+ROW()/10000000),"")</f>
        <v/>
      </c>
    </row>
    <row r="1445" spans="17:17" ht="14.25" customHeight="1" x14ac:dyDescent="0.3">
      <c r="Q1445" s="13" t="str">
        <f>IF(OR(Dashboard!$C$4="All Customers",$E1445=Dashboard!$C$4),IF($E1445="","",$P1445+ROW()/10000000),"")</f>
        <v/>
      </c>
    </row>
    <row r="1446" spans="17:17" ht="14.25" customHeight="1" x14ac:dyDescent="0.3">
      <c r="Q1446" s="13" t="str">
        <f>IF(OR(Dashboard!$C$4="All Customers",$E1446=Dashboard!$C$4),IF($E1446="","",$P1446+ROW()/10000000),"")</f>
        <v/>
      </c>
    </row>
    <row r="1447" spans="17:17" ht="14.25" customHeight="1" x14ac:dyDescent="0.3">
      <c r="Q1447" s="13" t="str">
        <f>IF(OR(Dashboard!$C$4="All Customers",$E1447=Dashboard!$C$4),IF($E1447="","",$P1447+ROW()/10000000),"")</f>
        <v/>
      </c>
    </row>
    <row r="1448" spans="17:17" ht="14.25" customHeight="1" x14ac:dyDescent="0.3">
      <c r="Q1448" s="13" t="str">
        <f>IF(OR(Dashboard!$C$4="All Customers",$E1448=Dashboard!$C$4),IF($E1448="","",$P1448+ROW()/10000000),"")</f>
        <v/>
      </c>
    </row>
    <row r="1449" spans="17:17" ht="14.25" customHeight="1" x14ac:dyDescent="0.3">
      <c r="Q1449" s="13" t="str">
        <f>IF(OR(Dashboard!$C$4="All Customers",$E1449=Dashboard!$C$4),IF($E1449="","",$P1449+ROW()/10000000),"")</f>
        <v/>
      </c>
    </row>
    <row r="1450" spans="17:17" ht="14.25" customHeight="1" x14ac:dyDescent="0.3">
      <c r="Q1450" s="13" t="str">
        <f>IF(OR(Dashboard!$C$4="All Customers",$E1450=Dashboard!$C$4),IF($E1450="","",$P1450+ROW()/10000000),"")</f>
        <v/>
      </c>
    </row>
    <row r="1451" spans="17:17" ht="14.25" customHeight="1" x14ac:dyDescent="0.3">
      <c r="Q1451" s="13" t="str">
        <f>IF(OR(Dashboard!$C$4="All Customers",$E1451=Dashboard!$C$4),IF($E1451="","",$P1451+ROW()/10000000),"")</f>
        <v/>
      </c>
    </row>
    <row r="1452" spans="17:17" ht="14.25" customHeight="1" x14ac:dyDescent="0.3">
      <c r="Q1452" s="13" t="str">
        <f>IF(OR(Dashboard!$C$4="All Customers",$E1452=Dashboard!$C$4),IF($E1452="","",$P1452+ROW()/10000000),"")</f>
        <v/>
      </c>
    </row>
    <row r="1453" spans="17:17" ht="14.25" customHeight="1" x14ac:dyDescent="0.3">
      <c r="Q1453" s="13" t="str">
        <f>IF(OR(Dashboard!$C$4="All Customers",$E1453=Dashboard!$C$4),IF($E1453="","",$P1453+ROW()/10000000),"")</f>
        <v/>
      </c>
    </row>
    <row r="1454" spans="17:17" ht="14.25" customHeight="1" x14ac:dyDescent="0.3">
      <c r="Q1454" s="13" t="str">
        <f>IF(OR(Dashboard!$C$4="All Customers",$E1454=Dashboard!$C$4),IF($E1454="","",$P1454+ROW()/10000000),"")</f>
        <v/>
      </c>
    </row>
    <row r="1455" spans="17:17" ht="14.25" customHeight="1" x14ac:dyDescent="0.3">
      <c r="Q1455" s="13" t="str">
        <f>IF(OR(Dashboard!$C$4="All Customers",$E1455=Dashboard!$C$4),IF($E1455="","",$P1455+ROW()/10000000),"")</f>
        <v/>
      </c>
    </row>
    <row r="1456" spans="17:17" ht="14.25" customHeight="1" x14ac:dyDescent="0.3">
      <c r="Q1456" s="13" t="str">
        <f>IF(OR(Dashboard!$C$4="All Customers",$E1456=Dashboard!$C$4),IF($E1456="","",$P1456+ROW()/10000000),"")</f>
        <v/>
      </c>
    </row>
    <row r="1457" spans="17:17" ht="14.25" customHeight="1" x14ac:dyDescent="0.3">
      <c r="Q1457" s="13" t="str">
        <f>IF(OR(Dashboard!$C$4="All Customers",$E1457=Dashboard!$C$4),IF($E1457="","",$P1457+ROW()/10000000),"")</f>
        <v/>
      </c>
    </row>
    <row r="1458" spans="17:17" ht="14.25" customHeight="1" x14ac:dyDescent="0.3">
      <c r="Q1458" s="13" t="str">
        <f>IF(OR(Dashboard!$C$4="All Customers",$E1458=Dashboard!$C$4),IF($E1458="","",$P1458+ROW()/10000000),"")</f>
        <v/>
      </c>
    </row>
    <row r="1459" spans="17:17" ht="14.25" customHeight="1" x14ac:dyDescent="0.3">
      <c r="Q1459" s="13" t="str">
        <f>IF(OR(Dashboard!$C$4="All Customers",$E1459=Dashboard!$C$4),IF($E1459="","",$P1459+ROW()/10000000),"")</f>
        <v/>
      </c>
    </row>
    <row r="1460" spans="17:17" ht="14.25" customHeight="1" x14ac:dyDescent="0.3">
      <c r="Q1460" s="13" t="str">
        <f>IF(OR(Dashboard!$C$4="All Customers",$E1460=Dashboard!$C$4),IF($E1460="","",$P1460+ROW()/10000000),"")</f>
        <v/>
      </c>
    </row>
    <row r="1461" spans="17:17" ht="14.25" customHeight="1" x14ac:dyDescent="0.3">
      <c r="Q1461" s="13" t="str">
        <f>IF(OR(Dashboard!$C$4="All Customers",$E1461=Dashboard!$C$4),IF($E1461="","",$P1461+ROW()/10000000),"")</f>
        <v/>
      </c>
    </row>
    <row r="1462" spans="17:17" ht="14.25" customHeight="1" x14ac:dyDescent="0.3">
      <c r="Q1462" s="13" t="str">
        <f>IF(OR(Dashboard!$C$4="All Customers",$E1462=Dashboard!$C$4),IF($E1462="","",$P1462+ROW()/10000000),"")</f>
        <v/>
      </c>
    </row>
    <row r="1463" spans="17:17" ht="14.25" customHeight="1" x14ac:dyDescent="0.3">
      <c r="Q1463" s="13" t="str">
        <f>IF(OR(Dashboard!$C$4="All Customers",$E1463=Dashboard!$C$4),IF($E1463="","",$P1463+ROW()/10000000),"")</f>
        <v/>
      </c>
    </row>
    <row r="1464" spans="17:17" ht="14.25" customHeight="1" x14ac:dyDescent="0.3">
      <c r="Q1464" s="13" t="str">
        <f>IF(OR(Dashboard!$C$4="All Customers",$E1464=Dashboard!$C$4),IF($E1464="","",$P1464+ROW()/10000000),"")</f>
        <v/>
      </c>
    </row>
    <row r="1465" spans="17:17" ht="14.25" customHeight="1" x14ac:dyDescent="0.3">
      <c r="Q1465" s="13" t="str">
        <f>IF(OR(Dashboard!$C$4="All Customers",$E1465=Dashboard!$C$4),IF($E1465="","",$P1465+ROW()/10000000),"")</f>
        <v/>
      </c>
    </row>
    <row r="1466" spans="17:17" ht="14.25" customHeight="1" x14ac:dyDescent="0.3">
      <c r="Q1466" s="13" t="str">
        <f>IF(OR(Dashboard!$C$4="All Customers",$E1466=Dashboard!$C$4),IF($E1466="","",$P1466+ROW()/10000000),"")</f>
        <v/>
      </c>
    </row>
    <row r="1467" spans="17:17" ht="14.25" customHeight="1" x14ac:dyDescent="0.3">
      <c r="Q1467" s="13" t="str">
        <f>IF(OR(Dashboard!$C$4="All Customers",$E1467=Dashboard!$C$4),IF($E1467="","",$P1467+ROW()/10000000),"")</f>
        <v/>
      </c>
    </row>
    <row r="1468" spans="17:17" ht="14.25" customHeight="1" x14ac:dyDescent="0.3">
      <c r="Q1468" s="13" t="str">
        <f>IF(OR(Dashboard!$C$4="All Customers",$E1468=Dashboard!$C$4),IF($E1468="","",$P1468+ROW()/10000000),"")</f>
        <v/>
      </c>
    </row>
    <row r="1469" spans="17:17" ht="14.25" customHeight="1" x14ac:dyDescent="0.3">
      <c r="Q1469" s="13" t="str">
        <f>IF(OR(Dashboard!$C$4="All Customers",$E1469=Dashboard!$C$4),IF($E1469="","",$P1469+ROW()/10000000),"")</f>
        <v/>
      </c>
    </row>
    <row r="1470" spans="17:17" ht="14.25" customHeight="1" x14ac:dyDescent="0.3">
      <c r="Q1470" s="13" t="str">
        <f>IF(OR(Dashboard!$C$4="All Customers",$E1470=Dashboard!$C$4),IF($E1470="","",$P1470+ROW()/10000000),"")</f>
        <v/>
      </c>
    </row>
    <row r="1471" spans="17:17" ht="14.25" customHeight="1" x14ac:dyDescent="0.3">
      <c r="Q1471" s="13" t="str">
        <f>IF(OR(Dashboard!$C$4="All Customers",$E1471=Dashboard!$C$4),IF($E1471="","",$P1471+ROW()/10000000),"")</f>
        <v/>
      </c>
    </row>
    <row r="1472" spans="17:17" ht="14.25" customHeight="1" x14ac:dyDescent="0.3">
      <c r="Q1472" s="13" t="str">
        <f>IF(OR(Dashboard!$C$4="All Customers",$E1472=Dashboard!$C$4),IF($E1472="","",$P1472+ROW()/10000000),"")</f>
        <v/>
      </c>
    </row>
    <row r="1473" spans="17:17" ht="14.25" customHeight="1" x14ac:dyDescent="0.3">
      <c r="Q1473" s="13" t="str">
        <f>IF(OR(Dashboard!$C$4="All Customers",$E1473=Dashboard!$C$4),IF($E1473="","",$P1473+ROW()/10000000),"")</f>
        <v/>
      </c>
    </row>
    <row r="1474" spans="17:17" ht="14.25" customHeight="1" x14ac:dyDescent="0.3">
      <c r="Q1474" s="13" t="str">
        <f>IF(OR(Dashboard!$C$4="All Customers",$E1474=Dashboard!$C$4),IF($E1474="","",$P1474+ROW()/10000000),"")</f>
        <v/>
      </c>
    </row>
    <row r="1475" spans="17:17" ht="14.25" customHeight="1" x14ac:dyDescent="0.3">
      <c r="Q1475" s="13" t="str">
        <f>IF(OR(Dashboard!$C$4="All Customers",$E1475=Dashboard!$C$4),IF($E1475="","",$P1475+ROW()/10000000),"")</f>
        <v/>
      </c>
    </row>
    <row r="1476" spans="17:17" ht="14.25" customHeight="1" x14ac:dyDescent="0.3">
      <c r="Q1476" s="13" t="str">
        <f>IF(OR(Dashboard!$C$4="All Customers",$E1476=Dashboard!$C$4),IF($E1476="","",$P1476+ROW()/10000000),"")</f>
        <v/>
      </c>
    </row>
    <row r="1477" spans="17:17" ht="14.25" customHeight="1" x14ac:dyDescent="0.3">
      <c r="Q1477" s="13" t="str">
        <f>IF(OR(Dashboard!$C$4="All Customers",$E1477=Dashboard!$C$4),IF($E1477="","",$P1477+ROW()/10000000),"")</f>
        <v/>
      </c>
    </row>
    <row r="1478" spans="17:17" ht="14.25" customHeight="1" x14ac:dyDescent="0.3">
      <c r="Q1478" s="13" t="str">
        <f>IF(OR(Dashboard!$C$4="All Customers",$E1478=Dashboard!$C$4),IF($E1478="","",$P1478+ROW()/10000000),"")</f>
        <v/>
      </c>
    </row>
    <row r="1479" spans="17:17" ht="14.25" customHeight="1" x14ac:dyDescent="0.3">
      <c r="Q1479" s="13" t="str">
        <f>IF(OR(Dashboard!$C$4="All Customers",$E1479=Dashboard!$C$4),IF($E1479="","",$P1479+ROW()/10000000),"")</f>
        <v/>
      </c>
    </row>
    <row r="1480" spans="17:17" ht="14.25" customHeight="1" x14ac:dyDescent="0.3">
      <c r="Q1480" s="13" t="str">
        <f>IF(OR(Dashboard!$C$4="All Customers",$E1480=Dashboard!$C$4),IF($E1480="","",$P1480+ROW()/10000000),"")</f>
        <v/>
      </c>
    </row>
    <row r="1481" spans="17:17" ht="14.25" customHeight="1" x14ac:dyDescent="0.3">
      <c r="Q1481" s="13" t="str">
        <f>IF(OR(Dashboard!$C$4="All Customers",$E1481=Dashboard!$C$4),IF($E1481="","",$P1481+ROW()/10000000),"")</f>
        <v/>
      </c>
    </row>
    <row r="1482" spans="17:17" ht="14.25" customHeight="1" x14ac:dyDescent="0.3">
      <c r="Q1482" s="13" t="str">
        <f>IF(OR(Dashboard!$C$4="All Customers",$E1482=Dashboard!$C$4),IF($E1482="","",$P1482+ROW()/10000000),"")</f>
        <v/>
      </c>
    </row>
    <row r="1483" spans="17:17" ht="14.25" customHeight="1" x14ac:dyDescent="0.3">
      <c r="Q1483" s="13" t="str">
        <f>IF(OR(Dashboard!$C$4="All Customers",$E1483=Dashboard!$C$4),IF($E1483="","",$P1483+ROW()/10000000),"")</f>
        <v/>
      </c>
    </row>
    <row r="1484" spans="17:17" ht="14.25" customHeight="1" x14ac:dyDescent="0.3">
      <c r="Q1484" s="13" t="str">
        <f>IF(OR(Dashboard!$C$4="All Customers",$E1484=Dashboard!$C$4),IF($E1484="","",$P1484+ROW()/10000000),"")</f>
        <v/>
      </c>
    </row>
    <row r="1485" spans="17:17" ht="14.25" customHeight="1" x14ac:dyDescent="0.3">
      <c r="Q1485" s="13" t="str">
        <f>IF(OR(Dashboard!$C$4="All Customers",$E1485=Dashboard!$C$4),IF($E1485="","",$P1485+ROW()/10000000),"")</f>
        <v/>
      </c>
    </row>
    <row r="1486" spans="17:17" ht="14.25" customHeight="1" x14ac:dyDescent="0.3">
      <c r="Q1486" s="13" t="str">
        <f>IF(OR(Dashboard!$C$4="All Customers",$E1486=Dashboard!$C$4),IF($E1486="","",$P1486+ROW()/10000000),"")</f>
        <v/>
      </c>
    </row>
    <row r="1487" spans="17:17" ht="14.25" customHeight="1" x14ac:dyDescent="0.3">
      <c r="Q1487" s="13" t="str">
        <f>IF(OR(Dashboard!$C$4="All Customers",$E1487=Dashboard!$C$4),IF($E1487="","",$P1487+ROW()/10000000),"")</f>
        <v/>
      </c>
    </row>
    <row r="1488" spans="17:17" ht="14.25" customHeight="1" x14ac:dyDescent="0.3">
      <c r="Q1488" s="13" t="str">
        <f>IF(OR(Dashboard!$C$4="All Customers",$E1488=Dashboard!$C$4),IF($E1488="","",$P1488+ROW()/10000000),"")</f>
        <v/>
      </c>
    </row>
    <row r="1489" spans="17:17" ht="14.25" customHeight="1" x14ac:dyDescent="0.3">
      <c r="Q1489" s="13" t="str">
        <f>IF(OR(Dashboard!$C$4="All Customers",$E1489=Dashboard!$C$4),IF($E1489="","",$P1489+ROW()/10000000),"")</f>
        <v/>
      </c>
    </row>
    <row r="1490" spans="17:17" ht="14.25" customHeight="1" x14ac:dyDescent="0.3">
      <c r="Q1490" s="13" t="str">
        <f>IF(OR(Dashboard!$C$4="All Customers",$E1490=Dashboard!$C$4),IF($E1490="","",$P1490+ROW()/10000000),"")</f>
        <v/>
      </c>
    </row>
    <row r="1491" spans="17:17" ht="14.25" customHeight="1" x14ac:dyDescent="0.3">
      <c r="Q1491" s="13" t="str">
        <f>IF(OR(Dashboard!$C$4="All Customers",$E1491=Dashboard!$C$4),IF($E1491="","",$P1491+ROW()/10000000),"")</f>
        <v/>
      </c>
    </row>
    <row r="1492" spans="17:17" ht="14.25" customHeight="1" x14ac:dyDescent="0.3">
      <c r="Q1492" s="13" t="str">
        <f>IF(OR(Dashboard!$C$4="All Customers",$E1492=Dashboard!$C$4),IF($E1492="","",$P1492+ROW()/10000000),"")</f>
        <v/>
      </c>
    </row>
    <row r="1493" spans="17:17" ht="14.25" customHeight="1" x14ac:dyDescent="0.3">
      <c r="Q1493" s="13" t="str">
        <f>IF(OR(Dashboard!$C$4="All Customers",$E1493=Dashboard!$C$4),IF($E1493="","",$P1493+ROW()/10000000),"")</f>
        <v/>
      </c>
    </row>
    <row r="1494" spans="17:17" ht="14.25" customHeight="1" x14ac:dyDescent="0.3">
      <c r="Q1494" s="13" t="str">
        <f>IF(OR(Dashboard!$C$4="All Customers",$E1494=Dashboard!$C$4),IF($E1494="","",$P1494+ROW()/10000000),"")</f>
        <v/>
      </c>
    </row>
    <row r="1495" spans="17:17" ht="14.25" customHeight="1" x14ac:dyDescent="0.3">
      <c r="Q1495" s="13" t="str">
        <f>IF(OR(Dashboard!$C$4="All Customers",$E1495=Dashboard!$C$4),IF($E1495="","",$P1495+ROW()/10000000),"")</f>
        <v/>
      </c>
    </row>
    <row r="1496" spans="17:17" ht="14.25" customHeight="1" x14ac:dyDescent="0.3">
      <c r="Q1496" s="13" t="str">
        <f>IF(OR(Dashboard!$C$4="All Customers",$E1496=Dashboard!$C$4),IF($E1496="","",$P1496+ROW()/10000000),"")</f>
        <v/>
      </c>
    </row>
    <row r="1497" spans="17:17" ht="14.25" customHeight="1" x14ac:dyDescent="0.3">
      <c r="Q1497" s="13" t="str">
        <f>IF(OR(Dashboard!$C$4="All Customers",$E1497=Dashboard!$C$4),IF($E1497="","",$P1497+ROW()/10000000),"")</f>
        <v/>
      </c>
    </row>
    <row r="1498" spans="17:17" ht="14.25" customHeight="1" x14ac:dyDescent="0.3">
      <c r="Q1498" s="13" t="str">
        <f>IF(OR(Dashboard!$C$4="All Customers",$E1498=Dashboard!$C$4),IF($E1498="","",$P1498+ROW()/10000000),"")</f>
        <v/>
      </c>
    </row>
    <row r="1499" spans="17:17" ht="14.25" customHeight="1" x14ac:dyDescent="0.3">
      <c r="Q1499" s="13" t="str">
        <f>IF(OR(Dashboard!$C$4="All Customers",$E1499=Dashboard!$C$4),IF($E1499="","",$P1499+ROW()/10000000),"")</f>
        <v/>
      </c>
    </row>
    <row r="1500" spans="17:17" ht="14.25" customHeight="1" x14ac:dyDescent="0.3">
      <c r="Q1500" s="13" t="str">
        <f>IF(OR(Dashboard!$C$4="All Customers",$E1500=Dashboard!$C$4),IF($E1500="","",$P1500+ROW()/10000000),"")</f>
        <v/>
      </c>
    </row>
    <row r="1501" spans="17:17" ht="14.25" customHeight="1" x14ac:dyDescent="0.3">
      <c r="Q1501" s="13" t="str">
        <f>IF(OR(Dashboard!$C$4="All Customers",$E1501=Dashboard!$C$4),IF($E1501="","",$P1501+ROW()/10000000),"")</f>
        <v/>
      </c>
    </row>
    <row r="1502" spans="17:17" ht="14.25" customHeight="1" x14ac:dyDescent="0.3">
      <c r="Q1502" s="13" t="str">
        <f>IF(OR(Dashboard!$C$4="All Customers",$E1502=Dashboard!$C$4),IF($E1502="","",$P1502+ROW()/10000000),"")</f>
        <v/>
      </c>
    </row>
    <row r="1503" spans="17:17" ht="14.25" customHeight="1" x14ac:dyDescent="0.3">
      <c r="Q1503" s="13" t="str">
        <f>IF(OR(Dashboard!$C$4="All Customers",$E1503=Dashboard!$C$4),IF($E1503="","",$P1503+ROW()/10000000),"")</f>
        <v/>
      </c>
    </row>
    <row r="1504" spans="17:17" ht="14.25" customHeight="1" x14ac:dyDescent="0.3">
      <c r="Q1504" s="13" t="str">
        <f>IF(OR(Dashboard!$C$4="All Customers",$E1504=Dashboard!$C$4),IF($E1504="","",$P1504+ROW()/10000000),"")</f>
        <v/>
      </c>
    </row>
    <row r="1505" spans="17:17" ht="14.25" customHeight="1" x14ac:dyDescent="0.3">
      <c r="Q1505" s="13" t="str">
        <f>IF(OR(Dashboard!$C$4="All Customers",$E1505=Dashboard!$C$4),IF($E1505="","",$P1505+ROW()/10000000),"")</f>
        <v/>
      </c>
    </row>
    <row r="1506" spans="17:17" ht="14.25" customHeight="1" x14ac:dyDescent="0.3">
      <c r="Q1506" s="13" t="str">
        <f>IF(OR(Dashboard!$C$4="All Customers",$E1506=Dashboard!$C$4),IF($E1506="","",$P1506+ROW()/10000000),"")</f>
        <v/>
      </c>
    </row>
    <row r="1507" spans="17:17" ht="14.25" customHeight="1" x14ac:dyDescent="0.3">
      <c r="Q1507" s="13" t="str">
        <f>IF(OR(Dashboard!$C$4="All Customers",$E1507=Dashboard!$C$4),IF($E1507="","",$P1507+ROW()/10000000),"")</f>
        <v/>
      </c>
    </row>
    <row r="1508" spans="17:17" ht="14.25" customHeight="1" x14ac:dyDescent="0.3">
      <c r="Q1508" s="13" t="str">
        <f>IF(OR(Dashboard!$C$4="All Customers",$E1508=Dashboard!$C$4),IF($E1508="","",$P1508+ROW()/10000000),"")</f>
        <v/>
      </c>
    </row>
    <row r="1509" spans="17:17" ht="14.25" customHeight="1" x14ac:dyDescent="0.3">
      <c r="Q1509" s="13" t="str">
        <f>IF(OR(Dashboard!$C$4="All Customers",$E1509=Dashboard!$C$4),IF($E1509="","",$P1509+ROW()/10000000),"")</f>
        <v/>
      </c>
    </row>
    <row r="1510" spans="17:17" ht="14.25" customHeight="1" x14ac:dyDescent="0.3">
      <c r="Q1510" s="13" t="str">
        <f>IF(OR(Dashboard!$C$4="All Customers",$E1510=Dashboard!$C$4),IF($E1510="","",$P1510+ROW()/10000000),"")</f>
        <v/>
      </c>
    </row>
    <row r="1511" spans="17:17" ht="14.25" customHeight="1" x14ac:dyDescent="0.3">
      <c r="Q1511" s="13" t="str">
        <f>IF(OR(Dashboard!$C$4="All Customers",$E1511=Dashboard!$C$4),IF($E1511="","",$P1511+ROW()/10000000),"")</f>
        <v/>
      </c>
    </row>
    <row r="1512" spans="17:17" ht="14.25" customHeight="1" x14ac:dyDescent="0.3">
      <c r="Q1512" s="13" t="str">
        <f>IF(OR(Dashboard!$C$4="All Customers",$E1512=Dashboard!$C$4),IF($E1512="","",$P1512+ROW()/10000000),"")</f>
        <v/>
      </c>
    </row>
    <row r="1513" spans="17:17" ht="14.25" customHeight="1" x14ac:dyDescent="0.3">
      <c r="Q1513" s="13" t="str">
        <f>IF(OR(Dashboard!$C$4="All Customers",$E1513=Dashboard!$C$4),IF($E1513="","",$P1513+ROW()/10000000),"")</f>
        <v/>
      </c>
    </row>
    <row r="1514" spans="17:17" ht="14.25" customHeight="1" x14ac:dyDescent="0.3">
      <c r="Q1514" s="13" t="str">
        <f>IF(OR(Dashboard!$C$4="All Customers",$E1514=Dashboard!$C$4),IF($E1514="","",$P1514+ROW()/10000000),"")</f>
        <v/>
      </c>
    </row>
    <row r="1515" spans="17:17" ht="14.25" customHeight="1" x14ac:dyDescent="0.3">
      <c r="Q1515" s="13" t="str">
        <f>IF(OR(Dashboard!$C$4="All Customers",$E1515=Dashboard!$C$4),IF($E1515="","",$P1515+ROW()/10000000),"")</f>
        <v/>
      </c>
    </row>
    <row r="1516" spans="17:17" ht="14.25" customHeight="1" x14ac:dyDescent="0.3">
      <c r="Q1516" s="13" t="str">
        <f>IF(OR(Dashboard!$C$4="All Customers",$E1516=Dashboard!$C$4),IF($E1516="","",$P1516+ROW()/10000000),"")</f>
        <v/>
      </c>
    </row>
    <row r="1517" spans="17:17" ht="14.25" customHeight="1" x14ac:dyDescent="0.3">
      <c r="Q1517" s="13" t="str">
        <f>IF(OR(Dashboard!$C$4="All Customers",$E1517=Dashboard!$C$4),IF($E1517="","",$P1517+ROW()/10000000),"")</f>
        <v/>
      </c>
    </row>
    <row r="1518" spans="17:17" ht="14.25" customHeight="1" x14ac:dyDescent="0.3">
      <c r="Q1518" s="13" t="str">
        <f>IF(OR(Dashboard!$C$4="All Customers",$E1518=Dashboard!$C$4),IF($E1518="","",$P1518+ROW()/10000000),"")</f>
        <v/>
      </c>
    </row>
    <row r="1519" spans="17:17" ht="14.25" customHeight="1" x14ac:dyDescent="0.3">
      <c r="Q1519" s="13" t="str">
        <f>IF(OR(Dashboard!$C$4="All Customers",$E1519=Dashboard!$C$4),IF($E1519="","",$P1519+ROW()/10000000),"")</f>
        <v/>
      </c>
    </row>
    <row r="1520" spans="17:17" ht="14.25" customHeight="1" x14ac:dyDescent="0.3">
      <c r="Q1520" s="13" t="str">
        <f>IF(OR(Dashboard!$C$4="All Customers",$E1520=Dashboard!$C$4),IF($E1520="","",$P1520+ROW()/10000000),"")</f>
        <v/>
      </c>
    </row>
    <row r="1521" spans="17:17" ht="14.25" customHeight="1" x14ac:dyDescent="0.3">
      <c r="Q1521" s="13" t="str">
        <f>IF(OR(Dashboard!$C$4="All Customers",$E1521=Dashboard!$C$4),IF($E1521="","",$P1521+ROW()/10000000),"")</f>
        <v/>
      </c>
    </row>
    <row r="1522" spans="17:17" ht="14.25" customHeight="1" x14ac:dyDescent="0.3">
      <c r="Q1522" s="13" t="str">
        <f>IF(OR(Dashboard!$C$4="All Customers",$E1522=Dashboard!$C$4),IF($E1522="","",$P1522+ROW()/10000000),"")</f>
        <v/>
      </c>
    </row>
    <row r="1523" spans="17:17" ht="14.25" customHeight="1" x14ac:dyDescent="0.3">
      <c r="Q1523" s="13" t="str">
        <f>IF(OR(Dashboard!$C$4="All Customers",$E1523=Dashboard!$C$4),IF($E1523="","",$P1523+ROW()/10000000),"")</f>
        <v/>
      </c>
    </row>
    <row r="1524" spans="17:17" ht="14.25" customHeight="1" x14ac:dyDescent="0.3">
      <c r="Q1524" s="13" t="str">
        <f>IF(OR(Dashboard!$C$4="All Customers",$E1524=Dashboard!$C$4),IF($E1524="","",$P1524+ROW()/10000000),"")</f>
        <v/>
      </c>
    </row>
    <row r="1525" spans="17:17" ht="14.25" customHeight="1" x14ac:dyDescent="0.3">
      <c r="Q1525" s="13" t="str">
        <f>IF(OR(Dashboard!$C$4="All Customers",$E1525=Dashboard!$C$4),IF($E1525="","",$P1525+ROW()/10000000),"")</f>
        <v/>
      </c>
    </row>
    <row r="1526" spans="17:17" ht="14.25" customHeight="1" x14ac:dyDescent="0.3">
      <c r="Q1526" s="13" t="str">
        <f>IF(OR(Dashboard!$C$4="All Customers",$E1526=Dashboard!$C$4),IF($E1526="","",$P1526+ROW()/10000000),"")</f>
        <v/>
      </c>
    </row>
    <row r="1527" spans="17:17" ht="14.25" customHeight="1" x14ac:dyDescent="0.3">
      <c r="Q1527" s="13" t="str">
        <f>IF(OR(Dashboard!$C$4="All Customers",$E1527=Dashboard!$C$4),IF($E1527="","",$P1527+ROW()/10000000),"")</f>
        <v/>
      </c>
    </row>
    <row r="1528" spans="17:17" ht="14.25" customHeight="1" x14ac:dyDescent="0.3">
      <c r="Q1528" s="13" t="str">
        <f>IF(OR(Dashboard!$C$4="All Customers",$E1528=Dashboard!$C$4),IF($E1528="","",$P1528+ROW()/10000000),"")</f>
        <v/>
      </c>
    </row>
    <row r="1529" spans="17:17" ht="14.25" customHeight="1" x14ac:dyDescent="0.3">
      <c r="Q1529" s="13" t="str">
        <f>IF(OR(Dashboard!$C$4="All Customers",$E1529=Dashboard!$C$4),IF($E1529="","",$P1529+ROW()/10000000),"")</f>
        <v/>
      </c>
    </row>
    <row r="1530" spans="17:17" ht="14.25" customHeight="1" x14ac:dyDescent="0.3">
      <c r="Q1530" s="13" t="str">
        <f>IF(OR(Dashboard!$C$4="All Customers",$E1530=Dashboard!$C$4),IF($E1530="","",$P1530+ROW()/10000000),"")</f>
        <v/>
      </c>
    </row>
    <row r="1531" spans="17:17" ht="14.25" customHeight="1" x14ac:dyDescent="0.3">
      <c r="Q1531" s="13" t="str">
        <f>IF(OR(Dashboard!$C$4="All Customers",$E1531=Dashboard!$C$4),IF($E1531="","",$P1531+ROW()/10000000),"")</f>
        <v/>
      </c>
    </row>
    <row r="1532" spans="17:17" ht="14.25" customHeight="1" x14ac:dyDescent="0.3">
      <c r="Q1532" s="13" t="str">
        <f>IF(OR(Dashboard!$C$4="All Customers",$E1532=Dashboard!$C$4),IF($E1532="","",$P1532+ROW()/10000000),"")</f>
        <v/>
      </c>
    </row>
    <row r="1533" spans="17:17" ht="14.25" customHeight="1" x14ac:dyDescent="0.3">
      <c r="Q1533" s="13" t="str">
        <f>IF(OR(Dashboard!$C$4="All Customers",$E1533=Dashboard!$C$4),IF($E1533="","",$P1533+ROW()/10000000),"")</f>
        <v/>
      </c>
    </row>
    <row r="1534" spans="17:17" ht="14.25" customHeight="1" x14ac:dyDescent="0.3">
      <c r="Q1534" s="13" t="str">
        <f>IF(OR(Dashboard!$C$4="All Customers",$E1534=Dashboard!$C$4),IF($E1534="","",$P1534+ROW()/10000000),"")</f>
        <v/>
      </c>
    </row>
    <row r="1535" spans="17:17" ht="14.25" customHeight="1" x14ac:dyDescent="0.3">
      <c r="Q1535" s="13" t="str">
        <f>IF(OR(Dashboard!$C$4="All Customers",$E1535=Dashboard!$C$4),IF($E1535="","",$P1535+ROW()/10000000),"")</f>
        <v/>
      </c>
    </row>
    <row r="1536" spans="17:17" ht="14.25" customHeight="1" x14ac:dyDescent="0.3">
      <c r="Q1536" s="13" t="str">
        <f>IF(OR(Dashboard!$C$4="All Customers",$E1536=Dashboard!$C$4),IF($E1536="","",$P1536+ROW()/10000000),"")</f>
        <v/>
      </c>
    </row>
    <row r="1537" spans="17:17" ht="14.25" customHeight="1" x14ac:dyDescent="0.3">
      <c r="Q1537" s="13" t="str">
        <f>IF(OR(Dashboard!$C$4="All Customers",$E1537=Dashboard!$C$4),IF($E1537="","",$P1537+ROW()/10000000),"")</f>
        <v/>
      </c>
    </row>
    <row r="1538" spans="17:17" ht="14.25" customHeight="1" x14ac:dyDescent="0.3">
      <c r="Q1538" s="13" t="str">
        <f>IF(OR(Dashboard!$C$4="All Customers",$E1538=Dashboard!$C$4),IF($E1538="","",$P1538+ROW()/10000000),"")</f>
        <v/>
      </c>
    </row>
    <row r="1539" spans="17:17" ht="14.25" customHeight="1" x14ac:dyDescent="0.3">
      <c r="Q1539" s="13" t="str">
        <f>IF(OR(Dashboard!$C$4="All Customers",$E1539=Dashboard!$C$4),IF($E1539="","",$P1539+ROW()/10000000),"")</f>
        <v/>
      </c>
    </row>
    <row r="1540" spans="17:17" ht="14.25" customHeight="1" x14ac:dyDescent="0.3">
      <c r="Q1540" s="13" t="str">
        <f>IF(OR(Dashboard!$C$4="All Customers",$E1540=Dashboard!$C$4),IF($E1540="","",$P1540+ROW()/10000000),"")</f>
        <v/>
      </c>
    </row>
    <row r="1541" spans="17:17" ht="14.25" customHeight="1" x14ac:dyDescent="0.3">
      <c r="Q1541" s="13" t="str">
        <f>IF(OR(Dashboard!$C$4="All Customers",$E1541=Dashboard!$C$4),IF($E1541="","",$P1541+ROW()/10000000),"")</f>
        <v/>
      </c>
    </row>
    <row r="1542" spans="17:17" ht="14.25" customHeight="1" x14ac:dyDescent="0.3">
      <c r="Q1542" s="13" t="str">
        <f>IF(OR(Dashboard!$C$4="All Customers",$E1542=Dashboard!$C$4),IF($E1542="","",$P1542+ROW()/10000000),"")</f>
        <v/>
      </c>
    </row>
    <row r="1543" spans="17:17" ht="14.25" customHeight="1" x14ac:dyDescent="0.3">
      <c r="Q1543" s="13" t="str">
        <f>IF(OR(Dashboard!$C$4="All Customers",$E1543=Dashboard!$C$4),IF($E1543="","",$P1543+ROW()/10000000),"")</f>
        <v/>
      </c>
    </row>
    <row r="1544" spans="17:17" ht="14.25" customHeight="1" x14ac:dyDescent="0.3">
      <c r="Q1544" s="13" t="str">
        <f>IF(OR(Dashboard!$C$4="All Customers",$E1544=Dashboard!$C$4),IF($E1544="","",$P1544+ROW()/10000000),"")</f>
        <v/>
      </c>
    </row>
    <row r="1545" spans="17:17" ht="14.25" customHeight="1" x14ac:dyDescent="0.3">
      <c r="Q1545" s="13" t="str">
        <f>IF(OR(Dashboard!$C$4="All Customers",$E1545=Dashboard!$C$4),IF($E1545="","",$P1545+ROW()/10000000),"")</f>
        <v/>
      </c>
    </row>
    <row r="1546" spans="17:17" ht="14.25" customHeight="1" x14ac:dyDescent="0.3">
      <c r="Q1546" s="13" t="str">
        <f>IF(OR(Dashboard!$C$4="All Customers",$E1546=Dashboard!$C$4),IF($E1546="","",$P1546+ROW()/10000000),"")</f>
        <v/>
      </c>
    </row>
    <row r="1547" spans="17:17" ht="14.25" customHeight="1" x14ac:dyDescent="0.3">
      <c r="Q1547" s="13" t="str">
        <f>IF(OR(Dashboard!$C$4="All Customers",$E1547=Dashboard!$C$4),IF($E1547="","",$P1547+ROW()/10000000),"")</f>
        <v/>
      </c>
    </row>
    <row r="1548" spans="17:17" ht="14.25" customHeight="1" x14ac:dyDescent="0.3">
      <c r="Q1548" s="13" t="str">
        <f>IF(OR(Dashboard!$C$4="All Customers",$E1548=Dashboard!$C$4),IF($E1548="","",$P1548+ROW()/10000000),"")</f>
        <v/>
      </c>
    </row>
    <row r="1549" spans="17:17" ht="14.25" customHeight="1" x14ac:dyDescent="0.3">
      <c r="Q1549" s="13" t="str">
        <f>IF(OR(Dashboard!$C$4="All Customers",$E1549=Dashboard!$C$4),IF($E1549="","",$P1549+ROW()/10000000),"")</f>
        <v/>
      </c>
    </row>
    <row r="1550" spans="17:17" ht="14.25" customHeight="1" x14ac:dyDescent="0.3">
      <c r="Q1550" s="13" t="str">
        <f>IF(OR(Dashboard!$C$4="All Customers",$E1550=Dashboard!$C$4),IF($E1550="","",$P1550+ROW()/10000000),"")</f>
        <v/>
      </c>
    </row>
    <row r="1551" spans="17:17" ht="14.25" customHeight="1" x14ac:dyDescent="0.3">
      <c r="Q1551" s="13" t="str">
        <f>IF(OR(Dashboard!$C$4="All Customers",$E1551=Dashboard!$C$4),IF($E1551="","",$P1551+ROW()/10000000),"")</f>
        <v/>
      </c>
    </row>
    <row r="1552" spans="17:17" ht="14.25" customHeight="1" x14ac:dyDescent="0.3">
      <c r="Q1552" s="13" t="str">
        <f>IF(OR(Dashboard!$C$4="All Customers",$E1552=Dashboard!$C$4),IF($E1552="","",$P1552+ROW()/10000000),"")</f>
        <v/>
      </c>
    </row>
    <row r="1553" spans="17:17" ht="14.25" customHeight="1" x14ac:dyDescent="0.3">
      <c r="Q1553" s="13" t="str">
        <f>IF(OR(Dashboard!$C$4="All Customers",$E1553=Dashboard!$C$4),IF($E1553="","",$P1553+ROW()/10000000),"")</f>
        <v/>
      </c>
    </row>
    <row r="1554" spans="17:17" ht="14.25" customHeight="1" x14ac:dyDescent="0.3">
      <c r="Q1554" s="13" t="str">
        <f>IF(OR(Dashboard!$C$4="All Customers",$E1554=Dashboard!$C$4),IF($E1554="","",$P1554+ROW()/10000000),"")</f>
        <v/>
      </c>
    </row>
    <row r="1555" spans="17:17" ht="14.25" customHeight="1" x14ac:dyDescent="0.3">
      <c r="Q1555" s="13" t="str">
        <f>IF(OR(Dashboard!$C$4="All Customers",$E1555=Dashboard!$C$4),IF($E1555="","",$P1555+ROW()/10000000),"")</f>
        <v/>
      </c>
    </row>
    <row r="1556" spans="17:17" ht="14.25" customHeight="1" x14ac:dyDescent="0.3">
      <c r="Q1556" s="13" t="str">
        <f>IF(OR(Dashboard!$C$4="All Customers",$E1556=Dashboard!$C$4),IF($E1556="","",$P1556+ROW()/10000000),"")</f>
        <v/>
      </c>
    </row>
    <row r="1557" spans="17:17" ht="14.25" customHeight="1" x14ac:dyDescent="0.3">
      <c r="Q1557" s="13" t="str">
        <f>IF(OR(Dashboard!$C$4="All Customers",$E1557=Dashboard!$C$4),IF($E1557="","",$P1557+ROW()/10000000),"")</f>
        <v/>
      </c>
    </row>
    <row r="1558" spans="17:17" ht="14.25" customHeight="1" x14ac:dyDescent="0.3">
      <c r="Q1558" s="13" t="str">
        <f>IF(OR(Dashboard!$C$4="All Customers",$E1558=Dashboard!$C$4),IF($E1558="","",$P1558+ROW()/10000000),"")</f>
        <v/>
      </c>
    </row>
    <row r="1559" spans="17:17" ht="14.25" customHeight="1" x14ac:dyDescent="0.3">
      <c r="Q1559" s="13" t="str">
        <f>IF(OR(Dashboard!$C$4="All Customers",$E1559=Dashboard!$C$4),IF($E1559="","",$P1559+ROW()/10000000),"")</f>
        <v/>
      </c>
    </row>
    <row r="1560" spans="17:17" ht="14.25" customHeight="1" x14ac:dyDescent="0.3">
      <c r="Q1560" s="13" t="str">
        <f>IF(OR(Dashboard!$C$4="All Customers",$E1560=Dashboard!$C$4),IF($E1560="","",$P1560+ROW()/10000000),"")</f>
        <v/>
      </c>
    </row>
    <row r="1561" spans="17:17" ht="14.25" customHeight="1" x14ac:dyDescent="0.3">
      <c r="Q1561" s="13" t="str">
        <f>IF(OR(Dashboard!$C$4="All Customers",$E1561=Dashboard!$C$4),IF($E1561="","",$P1561+ROW()/10000000),"")</f>
        <v/>
      </c>
    </row>
    <row r="1562" spans="17:17" ht="14.25" customHeight="1" x14ac:dyDescent="0.3">
      <c r="Q1562" s="13" t="str">
        <f>IF(OR(Dashboard!$C$4="All Customers",$E1562=Dashboard!$C$4),IF($E1562="","",$P1562+ROW()/10000000),"")</f>
        <v/>
      </c>
    </row>
    <row r="1563" spans="17:17" ht="14.25" customHeight="1" x14ac:dyDescent="0.3">
      <c r="Q1563" s="13" t="str">
        <f>IF(OR(Dashboard!$C$4="All Customers",$E1563=Dashboard!$C$4),IF($E1563="","",$P1563+ROW()/10000000),"")</f>
        <v/>
      </c>
    </row>
    <row r="1564" spans="17:17" ht="14.25" customHeight="1" x14ac:dyDescent="0.3">
      <c r="Q1564" s="13" t="str">
        <f>IF(OR(Dashboard!$C$4="All Customers",$E1564=Dashboard!$C$4),IF($E1564="","",$P1564+ROW()/10000000),"")</f>
        <v/>
      </c>
    </row>
    <row r="1565" spans="17:17" ht="14.25" customHeight="1" x14ac:dyDescent="0.3">
      <c r="Q1565" s="13" t="str">
        <f>IF(OR(Dashboard!$C$4="All Customers",$E1565=Dashboard!$C$4),IF($E1565="","",$P1565+ROW()/10000000),"")</f>
        <v/>
      </c>
    </row>
    <row r="1566" spans="17:17" ht="14.25" customHeight="1" x14ac:dyDescent="0.3">
      <c r="Q1566" s="13" t="str">
        <f>IF(OR(Dashboard!$C$4="All Customers",$E1566=Dashboard!$C$4),IF($E1566="","",$P1566+ROW()/10000000),"")</f>
        <v/>
      </c>
    </row>
    <row r="1567" spans="17:17" ht="14.25" customHeight="1" x14ac:dyDescent="0.3">
      <c r="Q1567" s="13" t="str">
        <f>IF(OR(Dashboard!$C$4="All Customers",$E1567=Dashboard!$C$4),IF($E1567="","",$P1567+ROW()/10000000),"")</f>
        <v/>
      </c>
    </row>
    <row r="1568" spans="17:17" ht="14.25" customHeight="1" x14ac:dyDescent="0.3">
      <c r="Q1568" s="13" t="str">
        <f>IF(OR(Dashboard!$C$4="All Customers",$E1568=Dashboard!$C$4),IF($E1568="","",$P1568+ROW()/10000000),"")</f>
        <v/>
      </c>
    </row>
    <row r="1569" spans="17:17" ht="14.25" customHeight="1" x14ac:dyDescent="0.3">
      <c r="Q1569" s="13" t="str">
        <f>IF(OR(Dashboard!$C$4="All Customers",$E1569=Dashboard!$C$4),IF($E1569="","",$P1569+ROW()/10000000),"")</f>
        <v/>
      </c>
    </row>
    <row r="1570" spans="17:17" ht="14.25" customHeight="1" x14ac:dyDescent="0.3">
      <c r="Q1570" s="13" t="str">
        <f>IF(OR(Dashboard!$C$4="All Customers",$E1570=Dashboard!$C$4),IF($E1570="","",$P1570+ROW()/10000000),"")</f>
        <v/>
      </c>
    </row>
    <row r="1571" spans="17:17" ht="14.25" customHeight="1" x14ac:dyDescent="0.3">
      <c r="Q1571" s="13" t="str">
        <f>IF(OR(Dashboard!$C$4="All Customers",$E1571=Dashboard!$C$4),IF($E1571="","",$P1571+ROW()/10000000),"")</f>
        <v/>
      </c>
    </row>
    <row r="1572" spans="17:17" ht="14.25" customHeight="1" x14ac:dyDescent="0.3">
      <c r="Q1572" s="13" t="str">
        <f>IF(OR(Dashboard!$C$4="All Customers",$E1572=Dashboard!$C$4),IF($E1572="","",$P1572+ROW()/10000000),"")</f>
        <v/>
      </c>
    </row>
    <row r="1573" spans="17:17" ht="14.25" customHeight="1" x14ac:dyDescent="0.3">
      <c r="Q1573" s="13" t="str">
        <f>IF(OR(Dashboard!$C$4="All Customers",$E1573=Dashboard!$C$4),IF($E1573="","",$P1573+ROW()/10000000),"")</f>
        <v/>
      </c>
    </row>
    <row r="1574" spans="17:17" ht="14.25" customHeight="1" x14ac:dyDescent="0.3">
      <c r="Q1574" s="13" t="str">
        <f>IF(OR(Dashboard!$C$4="All Customers",$E1574=Dashboard!$C$4),IF($E1574="","",$P1574+ROW()/10000000),"")</f>
        <v/>
      </c>
    </row>
    <row r="1575" spans="17:17" ht="14.25" customHeight="1" x14ac:dyDescent="0.3">
      <c r="Q1575" s="13" t="str">
        <f>IF(OR(Dashboard!$C$4="All Customers",$E1575=Dashboard!$C$4),IF($E1575="","",$P1575+ROW()/10000000),"")</f>
        <v/>
      </c>
    </row>
    <row r="1576" spans="17:17" ht="14.25" customHeight="1" x14ac:dyDescent="0.3">
      <c r="Q1576" s="13" t="str">
        <f>IF(OR(Dashboard!$C$4="All Customers",$E1576=Dashboard!$C$4),IF($E1576="","",$P1576+ROW()/10000000),"")</f>
        <v/>
      </c>
    </row>
    <row r="1577" spans="17:17" ht="14.25" customHeight="1" x14ac:dyDescent="0.3">
      <c r="Q1577" s="13" t="str">
        <f>IF(OR(Dashboard!$C$4="All Customers",$E1577=Dashboard!$C$4),IF($E1577="","",$P1577+ROW()/10000000),"")</f>
        <v/>
      </c>
    </row>
    <row r="1578" spans="17:17" ht="14.25" customHeight="1" x14ac:dyDescent="0.3">
      <c r="Q1578" s="13" t="str">
        <f>IF(OR(Dashboard!$C$4="All Customers",$E1578=Dashboard!$C$4),IF($E1578="","",$P1578+ROW()/10000000),"")</f>
        <v/>
      </c>
    </row>
    <row r="1579" spans="17:17" ht="14.25" customHeight="1" x14ac:dyDescent="0.3">
      <c r="Q1579" s="13" t="str">
        <f>IF(OR(Dashboard!$C$4="All Customers",$E1579=Dashboard!$C$4),IF($E1579="","",$P1579+ROW()/10000000),"")</f>
        <v/>
      </c>
    </row>
    <row r="1580" spans="17:17" ht="14.25" customHeight="1" x14ac:dyDescent="0.3">
      <c r="Q1580" s="13" t="str">
        <f>IF(OR(Dashboard!$C$4="All Customers",$E1580=Dashboard!$C$4),IF($E1580="","",$P1580+ROW()/10000000),"")</f>
        <v/>
      </c>
    </row>
    <row r="1581" spans="17:17" ht="14.25" customHeight="1" x14ac:dyDescent="0.3">
      <c r="Q1581" s="13" t="str">
        <f>IF(OR(Dashboard!$C$4="All Customers",$E1581=Dashboard!$C$4),IF($E1581="","",$P1581+ROW()/10000000),"")</f>
        <v/>
      </c>
    </row>
    <row r="1582" spans="17:17" ht="14.25" customHeight="1" x14ac:dyDescent="0.3">
      <c r="Q1582" s="13" t="str">
        <f>IF(OR(Dashboard!$C$4="All Customers",$E1582=Dashboard!$C$4),IF($E1582="","",$P1582+ROW()/10000000),"")</f>
        <v/>
      </c>
    </row>
    <row r="1583" spans="17:17" ht="14.25" customHeight="1" x14ac:dyDescent="0.3">
      <c r="Q1583" s="13" t="str">
        <f>IF(OR(Dashboard!$C$4="All Customers",$E1583=Dashboard!$C$4),IF($E1583="","",$P1583+ROW()/10000000),"")</f>
        <v/>
      </c>
    </row>
    <row r="1584" spans="17:17" ht="14.25" customHeight="1" x14ac:dyDescent="0.3">
      <c r="Q1584" s="13" t="str">
        <f>IF(OR(Dashboard!$C$4="All Customers",$E1584=Dashboard!$C$4),IF($E1584="","",$P1584+ROW()/10000000),"")</f>
        <v/>
      </c>
    </row>
    <row r="1585" spans="17:17" ht="14.25" customHeight="1" x14ac:dyDescent="0.3">
      <c r="Q1585" s="13" t="str">
        <f>IF(OR(Dashboard!$C$4="All Customers",$E1585=Dashboard!$C$4),IF($E1585="","",$P1585+ROW()/10000000),"")</f>
        <v/>
      </c>
    </row>
    <row r="1586" spans="17:17" ht="14.25" customHeight="1" x14ac:dyDescent="0.3">
      <c r="Q1586" s="13" t="str">
        <f>IF(OR(Dashboard!$C$4="All Customers",$E1586=Dashboard!$C$4),IF($E1586="","",$P1586+ROW()/10000000),"")</f>
        <v/>
      </c>
    </row>
    <row r="1587" spans="17:17" ht="14.25" customHeight="1" x14ac:dyDescent="0.3">
      <c r="Q1587" s="13" t="str">
        <f>IF(OR(Dashboard!$C$4="All Customers",$E1587=Dashboard!$C$4),IF($E1587="","",$P1587+ROW()/10000000),"")</f>
        <v/>
      </c>
    </row>
    <row r="1588" spans="17:17" ht="14.25" customHeight="1" x14ac:dyDescent="0.3">
      <c r="Q1588" s="13" t="str">
        <f>IF(OR(Dashboard!$C$4="All Customers",$E1588=Dashboard!$C$4),IF($E1588="","",$P1588+ROW()/10000000),"")</f>
        <v/>
      </c>
    </row>
    <row r="1589" spans="17:17" ht="14.25" customHeight="1" x14ac:dyDescent="0.3">
      <c r="Q1589" s="13" t="str">
        <f>IF(OR(Dashboard!$C$4="All Customers",$E1589=Dashboard!$C$4),IF($E1589="","",$P1589+ROW()/10000000),"")</f>
        <v/>
      </c>
    </row>
    <row r="1590" spans="17:17" ht="14.25" customHeight="1" x14ac:dyDescent="0.3">
      <c r="Q1590" s="13" t="str">
        <f>IF(OR(Dashboard!$C$4="All Customers",$E1590=Dashboard!$C$4),IF($E1590="","",$P1590+ROW()/10000000),"")</f>
        <v/>
      </c>
    </row>
    <row r="1591" spans="17:17" ht="14.25" customHeight="1" x14ac:dyDescent="0.3">
      <c r="Q1591" s="13" t="str">
        <f>IF(OR(Dashboard!$C$4="All Customers",$E1591=Dashboard!$C$4),IF($E1591="","",$P1591+ROW()/10000000),"")</f>
        <v/>
      </c>
    </row>
    <row r="1592" spans="17:17" ht="14.25" customHeight="1" x14ac:dyDescent="0.3">
      <c r="Q1592" s="13" t="str">
        <f>IF(OR(Dashboard!$C$4="All Customers",$E1592=Dashboard!$C$4),IF($E1592="","",$P1592+ROW()/10000000),"")</f>
        <v/>
      </c>
    </row>
    <row r="1593" spans="17:17" ht="14.25" customHeight="1" x14ac:dyDescent="0.3">
      <c r="Q1593" s="13" t="str">
        <f>IF(OR(Dashboard!$C$4="All Customers",$E1593=Dashboard!$C$4),IF($E1593="","",$P1593+ROW()/10000000),"")</f>
        <v/>
      </c>
    </row>
    <row r="1594" spans="17:17" ht="14.25" customHeight="1" x14ac:dyDescent="0.3">
      <c r="Q1594" s="13" t="str">
        <f>IF(OR(Dashboard!$C$4="All Customers",$E1594=Dashboard!$C$4),IF($E1594="","",$P1594+ROW()/10000000),"")</f>
        <v/>
      </c>
    </row>
    <row r="1595" spans="17:17" ht="14.25" customHeight="1" x14ac:dyDescent="0.3">
      <c r="Q1595" s="13" t="str">
        <f>IF(OR(Dashboard!$C$4="All Customers",$E1595=Dashboard!$C$4),IF($E1595="","",$P1595+ROW()/10000000),"")</f>
        <v/>
      </c>
    </row>
    <row r="1596" spans="17:17" ht="14.25" customHeight="1" x14ac:dyDescent="0.3">
      <c r="Q1596" s="13" t="str">
        <f>IF(OR(Dashboard!$C$4="All Customers",$E1596=Dashboard!$C$4),IF($E1596="","",$P1596+ROW()/10000000),"")</f>
        <v/>
      </c>
    </row>
    <row r="1597" spans="17:17" ht="14.25" customHeight="1" x14ac:dyDescent="0.3">
      <c r="Q1597" s="13" t="str">
        <f>IF(OR(Dashboard!$C$4="All Customers",$E1597=Dashboard!$C$4),IF($E1597="","",$P1597+ROW()/10000000),"")</f>
        <v/>
      </c>
    </row>
    <row r="1598" spans="17:17" ht="14.25" customHeight="1" x14ac:dyDescent="0.3">
      <c r="Q1598" s="13" t="str">
        <f>IF(OR(Dashboard!$C$4="All Customers",$E1598=Dashboard!$C$4),IF($E1598="","",$P1598+ROW()/10000000),"")</f>
        <v/>
      </c>
    </row>
    <row r="1599" spans="17:17" ht="14.25" customHeight="1" x14ac:dyDescent="0.3">
      <c r="Q1599" s="13" t="str">
        <f>IF(OR(Dashboard!$C$4="All Customers",$E1599=Dashboard!$C$4),IF($E1599="","",$P1599+ROW()/10000000),"")</f>
        <v/>
      </c>
    </row>
    <row r="1600" spans="17:17" ht="14.25" customHeight="1" x14ac:dyDescent="0.3">
      <c r="Q1600" s="13" t="str">
        <f>IF(OR(Dashboard!$C$4="All Customers",$E1600=Dashboard!$C$4),IF($E1600="","",$P1600+ROW()/10000000),"")</f>
        <v/>
      </c>
    </row>
    <row r="1601" spans="17:17" ht="14.25" customHeight="1" x14ac:dyDescent="0.3">
      <c r="Q1601" s="13" t="str">
        <f>IF(OR(Dashboard!$C$4="All Customers",$E1601=Dashboard!$C$4),IF($E1601="","",$P1601+ROW()/10000000),"")</f>
        <v/>
      </c>
    </row>
    <row r="1602" spans="17:17" ht="14.25" customHeight="1" x14ac:dyDescent="0.3">
      <c r="Q1602" s="13" t="str">
        <f>IF(OR(Dashboard!$C$4="All Customers",$E1602=Dashboard!$C$4),IF($E1602="","",$P1602+ROW()/10000000),"")</f>
        <v/>
      </c>
    </row>
    <row r="1603" spans="17:17" ht="14.25" customHeight="1" x14ac:dyDescent="0.3">
      <c r="Q1603" s="13" t="str">
        <f>IF(OR(Dashboard!$C$4="All Customers",$E1603=Dashboard!$C$4),IF($E1603="","",$P1603+ROW()/10000000),"")</f>
        <v/>
      </c>
    </row>
    <row r="1604" spans="17:17" ht="14.25" customHeight="1" x14ac:dyDescent="0.3">
      <c r="Q1604" s="13" t="str">
        <f>IF(OR(Dashboard!$C$4="All Customers",$E1604=Dashboard!$C$4),IF($E1604="","",$P1604+ROW()/10000000),"")</f>
        <v/>
      </c>
    </row>
    <row r="1605" spans="17:17" ht="14.25" customHeight="1" x14ac:dyDescent="0.3">
      <c r="Q1605" s="13" t="str">
        <f>IF(OR(Dashboard!$C$4="All Customers",$E1605=Dashboard!$C$4),IF($E1605="","",$P1605+ROW()/10000000),"")</f>
        <v/>
      </c>
    </row>
    <row r="1606" spans="17:17" ht="14.25" customHeight="1" x14ac:dyDescent="0.3">
      <c r="Q1606" s="13" t="str">
        <f>IF(OR(Dashboard!$C$4="All Customers",$E1606=Dashboard!$C$4),IF($E1606="","",$P1606+ROW()/10000000),"")</f>
        <v/>
      </c>
    </row>
    <row r="1607" spans="17:17" ht="14.25" customHeight="1" x14ac:dyDescent="0.3">
      <c r="Q1607" s="13" t="str">
        <f>IF(OR(Dashboard!$C$4="All Customers",$E1607=Dashboard!$C$4),IF($E1607="","",$P1607+ROW()/10000000),"")</f>
        <v/>
      </c>
    </row>
    <row r="1608" spans="17:17" ht="14.25" customHeight="1" x14ac:dyDescent="0.3">
      <c r="Q1608" s="13" t="str">
        <f>IF(OR(Dashboard!$C$4="All Customers",$E1608=Dashboard!$C$4),IF($E1608="","",$P1608+ROW()/10000000),"")</f>
        <v/>
      </c>
    </row>
    <row r="1609" spans="17:17" ht="14.25" customHeight="1" x14ac:dyDescent="0.3">
      <c r="Q1609" s="13" t="str">
        <f>IF(OR(Dashboard!$C$4="All Customers",$E1609=Dashboard!$C$4),IF($E1609="","",$P1609+ROW()/10000000),"")</f>
        <v/>
      </c>
    </row>
    <row r="1610" spans="17:17" ht="14.25" customHeight="1" x14ac:dyDescent="0.3">
      <c r="Q1610" s="13" t="str">
        <f>IF(OR(Dashboard!$C$4="All Customers",$E1610=Dashboard!$C$4),IF($E1610="","",$P1610+ROW()/10000000),"")</f>
        <v/>
      </c>
    </row>
    <row r="1611" spans="17:17" ht="14.25" customHeight="1" x14ac:dyDescent="0.3">
      <c r="Q1611" s="13" t="str">
        <f>IF(OR(Dashboard!$C$4="All Customers",$E1611=Dashboard!$C$4),IF($E1611="","",$P1611+ROW()/10000000),"")</f>
        <v/>
      </c>
    </row>
    <row r="1612" spans="17:17" ht="14.25" customHeight="1" x14ac:dyDescent="0.3">
      <c r="Q1612" s="13" t="str">
        <f>IF(OR(Dashboard!$C$4="All Customers",$E1612=Dashboard!$C$4),IF($E1612="","",$P1612+ROW()/10000000),"")</f>
        <v/>
      </c>
    </row>
    <row r="1613" spans="17:17" ht="14.25" customHeight="1" x14ac:dyDescent="0.3">
      <c r="Q1613" s="13" t="str">
        <f>IF(OR(Dashboard!$C$4="All Customers",$E1613=Dashboard!$C$4),IF($E1613="","",$P1613+ROW()/10000000),"")</f>
        <v/>
      </c>
    </row>
    <row r="1614" spans="17:17" ht="14.25" customHeight="1" x14ac:dyDescent="0.3">
      <c r="Q1614" s="13" t="str">
        <f>IF(OR(Dashboard!$C$4="All Customers",$E1614=Dashboard!$C$4),IF($E1614="","",$P1614+ROW()/10000000),"")</f>
        <v/>
      </c>
    </row>
    <row r="1615" spans="17:17" ht="14.25" customHeight="1" x14ac:dyDescent="0.3">
      <c r="Q1615" s="13" t="str">
        <f>IF(OR(Dashboard!$C$4="All Customers",$E1615=Dashboard!$C$4),IF($E1615="","",$P1615+ROW()/10000000),"")</f>
        <v/>
      </c>
    </row>
    <row r="1616" spans="17:17" ht="14.25" customHeight="1" x14ac:dyDescent="0.3">
      <c r="Q1616" s="13" t="str">
        <f>IF(OR(Dashboard!$C$4="All Customers",$E1616=Dashboard!$C$4),IF($E1616="","",$P1616+ROW()/10000000),"")</f>
        <v/>
      </c>
    </row>
    <row r="1617" spans="17:17" ht="14.25" customHeight="1" x14ac:dyDescent="0.3">
      <c r="Q1617" s="13" t="str">
        <f>IF(OR(Dashboard!$C$4="All Customers",$E1617=Dashboard!$C$4),IF($E1617="","",$P1617+ROW()/10000000),"")</f>
        <v/>
      </c>
    </row>
    <row r="1618" spans="17:17" ht="14.25" customHeight="1" x14ac:dyDescent="0.3">
      <c r="Q1618" s="13" t="str">
        <f>IF(OR(Dashboard!$C$4="All Customers",$E1618=Dashboard!$C$4),IF($E1618="","",$P1618+ROW()/10000000),"")</f>
        <v/>
      </c>
    </row>
    <row r="1619" spans="17:17" ht="14.25" customHeight="1" x14ac:dyDescent="0.3">
      <c r="Q1619" s="13" t="str">
        <f>IF(OR(Dashboard!$C$4="All Customers",$E1619=Dashboard!$C$4),IF($E1619="","",$P1619+ROW()/10000000),"")</f>
        <v/>
      </c>
    </row>
    <row r="1620" spans="17:17" ht="14.25" customHeight="1" x14ac:dyDescent="0.3">
      <c r="Q1620" s="13" t="str">
        <f>IF(OR(Dashboard!$C$4="All Customers",$E1620=Dashboard!$C$4),IF($E1620="","",$P1620+ROW()/10000000),"")</f>
        <v/>
      </c>
    </row>
    <row r="1621" spans="17:17" ht="14.25" customHeight="1" x14ac:dyDescent="0.3">
      <c r="Q1621" s="13" t="str">
        <f>IF(OR(Dashboard!$C$4="All Customers",$E1621=Dashboard!$C$4),IF($E1621="","",$P1621+ROW()/10000000),"")</f>
        <v/>
      </c>
    </row>
    <row r="1622" spans="17:17" ht="14.25" customHeight="1" x14ac:dyDescent="0.3">
      <c r="Q1622" s="13" t="str">
        <f>IF(OR(Dashboard!$C$4="All Customers",$E1622=Dashboard!$C$4),IF($E1622="","",$P1622+ROW()/10000000),"")</f>
        <v/>
      </c>
    </row>
    <row r="1623" spans="17:17" ht="14.25" customHeight="1" x14ac:dyDescent="0.3">
      <c r="Q1623" s="13" t="str">
        <f>IF(OR(Dashboard!$C$4="All Customers",$E1623=Dashboard!$C$4),IF($E1623="","",$P1623+ROW()/10000000),"")</f>
        <v/>
      </c>
    </row>
    <row r="1624" spans="17:17" ht="14.25" customHeight="1" x14ac:dyDescent="0.3">
      <c r="Q1624" s="13" t="str">
        <f>IF(OR(Dashboard!$C$4="All Customers",$E1624=Dashboard!$C$4),IF($E1624="","",$P1624+ROW()/10000000),"")</f>
        <v/>
      </c>
    </row>
    <row r="1625" spans="17:17" ht="14.25" customHeight="1" x14ac:dyDescent="0.3">
      <c r="Q1625" s="13" t="str">
        <f>IF(OR(Dashboard!$C$4="All Customers",$E1625=Dashboard!$C$4),IF($E1625="","",$P1625+ROW()/10000000),"")</f>
        <v/>
      </c>
    </row>
    <row r="1626" spans="17:17" ht="14.25" customHeight="1" x14ac:dyDescent="0.3">
      <c r="Q1626" s="13" t="str">
        <f>IF(OR(Dashboard!$C$4="All Customers",$E1626=Dashboard!$C$4),IF($E1626="","",$P1626+ROW()/10000000),"")</f>
        <v/>
      </c>
    </row>
    <row r="1627" spans="17:17" ht="14.25" customHeight="1" x14ac:dyDescent="0.3">
      <c r="Q1627" s="13" t="str">
        <f>IF(OR(Dashboard!$C$4="All Customers",$E1627=Dashboard!$C$4),IF($E1627="","",$P1627+ROW()/10000000),"")</f>
        <v/>
      </c>
    </row>
    <row r="1628" spans="17:17" ht="14.25" customHeight="1" x14ac:dyDescent="0.3">
      <c r="Q1628" s="13" t="str">
        <f>IF(OR(Dashboard!$C$4="All Customers",$E1628=Dashboard!$C$4),IF($E1628="","",$P1628+ROW()/10000000),"")</f>
        <v/>
      </c>
    </row>
    <row r="1629" spans="17:17" ht="14.25" customHeight="1" x14ac:dyDescent="0.3">
      <c r="Q1629" s="13" t="str">
        <f>IF(OR(Dashboard!$C$4="All Customers",$E1629=Dashboard!$C$4),IF($E1629="","",$P1629+ROW()/10000000),"")</f>
        <v/>
      </c>
    </row>
    <row r="1630" spans="17:17" ht="14.25" customHeight="1" x14ac:dyDescent="0.3">
      <c r="Q1630" s="13" t="str">
        <f>IF(OR(Dashboard!$C$4="All Customers",$E1630=Dashboard!$C$4),IF($E1630="","",$P1630+ROW()/10000000),"")</f>
        <v/>
      </c>
    </row>
    <row r="1631" spans="17:17" ht="14.25" customHeight="1" x14ac:dyDescent="0.3">
      <c r="Q1631" s="13" t="str">
        <f>IF(OR(Dashboard!$C$4="All Customers",$E1631=Dashboard!$C$4),IF($E1631="","",$P1631+ROW()/10000000),"")</f>
        <v/>
      </c>
    </row>
    <row r="1632" spans="17:17" ht="14.25" customHeight="1" x14ac:dyDescent="0.3">
      <c r="Q1632" s="13" t="str">
        <f>IF(OR(Dashboard!$C$4="All Customers",$E1632=Dashboard!$C$4),IF($E1632="","",$P1632+ROW()/10000000),"")</f>
        <v/>
      </c>
    </row>
    <row r="1633" spans="17:17" ht="14.25" customHeight="1" x14ac:dyDescent="0.3">
      <c r="Q1633" s="13" t="str">
        <f>IF(OR(Dashboard!$C$4="All Customers",$E1633=Dashboard!$C$4),IF($E1633="","",$P1633+ROW()/10000000),"")</f>
        <v/>
      </c>
    </row>
    <row r="1634" spans="17:17" ht="14.25" customHeight="1" x14ac:dyDescent="0.3">
      <c r="Q1634" s="13" t="str">
        <f>IF(OR(Dashboard!$C$4="All Customers",$E1634=Dashboard!$C$4),IF($E1634="","",$P1634+ROW()/10000000),"")</f>
        <v/>
      </c>
    </row>
    <row r="1635" spans="17:17" ht="14.25" customHeight="1" x14ac:dyDescent="0.3">
      <c r="Q1635" s="13" t="str">
        <f>IF(OR(Dashboard!$C$4="All Customers",$E1635=Dashboard!$C$4),IF($E1635="","",$P1635+ROW()/10000000),"")</f>
        <v/>
      </c>
    </row>
    <row r="1636" spans="17:17" ht="14.25" customHeight="1" x14ac:dyDescent="0.3">
      <c r="Q1636" s="13" t="str">
        <f>IF(OR(Dashboard!$C$4="All Customers",$E1636=Dashboard!$C$4),IF($E1636="","",$P1636+ROW()/10000000),"")</f>
        <v/>
      </c>
    </row>
    <row r="1637" spans="17:17" ht="14.25" customHeight="1" x14ac:dyDescent="0.3">
      <c r="Q1637" s="13" t="str">
        <f>IF(OR(Dashboard!$C$4="All Customers",$E1637=Dashboard!$C$4),IF($E1637="","",$P1637+ROW()/10000000),"")</f>
        <v/>
      </c>
    </row>
    <row r="1638" spans="17:17" ht="14.25" customHeight="1" x14ac:dyDescent="0.3">
      <c r="Q1638" s="13" t="str">
        <f>IF(OR(Dashboard!$C$4="All Customers",$E1638=Dashboard!$C$4),IF($E1638="","",$P1638+ROW()/10000000),"")</f>
        <v/>
      </c>
    </row>
    <row r="1639" spans="17:17" ht="14.25" customHeight="1" x14ac:dyDescent="0.3">
      <c r="Q1639" s="13" t="str">
        <f>IF(OR(Dashboard!$C$4="All Customers",$E1639=Dashboard!$C$4),IF($E1639="","",$P1639+ROW()/10000000),"")</f>
        <v/>
      </c>
    </row>
    <row r="1640" spans="17:17" ht="14.25" customHeight="1" x14ac:dyDescent="0.3">
      <c r="Q1640" s="13" t="str">
        <f>IF(OR(Dashboard!$C$4="All Customers",$E1640=Dashboard!$C$4),IF($E1640="","",$P1640+ROW()/10000000),"")</f>
        <v/>
      </c>
    </row>
    <row r="1641" spans="17:17" ht="14.25" customHeight="1" x14ac:dyDescent="0.3">
      <c r="Q1641" s="13" t="str">
        <f>IF(OR(Dashboard!$C$4="All Customers",$E1641=Dashboard!$C$4),IF($E1641="","",$P1641+ROW()/10000000),"")</f>
        <v/>
      </c>
    </row>
    <row r="1642" spans="17:17" ht="14.25" customHeight="1" x14ac:dyDescent="0.3">
      <c r="Q1642" s="13" t="str">
        <f>IF(OR(Dashboard!$C$4="All Customers",$E1642=Dashboard!$C$4),IF($E1642="","",$P1642+ROW()/10000000),"")</f>
        <v/>
      </c>
    </row>
    <row r="1643" spans="17:17" ht="14.25" customHeight="1" x14ac:dyDescent="0.3">
      <c r="Q1643" s="13" t="str">
        <f>IF(OR(Dashboard!$C$4="All Customers",$E1643=Dashboard!$C$4),IF($E1643="","",$P1643+ROW()/10000000),"")</f>
        <v/>
      </c>
    </row>
    <row r="1644" spans="17:17" ht="14.25" customHeight="1" x14ac:dyDescent="0.3">
      <c r="Q1644" s="13" t="str">
        <f>IF(OR(Dashboard!$C$4="All Customers",$E1644=Dashboard!$C$4),IF($E1644="","",$P1644+ROW()/10000000),"")</f>
        <v/>
      </c>
    </row>
    <row r="1645" spans="17:17" ht="14.25" customHeight="1" x14ac:dyDescent="0.3">
      <c r="Q1645" s="13" t="str">
        <f>IF(OR(Dashboard!$C$4="All Customers",$E1645=Dashboard!$C$4),IF($E1645="","",$P1645+ROW()/10000000),"")</f>
        <v/>
      </c>
    </row>
    <row r="1646" spans="17:17" ht="14.25" customHeight="1" x14ac:dyDescent="0.3">
      <c r="Q1646" s="13" t="str">
        <f>IF(OR(Dashboard!$C$4="All Customers",$E1646=Dashboard!$C$4),IF($E1646="","",$P1646+ROW()/10000000),"")</f>
        <v/>
      </c>
    </row>
    <row r="1647" spans="17:17" ht="14.25" customHeight="1" x14ac:dyDescent="0.3">
      <c r="Q1647" s="13" t="str">
        <f>IF(OR(Dashboard!$C$4="All Customers",$E1647=Dashboard!$C$4),IF($E1647="","",$P1647+ROW()/10000000),"")</f>
        <v/>
      </c>
    </row>
    <row r="1648" spans="17:17" ht="14.25" customHeight="1" x14ac:dyDescent="0.3">
      <c r="Q1648" s="13" t="str">
        <f>IF(OR(Dashboard!$C$4="All Customers",$E1648=Dashboard!$C$4),IF($E1648="","",$P1648+ROW()/10000000),"")</f>
        <v/>
      </c>
    </row>
    <row r="1649" spans="17:17" ht="14.25" customHeight="1" x14ac:dyDescent="0.3">
      <c r="Q1649" s="13" t="str">
        <f>IF(OR(Dashboard!$C$4="All Customers",$E1649=Dashboard!$C$4),IF($E1649="","",$P1649+ROW()/10000000),"")</f>
        <v/>
      </c>
    </row>
    <row r="1650" spans="17:17" ht="14.25" customHeight="1" x14ac:dyDescent="0.3">
      <c r="Q1650" s="13" t="str">
        <f>IF(OR(Dashboard!$C$4="All Customers",$E1650=Dashboard!$C$4),IF($E1650="","",$P1650+ROW()/10000000),"")</f>
        <v/>
      </c>
    </row>
    <row r="1651" spans="17:17" ht="14.25" customHeight="1" x14ac:dyDescent="0.3">
      <c r="Q1651" s="13" t="str">
        <f>IF(OR(Dashboard!$C$4="All Customers",$E1651=Dashboard!$C$4),IF($E1651="","",$P1651+ROW()/10000000),"")</f>
        <v/>
      </c>
    </row>
    <row r="1652" spans="17:17" ht="14.25" customHeight="1" x14ac:dyDescent="0.3">
      <c r="Q1652" s="13" t="str">
        <f>IF(OR(Dashboard!$C$4="All Customers",$E1652=Dashboard!$C$4),IF($E1652="","",$P1652+ROW()/10000000),"")</f>
        <v/>
      </c>
    </row>
    <row r="1653" spans="17:17" ht="14.25" customHeight="1" x14ac:dyDescent="0.3">
      <c r="Q1653" s="13" t="str">
        <f>IF(OR(Dashboard!$C$4="All Customers",$E1653=Dashboard!$C$4),IF($E1653="","",$P1653+ROW()/10000000),"")</f>
        <v/>
      </c>
    </row>
    <row r="1654" spans="17:17" ht="14.25" customHeight="1" x14ac:dyDescent="0.3">
      <c r="Q1654" s="13" t="str">
        <f>IF(OR(Dashboard!$C$4="All Customers",$E1654=Dashboard!$C$4),IF($E1654="","",$P1654+ROW()/10000000),"")</f>
        <v/>
      </c>
    </row>
    <row r="1655" spans="17:17" ht="14.25" customHeight="1" x14ac:dyDescent="0.3">
      <c r="Q1655" s="13" t="str">
        <f>IF(OR(Dashboard!$C$4="All Customers",$E1655=Dashboard!$C$4),IF($E1655="","",$P1655+ROW()/10000000),"")</f>
        <v/>
      </c>
    </row>
    <row r="1656" spans="17:17" ht="14.25" customHeight="1" x14ac:dyDescent="0.3">
      <c r="Q1656" s="13" t="str">
        <f>IF(OR(Dashboard!$C$4="All Customers",$E1656=Dashboard!$C$4),IF($E1656="","",$P1656+ROW()/10000000),"")</f>
        <v/>
      </c>
    </row>
    <row r="1657" spans="17:17" ht="14.25" customHeight="1" x14ac:dyDescent="0.3">
      <c r="Q1657" s="13" t="str">
        <f>IF(OR(Dashboard!$C$4="All Customers",$E1657=Dashboard!$C$4),IF($E1657="","",$P1657+ROW()/10000000),"")</f>
        <v/>
      </c>
    </row>
    <row r="1658" spans="17:17" ht="14.25" customHeight="1" x14ac:dyDescent="0.3">
      <c r="Q1658" s="13" t="str">
        <f>IF(OR(Dashboard!$C$4="All Customers",$E1658=Dashboard!$C$4),IF($E1658="","",$P1658+ROW()/10000000),"")</f>
        <v/>
      </c>
    </row>
    <row r="1659" spans="17:17" ht="14.25" customHeight="1" x14ac:dyDescent="0.3">
      <c r="Q1659" s="13" t="str">
        <f>IF(OR(Dashboard!$C$4="All Customers",$E1659=Dashboard!$C$4),IF($E1659="","",$P1659+ROW()/10000000),"")</f>
        <v/>
      </c>
    </row>
    <row r="1660" spans="17:17" ht="14.25" customHeight="1" x14ac:dyDescent="0.3">
      <c r="Q1660" s="13" t="str">
        <f>IF(OR(Dashboard!$C$4="All Customers",$E1660=Dashboard!$C$4),IF($E1660="","",$P1660+ROW()/10000000),"")</f>
        <v/>
      </c>
    </row>
    <row r="1661" spans="17:17" ht="14.25" customHeight="1" x14ac:dyDescent="0.3">
      <c r="Q1661" s="13" t="str">
        <f>IF(OR(Dashboard!$C$4="All Customers",$E1661=Dashboard!$C$4),IF($E1661="","",$P1661+ROW()/10000000),"")</f>
        <v/>
      </c>
    </row>
    <row r="1662" spans="17:17" ht="14.25" customHeight="1" x14ac:dyDescent="0.3">
      <c r="Q1662" s="13" t="str">
        <f>IF(OR(Dashboard!$C$4="All Customers",$E1662=Dashboard!$C$4),IF($E1662="","",$P1662+ROW()/10000000),"")</f>
        <v/>
      </c>
    </row>
    <row r="1663" spans="17:17" ht="14.25" customHeight="1" x14ac:dyDescent="0.3">
      <c r="Q1663" s="13" t="str">
        <f>IF(OR(Dashboard!$C$4="All Customers",$E1663=Dashboard!$C$4),IF($E1663="","",$P1663+ROW()/10000000),"")</f>
        <v/>
      </c>
    </row>
    <row r="1664" spans="17:17" ht="14.25" customHeight="1" x14ac:dyDescent="0.3">
      <c r="Q1664" s="13" t="str">
        <f>IF(OR(Dashboard!$C$4="All Customers",$E1664=Dashboard!$C$4),IF($E1664="","",$P1664+ROW()/10000000),"")</f>
        <v/>
      </c>
    </row>
    <row r="1665" spans="17:17" ht="14.25" customHeight="1" x14ac:dyDescent="0.3">
      <c r="Q1665" s="13" t="str">
        <f>IF(OR(Dashboard!$C$4="All Customers",$E1665=Dashboard!$C$4),IF($E1665="","",$P1665+ROW()/10000000),"")</f>
        <v/>
      </c>
    </row>
    <row r="1666" spans="17:17" ht="14.25" customHeight="1" x14ac:dyDescent="0.3">
      <c r="Q1666" s="13" t="str">
        <f>IF(OR(Dashboard!$C$4="All Customers",$E1666=Dashboard!$C$4),IF($E1666="","",$P1666+ROW()/10000000),"")</f>
        <v/>
      </c>
    </row>
    <row r="1667" spans="17:17" ht="14.25" customHeight="1" x14ac:dyDescent="0.3">
      <c r="Q1667" s="13" t="str">
        <f>IF(OR(Dashboard!$C$4="All Customers",$E1667=Dashboard!$C$4),IF($E1667="","",$P1667+ROW()/10000000),"")</f>
        <v/>
      </c>
    </row>
    <row r="1668" spans="17:17" ht="14.25" customHeight="1" x14ac:dyDescent="0.3">
      <c r="Q1668" s="13" t="str">
        <f>IF(OR(Dashboard!$C$4="All Customers",$E1668=Dashboard!$C$4),IF($E1668="","",$P1668+ROW()/10000000),"")</f>
        <v/>
      </c>
    </row>
    <row r="1669" spans="17:17" ht="14.25" customHeight="1" x14ac:dyDescent="0.3">
      <c r="Q1669" s="13" t="str">
        <f>IF(OR(Dashboard!$C$4="All Customers",$E1669=Dashboard!$C$4),IF($E1669="","",$P1669+ROW()/10000000),"")</f>
        <v/>
      </c>
    </row>
    <row r="1670" spans="17:17" ht="14.25" customHeight="1" x14ac:dyDescent="0.3">
      <c r="Q1670" s="13" t="str">
        <f>IF(OR(Dashboard!$C$4="All Customers",$E1670=Dashboard!$C$4),IF($E1670="","",$P1670+ROW()/10000000),"")</f>
        <v/>
      </c>
    </row>
    <row r="1671" spans="17:17" ht="14.25" customHeight="1" x14ac:dyDescent="0.3">
      <c r="Q1671" s="13" t="str">
        <f>IF(OR(Dashboard!$C$4="All Customers",$E1671=Dashboard!$C$4),IF($E1671="","",$P1671+ROW()/10000000),"")</f>
        <v/>
      </c>
    </row>
    <row r="1672" spans="17:17" ht="14.25" customHeight="1" x14ac:dyDescent="0.3">
      <c r="Q1672" s="13" t="str">
        <f>IF(OR(Dashboard!$C$4="All Customers",$E1672=Dashboard!$C$4),IF($E1672="","",$P1672+ROW()/10000000),"")</f>
        <v/>
      </c>
    </row>
    <row r="1673" spans="17:17" ht="14.25" customHeight="1" x14ac:dyDescent="0.3">
      <c r="Q1673" s="13" t="str">
        <f>IF(OR(Dashboard!$C$4="All Customers",$E1673=Dashboard!$C$4),IF($E1673="","",$P1673+ROW()/10000000),"")</f>
        <v/>
      </c>
    </row>
    <row r="1674" spans="17:17" ht="14.25" customHeight="1" x14ac:dyDescent="0.3">
      <c r="Q1674" s="13" t="str">
        <f>IF(OR(Dashboard!$C$4="All Customers",$E1674=Dashboard!$C$4),IF($E1674="","",$P1674+ROW()/10000000),"")</f>
        <v/>
      </c>
    </row>
    <row r="1675" spans="17:17" ht="14.25" customHeight="1" x14ac:dyDescent="0.3">
      <c r="Q1675" s="13" t="str">
        <f>IF(OR(Dashboard!$C$4="All Customers",$E1675=Dashboard!$C$4),IF($E1675="","",$P1675+ROW()/10000000),"")</f>
        <v/>
      </c>
    </row>
    <row r="1676" spans="17:17" ht="14.25" customHeight="1" x14ac:dyDescent="0.3">
      <c r="Q1676" s="13" t="str">
        <f>IF(OR(Dashboard!$C$4="All Customers",$E1676=Dashboard!$C$4),IF($E1676="","",$P1676+ROW()/10000000),"")</f>
        <v/>
      </c>
    </row>
    <row r="1677" spans="17:17" ht="14.25" customHeight="1" x14ac:dyDescent="0.3">
      <c r="Q1677" s="13" t="str">
        <f>IF(OR(Dashboard!$C$4="All Customers",$E1677=Dashboard!$C$4),IF($E1677="","",$P1677+ROW()/10000000),"")</f>
        <v/>
      </c>
    </row>
    <row r="1678" spans="17:17" ht="14.25" customHeight="1" x14ac:dyDescent="0.3">
      <c r="Q1678" s="13" t="str">
        <f>IF(OR(Dashboard!$C$4="All Customers",$E1678=Dashboard!$C$4),IF($E1678="","",$P1678+ROW()/10000000),"")</f>
        <v/>
      </c>
    </row>
    <row r="1679" spans="17:17" ht="14.25" customHeight="1" x14ac:dyDescent="0.3">
      <c r="Q1679" s="13" t="str">
        <f>IF(OR(Dashboard!$C$4="All Customers",$E1679=Dashboard!$C$4),IF($E1679="","",$P1679+ROW()/10000000),"")</f>
        <v/>
      </c>
    </row>
    <row r="1680" spans="17:17" ht="14.25" customHeight="1" x14ac:dyDescent="0.3">
      <c r="Q1680" s="13" t="str">
        <f>IF(OR(Dashboard!$C$4="All Customers",$E1680=Dashboard!$C$4),IF($E1680="","",$P1680+ROW()/10000000),"")</f>
        <v/>
      </c>
    </row>
    <row r="1681" spans="17:17" ht="14.25" customHeight="1" x14ac:dyDescent="0.3">
      <c r="Q1681" s="13" t="str">
        <f>IF(OR(Dashboard!$C$4="All Customers",$E1681=Dashboard!$C$4),IF($E1681="","",$P1681+ROW()/10000000),"")</f>
        <v/>
      </c>
    </row>
    <row r="1682" spans="17:17" ht="14.25" customHeight="1" x14ac:dyDescent="0.3">
      <c r="Q1682" s="13" t="str">
        <f>IF(OR(Dashboard!$C$4="All Customers",$E1682=Dashboard!$C$4),IF($E1682="","",$P1682+ROW()/10000000),"")</f>
        <v/>
      </c>
    </row>
    <row r="1683" spans="17:17" ht="14.25" customHeight="1" x14ac:dyDescent="0.3">
      <c r="Q1683" s="13" t="str">
        <f>IF(OR(Dashboard!$C$4="All Customers",$E1683=Dashboard!$C$4),IF($E1683="","",$P1683+ROW()/10000000),"")</f>
        <v/>
      </c>
    </row>
    <row r="1684" spans="17:17" ht="14.25" customHeight="1" x14ac:dyDescent="0.3">
      <c r="Q1684" s="13" t="str">
        <f>IF(OR(Dashboard!$C$4="All Customers",$E1684=Dashboard!$C$4),IF($E1684="","",$P1684+ROW()/10000000),"")</f>
        <v/>
      </c>
    </row>
    <row r="1685" spans="17:17" ht="14.25" customHeight="1" x14ac:dyDescent="0.3">
      <c r="Q1685" s="13" t="str">
        <f>IF(OR(Dashboard!$C$4="All Customers",$E1685=Dashboard!$C$4),IF($E1685="","",$P1685+ROW()/10000000),"")</f>
        <v/>
      </c>
    </row>
    <row r="1686" spans="17:17" ht="14.25" customHeight="1" x14ac:dyDescent="0.3">
      <c r="Q1686" s="13" t="str">
        <f>IF(OR(Dashboard!$C$4="All Customers",$E1686=Dashboard!$C$4),IF($E1686="","",$P1686+ROW()/10000000),"")</f>
        <v/>
      </c>
    </row>
    <row r="1687" spans="17:17" ht="14.25" customHeight="1" x14ac:dyDescent="0.3">
      <c r="Q1687" s="13" t="str">
        <f>IF(OR(Dashboard!$C$4="All Customers",$E1687=Dashboard!$C$4),IF($E1687="","",$P1687+ROW()/10000000),"")</f>
        <v/>
      </c>
    </row>
    <row r="1688" spans="17:17" ht="14.25" customHeight="1" x14ac:dyDescent="0.3">
      <c r="Q1688" s="13" t="str">
        <f>IF(OR(Dashboard!$C$4="All Customers",$E1688=Dashboard!$C$4),IF($E1688="","",$P1688+ROW()/10000000),"")</f>
        <v/>
      </c>
    </row>
    <row r="1689" spans="17:17" ht="14.25" customHeight="1" x14ac:dyDescent="0.3">
      <c r="Q1689" s="13" t="str">
        <f>IF(OR(Dashboard!$C$4="All Customers",$E1689=Dashboard!$C$4),IF($E1689="","",$P1689+ROW()/10000000),"")</f>
        <v/>
      </c>
    </row>
    <row r="1690" spans="17:17" ht="14.25" customHeight="1" x14ac:dyDescent="0.3">
      <c r="Q1690" s="13" t="str">
        <f>IF(OR(Dashboard!$C$4="All Customers",$E1690=Dashboard!$C$4),IF($E1690="","",$P1690+ROW()/10000000),"")</f>
        <v/>
      </c>
    </row>
    <row r="1691" spans="17:17" ht="14.25" customHeight="1" x14ac:dyDescent="0.3">
      <c r="Q1691" s="13" t="str">
        <f>IF(OR(Dashboard!$C$4="All Customers",$E1691=Dashboard!$C$4),IF($E1691="","",$P1691+ROW()/10000000),"")</f>
        <v/>
      </c>
    </row>
    <row r="1692" spans="17:17" ht="14.25" customHeight="1" x14ac:dyDescent="0.3">
      <c r="Q1692" s="13" t="str">
        <f>IF(OR(Dashboard!$C$4="All Customers",$E1692=Dashboard!$C$4),IF($E1692="","",$P1692+ROW()/10000000),"")</f>
        <v/>
      </c>
    </row>
    <row r="1693" spans="17:17" ht="14.25" customHeight="1" x14ac:dyDescent="0.3">
      <c r="Q1693" s="13" t="str">
        <f>IF(OR(Dashboard!$C$4="All Customers",$E1693=Dashboard!$C$4),IF($E1693="","",$P1693+ROW()/10000000),"")</f>
        <v/>
      </c>
    </row>
    <row r="1694" spans="17:17" ht="14.25" customHeight="1" x14ac:dyDescent="0.3">
      <c r="Q1694" s="13" t="str">
        <f>IF(OR(Dashboard!$C$4="All Customers",$E1694=Dashboard!$C$4),IF($E1694="","",$P1694+ROW()/10000000),"")</f>
        <v/>
      </c>
    </row>
    <row r="1695" spans="17:17" ht="14.25" customHeight="1" x14ac:dyDescent="0.3">
      <c r="Q1695" s="13" t="str">
        <f>IF(OR(Dashboard!$C$4="All Customers",$E1695=Dashboard!$C$4),IF($E1695="","",$P1695+ROW()/10000000),"")</f>
        <v/>
      </c>
    </row>
    <row r="1696" spans="17:17" ht="14.25" customHeight="1" x14ac:dyDescent="0.3">
      <c r="Q1696" s="13" t="str">
        <f>IF(OR(Dashboard!$C$4="All Customers",$E1696=Dashboard!$C$4),IF($E1696="","",$P1696+ROW()/10000000),"")</f>
        <v/>
      </c>
    </row>
    <row r="1697" spans="17:17" ht="14.25" customHeight="1" x14ac:dyDescent="0.3">
      <c r="Q1697" s="13" t="str">
        <f>IF(OR(Dashboard!$C$4="All Customers",$E1697=Dashboard!$C$4),IF($E1697="","",$P1697+ROW()/10000000),"")</f>
        <v/>
      </c>
    </row>
    <row r="1698" spans="17:17" ht="14.25" customHeight="1" x14ac:dyDescent="0.3">
      <c r="Q1698" s="13" t="str">
        <f>IF(OR(Dashboard!$C$4="All Customers",$E1698=Dashboard!$C$4),IF($E1698="","",$P1698+ROW()/10000000),"")</f>
        <v/>
      </c>
    </row>
    <row r="1699" spans="17:17" ht="14.25" customHeight="1" x14ac:dyDescent="0.3">
      <c r="Q1699" s="13" t="str">
        <f>IF(OR(Dashboard!$C$4="All Customers",$E1699=Dashboard!$C$4),IF($E1699="","",$P1699+ROW()/10000000),"")</f>
        <v/>
      </c>
    </row>
    <row r="1700" spans="17:17" ht="14.25" customHeight="1" x14ac:dyDescent="0.3">
      <c r="Q1700" s="13" t="str">
        <f>IF(OR(Dashboard!$C$4="All Customers",$E1700=Dashboard!$C$4),IF($E1700="","",$P1700+ROW()/10000000),"")</f>
        <v/>
      </c>
    </row>
    <row r="1701" spans="17:17" ht="14.25" customHeight="1" x14ac:dyDescent="0.3">
      <c r="Q1701" s="13" t="str">
        <f>IF(OR(Dashboard!$C$4="All Customers",$E1701=Dashboard!$C$4),IF($E1701="","",$P1701+ROW()/10000000),"")</f>
        <v/>
      </c>
    </row>
    <row r="1702" spans="17:17" ht="14.25" customHeight="1" x14ac:dyDescent="0.3">
      <c r="Q1702" s="13" t="str">
        <f>IF(OR(Dashboard!$C$4="All Customers",$E1702=Dashboard!$C$4),IF($E1702="","",$P1702+ROW()/10000000),"")</f>
        <v/>
      </c>
    </row>
    <row r="1703" spans="17:17" ht="14.25" customHeight="1" x14ac:dyDescent="0.3">
      <c r="Q1703" s="13" t="str">
        <f>IF(OR(Dashboard!$C$4="All Customers",$E1703=Dashboard!$C$4),IF($E1703="","",$P1703+ROW()/10000000),"")</f>
        <v/>
      </c>
    </row>
    <row r="1704" spans="17:17" ht="14.25" customHeight="1" x14ac:dyDescent="0.3">
      <c r="Q1704" s="13" t="str">
        <f>IF(OR(Dashboard!$C$4="All Customers",$E1704=Dashboard!$C$4),IF($E1704="","",$P1704+ROW()/10000000),"")</f>
        <v/>
      </c>
    </row>
    <row r="1705" spans="17:17" ht="14.25" customHeight="1" x14ac:dyDescent="0.3">
      <c r="Q1705" s="13" t="str">
        <f>IF(OR(Dashboard!$C$4="All Customers",$E1705=Dashboard!$C$4),IF($E1705="","",$P1705+ROW()/10000000),"")</f>
        <v/>
      </c>
    </row>
    <row r="1706" spans="17:17" ht="14.25" customHeight="1" x14ac:dyDescent="0.3">
      <c r="Q1706" s="13" t="str">
        <f>IF(OR(Dashboard!$C$4="All Customers",$E1706=Dashboard!$C$4),IF($E1706="","",$P1706+ROW()/10000000),"")</f>
        <v/>
      </c>
    </row>
    <row r="1707" spans="17:17" ht="14.25" customHeight="1" x14ac:dyDescent="0.3">
      <c r="Q1707" s="13" t="str">
        <f>IF(OR(Dashboard!$C$4="All Customers",$E1707=Dashboard!$C$4),IF($E1707="","",$P1707+ROW()/10000000),"")</f>
        <v/>
      </c>
    </row>
    <row r="1708" spans="17:17" ht="14.25" customHeight="1" x14ac:dyDescent="0.3">
      <c r="Q1708" s="13" t="str">
        <f>IF(OR(Dashboard!$C$4="All Customers",$E1708=Dashboard!$C$4),IF($E1708="","",$P1708+ROW()/10000000),"")</f>
        <v/>
      </c>
    </row>
    <row r="1709" spans="17:17" ht="14.25" customHeight="1" x14ac:dyDescent="0.3">
      <c r="Q1709" s="13" t="str">
        <f>IF(OR(Dashboard!$C$4="All Customers",$E1709=Dashboard!$C$4),IF($E1709="","",$P1709+ROW()/10000000),"")</f>
        <v/>
      </c>
    </row>
    <row r="1710" spans="17:17" ht="14.25" customHeight="1" x14ac:dyDescent="0.3">
      <c r="Q1710" s="13" t="str">
        <f>IF(OR(Dashboard!$C$4="All Customers",$E1710=Dashboard!$C$4),IF($E1710="","",$P1710+ROW()/10000000),"")</f>
        <v/>
      </c>
    </row>
    <row r="1711" spans="17:17" ht="14.25" customHeight="1" x14ac:dyDescent="0.3">
      <c r="Q1711" s="13" t="str">
        <f>IF(OR(Dashboard!$C$4="All Customers",$E1711=Dashboard!$C$4),IF($E1711="","",$P1711+ROW()/10000000),"")</f>
        <v/>
      </c>
    </row>
    <row r="1712" spans="17:17" ht="14.25" customHeight="1" x14ac:dyDescent="0.3">
      <c r="Q1712" s="13" t="str">
        <f>IF(OR(Dashboard!$C$4="All Customers",$E1712=Dashboard!$C$4),IF($E1712="","",$P1712+ROW()/10000000),"")</f>
        <v/>
      </c>
    </row>
    <row r="1713" spans="17:17" ht="14.25" customHeight="1" x14ac:dyDescent="0.3">
      <c r="Q1713" s="13" t="str">
        <f>IF(OR(Dashboard!$C$4="All Customers",$E1713=Dashboard!$C$4),IF($E1713="","",$P1713+ROW()/10000000),"")</f>
        <v/>
      </c>
    </row>
    <row r="1714" spans="17:17" ht="14.25" customHeight="1" x14ac:dyDescent="0.3">
      <c r="Q1714" s="13" t="str">
        <f>IF(OR(Dashboard!$C$4="All Customers",$E1714=Dashboard!$C$4),IF($E1714="","",$P1714+ROW()/10000000),"")</f>
        <v/>
      </c>
    </row>
    <row r="1715" spans="17:17" ht="14.25" customHeight="1" x14ac:dyDescent="0.3">
      <c r="Q1715" s="13" t="str">
        <f>IF(OR(Dashboard!$C$4="All Customers",$E1715=Dashboard!$C$4),IF($E1715="","",$P1715+ROW()/10000000),"")</f>
        <v/>
      </c>
    </row>
    <row r="1716" spans="17:17" ht="14.25" customHeight="1" x14ac:dyDescent="0.3">
      <c r="Q1716" s="13" t="str">
        <f>IF(OR(Dashboard!$C$4="All Customers",$E1716=Dashboard!$C$4),IF($E1716="","",$P1716+ROW()/10000000),"")</f>
        <v/>
      </c>
    </row>
    <row r="1717" spans="17:17" ht="14.25" customHeight="1" x14ac:dyDescent="0.3">
      <c r="Q1717" s="13" t="str">
        <f>IF(OR(Dashboard!$C$4="All Customers",$E1717=Dashboard!$C$4),IF($E1717="","",$P1717+ROW()/10000000),"")</f>
        <v/>
      </c>
    </row>
    <row r="1718" spans="17:17" ht="14.25" customHeight="1" x14ac:dyDescent="0.3">
      <c r="Q1718" s="13" t="str">
        <f>IF(OR(Dashboard!$C$4="All Customers",$E1718=Dashboard!$C$4),IF($E1718="","",$P1718+ROW()/10000000),"")</f>
        <v/>
      </c>
    </row>
    <row r="1719" spans="17:17" ht="14.25" customHeight="1" x14ac:dyDescent="0.3">
      <c r="Q1719" s="13" t="str">
        <f>IF(OR(Dashboard!$C$4="All Customers",$E1719=Dashboard!$C$4),IF($E1719="","",$P1719+ROW()/10000000),"")</f>
        <v/>
      </c>
    </row>
    <row r="1720" spans="17:17" ht="14.25" customHeight="1" x14ac:dyDescent="0.3">
      <c r="Q1720" s="13" t="str">
        <f>IF(OR(Dashboard!$C$4="All Customers",$E1720=Dashboard!$C$4),IF($E1720="","",$P1720+ROW()/10000000),"")</f>
        <v/>
      </c>
    </row>
    <row r="1721" spans="17:17" ht="14.25" customHeight="1" x14ac:dyDescent="0.3">
      <c r="Q1721" s="13" t="str">
        <f>IF(OR(Dashboard!$C$4="All Customers",$E1721=Dashboard!$C$4),IF($E1721="","",$P1721+ROW()/10000000),"")</f>
        <v/>
      </c>
    </row>
    <row r="1722" spans="17:17" ht="14.25" customHeight="1" x14ac:dyDescent="0.3">
      <c r="Q1722" s="13" t="str">
        <f>IF(OR(Dashboard!$C$4="All Customers",$E1722=Dashboard!$C$4),IF($E1722="","",$P1722+ROW()/10000000),"")</f>
        <v/>
      </c>
    </row>
    <row r="1723" spans="17:17" ht="14.25" customHeight="1" x14ac:dyDescent="0.3">
      <c r="Q1723" s="13" t="str">
        <f>IF(OR(Dashboard!$C$4="All Customers",$E1723=Dashboard!$C$4),IF($E1723="","",$P1723+ROW()/10000000),"")</f>
        <v/>
      </c>
    </row>
    <row r="1724" spans="17:17" ht="14.25" customHeight="1" x14ac:dyDescent="0.3">
      <c r="Q1724" s="13" t="str">
        <f>IF(OR(Dashboard!$C$4="All Customers",$E1724=Dashboard!$C$4),IF($E1724="","",$P1724+ROW()/10000000),"")</f>
        <v/>
      </c>
    </row>
    <row r="1725" spans="17:17" ht="14.25" customHeight="1" x14ac:dyDescent="0.3">
      <c r="Q1725" s="13" t="str">
        <f>IF(OR(Dashboard!$C$4="All Customers",$E1725=Dashboard!$C$4),IF($E1725="","",$P1725+ROW()/10000000),"")</f>
        <v/>
      </c>
    </row>
    <row r="1726" spans="17:17" ht="14.25" customHeight="1" x14ac:dyDescent="0.3">
      <c r="Q1726" s="13" t="str">
        <f>IF(OR(Dashboard!$C$4="All Customers",$E1726=Dashboard!$C$4),IF($E1726="","",$P1726+ROW()/10000000),"")</f>
        <v/>
      </c>
    </row>
    <row r="1727" spans="17:17" ht="14.25" customHeight="1" x14ac:dyDescent="0.3">
      <c r="Q1727" s="13" t="str">
        <f>IF(OR(Dashboard!$C$4="All Customers",$E1727=Dashboard!$C$4),IF($E1727="","",$P1727+ROW()/10000000),"")</f>
        <v/>
      </c>
    </row>
    <row r="1728" spans="17:17" ht="14.25" customHeight="1" x14ac:dyDescent="0.3">
      <c r="Q1728" s="13" t="str">
        <f>IF(OR(Dashboard!$C$4="All Customers",$E1728=Dashboard!$C$4),IF($E1728="","",$P1728+ROW()/10000000),"")</f>
        <v/>
      </c>
    </row>
    <row r="1729" spans="17:17" ht="14.25" customHeight="1" x14ac:dyDescent="0.3">
      <c r="Q1729" s="13" t="str">
        <f>IF(OR(Dashboard!$C$4="All Customers",$E1729=Dashboard!$C$4),IF($E1729="","",$P1729+ROW()/10000000),"")</f>
        <v/>
      </c>
    </row>
    <row r="1730" spans="17:17" ht="14.25" customHeight="1" x14ac:dyDescent="0.3">
      <c r="Q1730" s="13" t="str">
        <f>IF(OR(Dashboard!$C$4="All Customers",$E1730=Dashboard!$C$4),IF($E1730="","",$P1730+ROW()/10000000),"")</f>
        <v/>
      </c>
    </row>
    <row r="1731" spans="17:17" ht="14.25" customHeight="1" x14ac:dyDescent="0.3">
      <c r="Q1731" s="13" t="str">
        <f>IF(OR(Dashboard!$C$4="All Customers",$E1731=Dashboard!$C$4),IF($E1731="","",$P1731+ROW()/10000000),"")</f>
        <v/>
      </c>
    </row>
    <row r="1732" spans="17:17" ht="14.25" customHeight="1" x14ac:dyDescent="0.3">
      <c r="Q1732" s="13" t="str">
        <f>IF(OR(Dashboard!$C$4="All Customers",$E1732=Dashboard!$C$4),IF($E1732="","",$P1732+ROW()/10000000),"")</f>
        <v/>
      </c>
    </row>
    <row r="1733" spans="17:17" ht="14.25" customHeight="1" x14ac:dyDescent="0.3">
      <c r="Q1733" s="13" t="str">
        <f>IF(OR(Dashboard!$C$4="All Customers",$E1733=Dashboard!$C$4),IF($E1733="","",$P1733+ROW()/10000000),"")</f>
        <v/>
      </c>
    </row>
    <row r="1734" spans="17:17" ht="14.25" customHeight="1" x14ac:dyDescent="0.3">
      <c r="Q1734" s="13" t="str">
        <f>IF(OR(Dashboard!$C$4="All Customers",$E1734=Dashboard!$C$4),IF($E1734="","",$P1734+ROW()/10000000),"")</f>
        <v/>
      </c>
    </row>
    <row r="1735" spans="17:17" ht="14.25" customHeight="1" x14ac:dyDescent="0.3">
      <c r="Q1735" s="13" t="str">
        <f>IF(OR(Dashboard!$C$4="All Customers",$E1735=Dashboard!$C$4),IF($E1735="","",$P1735+ROW()/10000000),"")</f>
        <v/>
      </c>
    </row>
    <row r="1736" spans="17:17" ht="14.25" customHeight="1" x14ac:dyDescent="0.3">
      <c r="Q1736" s="13" t="str">
        <f>IF(OR(Dashboard!$C$4="All Customers",$E1736=Dashboard!$C$4),IF($E1736="","",$P1736+ROW()/10000000),"")</f>
        <v/>
      </c>
    </row>
    <row r="1737" spans="17:17" ht="14.25" customHeight="1" x14ac:dyDescent="0.3">
      <c r="Q1737" s="13" t="str">
        <f>IF(OR(Dashboard!$C$4="All Customers",$E1737=Dashboard!$C$4),IF($E1737="","",$P1737+ROW()/10000000),"")</f>
        <v/>
      </c>
    </row>
    <row r="1738" spans="17:17" ht="14.25" customHeight="1" x14ac:dyDescent="0.3">
      <c r="Q1738" s="13" t="str">
        <f>IF(OR(Dashboard!$C$4="All Customers",$E1738=Dashboard!$C$4),IF($E1738="","",$P1738+ROW()/10000000),"")</f>
        <v/>
      </c>
    </row>
    <row r="1739" spans="17:17" ht="14.25" customHeight="1" x14ac:dyDescent="0.3">
      <c r="Q1739" s="13" t="str">
        <f>IF(OR(Dashboard!$C$4="All Customers",$E1739=Dashboard!$C$4),IF($E1739="","",$P1739+ROW()/10000000),"")</f>
        <v/>
      </c>
    </row>
    <row r="1740" spans="17:17" ht="14.25" customHeight="1" x14ac:dyDescent="0.3">
      <c r="Q1740" s="13" t="str">
        <f>IF(OR(Dashboard!$C$4="All Customers",$E1740=Dashboard!$C$4),IF($E1740="","",$P1740+ROW()/10000000),"")</f>
        <v/>
      </c>
    </row>
    <row r="1741" spans="17:17" ht="14.25" customHeight="1" x14ac:dyDescent="0.3">
      <c r="Q1741" s="13" t="str">
        <f>IF(OR(Dashboard!$C$4="All Customers",$E1741=Dashboard!$C$4),IF($E1741="","",$P1741+ROW()/10000000),"")</f>
        <v/>
      </c>
    </row>
    <row r="1742" spans="17:17" ht="14.25" customHeight="1" x14ac:dyDescent="0.3">
      <c r="Q1742" s="13" t="str">
        <f>IF(OR(Dashboard!$C$4="All Customers",$E1742=Dashboard!$C$4),IF($E1742="","",$P1742+ROW()/10000000),"")</f>
        <v/>
      </c>
    </row>
    <row r="1743" spans="17:17" ht="14.25" customHeight="1" x14ac:dyDescent="0.3">
      <c r="Q1743" s="13" t="str">
        <f>IF(OR(Dashboard!$C$4="All Customers",$E1743=Dashboard!$C$4),IF($E1743="","",$P1743+ROW()/10000000),"")</f>
        <v/>
      </c>
    </row>
    <row r="1744" spans="17:17" ht="14.25" customHeight="1" x14ac:dyDescent="0.3">
      <c r="Q1744" s="13" t="str">
        <f>IF(OR(Dashboard!$C$4="All Customers",$E1744=Dashboard!$C$4),IF($E1744="","",$P1744+ROW()/10000000),"")</f>
        <v/>
      </c>
    </row>
    <row r="1745" spans="17:17" ht="14.25" customHeight="1" x14ac:dyDescent="0.3">
      <c r="Q1745" s="13" t="str">
        <f>IF(OR(Dashboard!$C$4="All Customers",$E1745=Dashboard!$C$4),IF($E1745="","",$P1745+ROW()/10000000),"")</f>
        <v/>
      </c>
    </row>
    <row r="1746" spans="17:17" ht="14.25" customHeight="1" x14ac:dyDescent="0.3">
      <c r="Q1746" s="13" t="str">
        <f>IF(OR(Dashboard!$C$4="All Customers",$E1746=Dashboard!$C$4),IF($E1746="","",$P1746+ROW()/10000000),"")</f>
        <v/>
      </c>
    </row>
    <row r="1747" spans="17:17" ht="14.25" customHeight="1" x14ac:dyDescent="0.3">
      <c r="Q1747" s="13" t="str">
        <f>IF(OR(Dashboard!$C$4="All Customers",$E1747=Dashboard!$C$4),IF($E1747="","",$P1747+ROW()/10000000),"")</f>
        <v/>
      </c>
    </row>
    <row r="1748" spans="17:17" ht="14.25" customHeight="1" x14ac:dyDescent="0.3">
      <c r="Q1748" s="13" t="str">
        <f>IF(OR(Dashboard!$C$4="All Customers",$E1748=Dashboard!$C$4),IF($E1748="","",$P1748+ROW()/10000000),"")</f>
        <v/>
      </c>
    </row>
    <row r="1749" spans="17:17" ht="14.25" customHeight="1" x14ac:dyDescent="0.3">
      <c r="Q1749" s="13" t="str">
        <f>IF(OR(Dashboard!$C$4="All Customers",$E1749=Dashboard!$C$4),IF($E1749="","",$P1749+ROW()/10000000),"")</f>
        <v/>
      </c>
    </row>
    <row r="1750" spans="17:17" ht="14.25" customHeight="1" x14ac:dyDescent="0.3">
      <c r="Q1750" s="13" t="str">
        <f>IF(OR(Dashboard!$C$4="All Customers",$E1750=Dashboard!$C$4),IF($E1750="","",$P1750+ROW()/10000000),"")</f>
        <v/>
      </c>
    </row>
    <row r="1751" spans="17:17" ht="14.25" customHeight="1" x14ac:dyDescent="0.3">
      <c r="Q1751" s="13" t="str">
        <f>IF(OR(Dashboard!$C$4="All Customers",$E1751=Dashboard!$C$4),IF($E1751="","",$P1751+ROW()/10000000),"")</f>
        <v/>
      </c>
    </row>
    <row r="1752" spans="17:17" ht="14.25" customHeight="1" x14ac:dyDescent="0.3">
      <c r="Q1752" s="13" t="str">
        <f>IF(OR(Dashboard!$C$4="All Customers",$E1752=Dashboard!$C$4),IF($E1752="","",$P1752+ROW()/10000000),"")</f>
        <v/>
      </c>
    </row>
    <row r="1753" spans="17:17" ht="14.25" customHeight="1" x14ac:dyDescent="0.3">
      <c r="Q1753" s="13" t="str">
        <f>IF(OR(Dashboard!$C$4="All Customers",$E1753=Dashboard!$C$4),IF($E1753="","",$P1753+ROW()/10000000),"")</f>
        <v/>
      </c>
    </row>
    <row r="1754" spans="17:17" ht="14.25" customHeight="1" x14ac:dyDescent="0.3">
      <c r="Q1754" s="13" t="str">
        <f>IF(OR(Dashboard!$C$4="All Customers",$E1754=Dashboard!$C$4),IF($E1754="","",$P1754+ROW()/10000000),"")</f>
        <v/>
      </c>
    </row>
    <row r="1755" spans="17:17" ht="14.25" customHeight="1" x14ac:dyDescent="0.3">
      <c r="Q1755" s="13" t="str">
        <f>IF(OR(Dashboard!$C$4="All Customers",$E1755=Dashboard!$C$4),IF($E1755="","",$P1755+ROW()/10000000),"")</f>
        <v/>
      </c>
    </row>
    <row r="1756" spans="17:17" ht="14.25" customHeight="1" x14ac:dyDescent="0.3">
      <c r="Q1756" s="13" t="str">
        <f>IF(OR(Dashboard!$C$4="All Customers",$E1756=Dashboard!$C$4),IF($E1756="","",$P1756+ROW()/10000000),"")</f>
        <v/>
      </c>
    </row>
    <row r="1757" spans="17:17" ht="14.25" customHeight="1" x14ac:dyDescent="0.3">
      <c r="Q1757" s="13" t="str">
        <f>IF(OR(Dashboard!$C$4="All Customers",$E1757=Dashboard!$C$4),IF($E1757="","",$P1757+ROW()/10000000),"")</f>
        <v/>
      </c>
    </row>
    <row r="1758" spans="17:17" ht="14.25" customHeight="1" x14ac:dyDescent="0.3">
      <c r="Q1758" s="13" t="str">
        <f>IF(OR(Dashboard!$C$4="All Customers",$E1758=Dashboard!$C$4),IF($E1758="","",$P1758+ROW()/10000000),"")</f>
        <v/>
      </c>
    </row>
    <row r="1759" spans="17:17" ht="14.25" customHeight="1" x14ac:dyDescent="0.3">
      <c r="Q1759" s="13" t="str">
        <f>IF(OR(Dashboard!$C$4="All Customers",$E1759=Dashboard!$C$4),IF($E1759="","",$P1759+ROW()/10000000),"")</f>
        <v/>
      </c>
    </row>
    <row r="1760" spans="17:17" ht="14.25" customHeight="1" x14ac:dyDescent="0.3">
      <c r="Q1760" s="13" t="str">
        <f>IF(OR(Dashboard!$C$4="All Customers",$E1760=Dashboard!$C$4),IF($E1760="","",$P1760+ROW()/10000000),"")</f>
        <v/>
      </c>
    </row>
    <row r="1761" spans="17:17" ht="14.25" customHeight="1" x14ac:dyDescent="0.3">
      <c r="Q1761" s="13" t="str">
        <f>IF(OR(Dashboard!$C$4="All Customers",$E1761=Dashboard!$C$4),IF($E1761="","",$P1761+ROW()/10000000),"")</f>
        <v/>
      </c>
    </row>
    <row r="1762" spans="17:17" ht="14.25" customHeight="1" x14ac:dyDescent="0.3">
      <c r="Q1762" s="13" t="str">
        <f>IF(OR(Dashboard!$C$4="All Customers",$E1762=Dashboard!$C$4),IF($E1762="","",$P1762+ROW()/10000000),"")</f>
        <v/>
      </c>
    </row>
    <row r="1763" spans="17:17" ht="14.25" customHeight="1" x14ac:dyDescent="0.3">
      <c r="Q1763" s="13" t="str">
        <f>IF(OR(Dashboard!$C$4="All Customers",$E1763=Dashboard!$C$4),IF($E1763="","",$P1763+ROW()/10000000),"")</f>
        <v/>
      </c>
    </row>
    <row r="1764" spans="17:17" ht="14.25" customHeight="1" x14ac:dyDescent="0.3">
      <c r="Q1764" s="13" t="str">
        <f>IF(OR(Dashboard!$C$4="All Customers",$E1764=Dashboard!$C$4),IF($E1764="","",$P1764+ROW()/10000000),"")</f>
        <v/>
      </c>
    </row>
    <row r="1765" spans="17:17" ht="14.25" customHeight="1" x14ac:dyDescent="0.3">
      <c r="Q1765" s="13" t="str">
        <f>IF(OR(Dashboard!$C$4="All Customers",$E1765=Dashboard!$C$4),IF($E1765="","",$P1765+ROW()/10000000),"")</f>
        <v/>
      </c>
    </row>
    <row r="1766" spans="17:17" ht="14.25" customHeight="1" x14ac:dyDescent="0.3">
      <c r="Q1766" s="13" t="str">
        <f>IF(OR(Dashboard!$C$4="All Customers",$E1766=Dashboard!$C$4),IF($E1766="","",$P1766+ROW()/10000000),"")</f>
        <v/>
      </c>
    </row>
    <row r="1767" spans="17:17" ht="14.25" customHeight="1" x14ac:dyDescent="0.3">
      <c r="Q1767" s="13" t="str">
        <f>IF(OR(Dashboard!$C$4="All Customers",$E1767=Dashboard!$C$4),IF($E1767="","",$P1767+ROW()/10000000),"")</f>
        <v/>
      </c>
    </row>
    <row r="1768" spans="17:17" ht="14.25" customHeight="1" x14ac:dyDescent="0.3">
      <c r="Q1768" s="13" t="str">
        <f>IF(OR(Dashboard!$C$4="All Customers",$E1768=Dashboard!$C$4),IF($E1768="","",$P1768+ROW()/10000000),"")</f>
        <v/>
      </c>
    </row>
    <row r="1769" spans="17:17" ht="14.25" customHeight="1" x14ac:dyDescent="0.3">
      <c r="Q1769" s="13" t="str">
        <f>IF(OR(Dashboard!$C$4="All Customers",$E1769=Dashboard!$C$4),IF($E1769="","",$P1769+ROW()/10000000),"")</f>
        <v/>
      </c>
    </row>
    <row r="1770" spans="17:17" ht="14.25" customHeight="1" x14ac:dyDescent="0.3">
      <c r="Q1770" s="13" t="str">
        <f>IF(OR(Dashboard!$C$4="All Customers",$E1770=Dashboard!$C$4),IF($E1770="","",$P1770+ROW()/10000000),"")</f>
        <v/>
      </c>
    </row>
    <row r="1771" spans="17:17" ht="14.25" customHeight="1" x14ac:dyDescent="0.3">
      <c r="Q1771" s="13" t="str">
        <f>IF(OR(Dashboard!$C$4="All Customers",$E1771=Dashboard!$C$4),IF($E1771="","",$P1771+ROW()/10000000),"")</f>
        <v/>
      </c>
    </row>
    <row r="1772" spans="17:17" ht="14.25" customHeight="1" x14ac:dyDescent="0.3">
      <c r="Q1772" s="13" t="str">
        <f>IF(OR(Dashboard!$C$4="All Customers",$E1772=Dashboard!$C$4),IF($E1772="","",$P1772+ROW()/10000000),"")</f>
        <v/>
      </c>
    </row>
    <row r="1773" spans="17:17" ht="14.25" customHeight="1" x14ac:dyDescent="0.3">
      <c r="Q1773" s="13" t="str">
        <f>IF(OR(Dashboard!$C$4="All Customers",$E1773=Dashboard!$C$4),IF($E1773="","",$P1773+ROW()/10000000),"")</f>
        <v/>
      </c>
    </row>
    <row r="1774" spans="17:17" ht="14.25" customHeight="1" x14ac:dyDescent="0.3">
      <c r="Q1774" s="13" t="str">
        <f>IF(OR(Dashboard!$C$4="All Customers",$E1774=Dashboard!$C$4),IF($E1774="","",$P1774+ROW()/10000000),"")</f>
        <v/>
      </c>
    </row>
    <row r="1775" spans="17:17" ht="14.25" customHeight="1" x14ac:dyDescent="0.3">
      <c r="Q1775" s="13" t="str">
        <f>IF(OR(Dashboard!$C$4="All Customers",$E1775=Dashboard!$C$4),IF($E1775="","",$P1775+ROW()/10000000),"")</f>
        <v/>
      </c>
    </row>
    <row r="1776" spans="17:17" ht="14.25" customHeight="1" x14ac:dyDescent="0.3">
      <c r="Q1776" s="13" t="str">
        <f>IF(OR(Dashboard!$C$4="All Customers",$E1776=Dashboard!$C$4),IF($E1776="","",$P1776+ROW()/10000000),"")</f>
        <v/>
      </c>
    </row>
    <row r="1777" spans="17:17" ht="14.25" customHeight="1" x14ac:dyDescent="0.3">
      <c r="Q1777" s="13" t="str">
        <f>IF(OR(Dashboard!$C$4="All Customers",$E1777=Dashboard!$C$4),IF($E1777="","",$P1777+ROW()/10000000),"")</f>
        <v/>
      </c>
    </row>
    <row r="1778" spans="17:17" ht="14.25" customHeight="1" x14ac:dyDescent="0.3">
      <c r="Q1778" s="13" t="str">
        <f>IF(OR(Dashboard!$C$4="All Customers",$E1778=Dashboard!$C$4),IF($E1778="","",$P1778+ROW()/10000000),"")</f>
        <v/>
      </c>
    </row>
    <row r="1779" spans="17:17" ht="14.25" customHeight="1" x14ac:dyDescent="0.3">
      <c r="Q1779" s="13" t="str">
        <f>IF(OR(Dashboard!$C$4="All Customers",$E1779=Dashboard!$C$4),IF($E1779="","",$P1779+ROW()/10000000),"")</f>
        <v/>
      </c>
    </row>
    <row r="1780" spans="17:17" ht="14.25" customHeight="1" x14ac:dyDescent="0.3">
      <c r="Q1780" s="13" t="str">
        <f>IF(OR(Dashboard!$C$4="All Customers",$E1780=Dashboard!$C$4),IF($E1780="","",$P1780+ROW()/10000000),"")</f>
        <v/>
      </c>
    </row>
    <row r="1781" spans="17:17" ht="14.25" customHeight="1" x14ac:dyDescent="0.3">
      <c r="Q1781" s="13" t="str">
        <f>IF(OR(Dashboard!$C$4="All Customers",$E1781=Dashboard!$C$4),IF($E1781="","",$P1781+ROW()/10000000),"")</f>
        <v/>
      </c>
    </row>
    <row r="1782" spans="17:17" ht="14.25" customHeight="1" x14ac:dyDescent="0.3">
      <c r="Q1782" s="13" t="str">
        <f>IF(OR(Dashboard!$C$4="All Customers",$E1782=Dashboard!$C$4),IF($E1782="","",$P1782+ROW()/10000000),"")</f>
        <v/>
      </c>
    </row>
    <row r="1783" spans="17:17" ht="14.25" customHeight="1" x14ac:dyDescent="0.3">
      <c r="Q1783" s="13" t="str">
        <f>IF(OR(Dashboard!$C$4="All Customers",$E1783=Dashboard!$C$4),IF($E1783="","",$P1783+ROW()/10000000),"")</f>
        <v/>
      </c>
    </row>
    <row r="1784" spans="17:17" ht="14.25" customHeight="1" x14ac:dyDescent="0.3">
      <c r="Q1784" s="13" t="str">
        <f>IF(OR(Dashboard!$C$4="All Customers",$E1784=Dashboard!$C$4),IF($E1784="","",$P1784+ROW()/10000000),"")</f>
        <v/>
      </c>
    </row>
    <row r="1785" spans="17:17" ht="14.25" customHeight="1" x14ac:dyDescent="0.3">
      <c r="Q1785" s="13" t="str">
        <f>IF(OR(Dashboard!$C$4="All Customers",$E1785=Dashboard!$C$4),IF($E1785="","",$P1785+ROW()/10000000),"")</f>
        <v/>
      </c>
    </row>
    <row r="1786" spans="17:17" ht="14.25" customHeight="1" x14ac:dyDescent="0.3">
      <c r="Q1786" s="13" t="str">
        <f>IF(OR(Dashboard!$C$4="All Customers",$E1786=Dashboard!$C$4),IF($E1786="","",$P1786+ROW()/10000000),"")</f>
        <v/>
      </c>
    </row>
    <row r="1787" spans="17:17" ht="14.25" customHeight="1" x14ac:dyDescent="0.3">
      <c r="Q1787" s="13" t="str">
        <f>IF(OR(Dashboard!$C$4="All Customers",$E1787=Dashboard!$C$4),IF($E1787="","",$P1787+ROW()/10000000),"")</f>
        <v/>
      </c>
    </row>
    <row r="1788" spans="17:17" ht="14.25" customHeight="1" x14ac:dyDescent="0.3">
      <c r="Q1788" s="13" t="str">
        <f>IF(OR(Dashboard!$C$4="All Customers",$E1788=Dashboard!$C$4),IF($E1788="","",$P1788+ROW()/10000000),"")</f>
        <v/>
      </c>
    </row>
    <row r="1789" spans="17:17" ht="14.25" customHeight="1" x14ac:dyDescent="0.3">
      <c r="Q1789" s="13" t="str">
        <f>IF(OR(Dashboard!$C$4="All Customers",$E1789=Dashboard!$C$4),IF($E1789="","",$P1789+ROW()/10000000),"")</f>
        <v/>
      </c>
    </row>
    <row r="1790" spans="17:17" ht="14.25" customHeight="1" x14ac:dyDescent="0.3">
      <c r="Q1790" s="13" t="str">
        <f>IF(OR(Dashboard!$C$4="All Customers",$E1790=Dashboard!$C$4),IF($E1790="","",$P1790+ROW()/10000000),"")</f>
        <v/>
      </c>
    </row>
    <row r="1791" spans="17:17" ht="14.25" customHeight="1" x14ac:dyDescent="0.3">
      <c r="Q1791" s="13" t="str">
        <f>IF(OR(Dashboard!$C$4="All Customers",$E1791=Dashboard!$C$4),IF($E1791="","",$P1791+ROW()/10000000),"")</f>
        <v/>
      </c>
    </row>
    <row r="1792" spans="17:17" ht="14.25" customHeight="1" x14ac:dyDescent="0.3">
      <c r="Q1792" s="13" t="str">
        <f>IF(OR(Dashboard!$C$4="All Customers",$E1792=Dashboard!$C$4),IF($E1792="","",$P1792+ROW()/10000000),"")</f>
        <v/>
      </c>
    </row>
    <row r="1793" spans="17:17" ht="14.25" customHeight="1" x14ac:dyDescent="0.3">
      <c r="Q1793" s="13" t="str">
        <f>IF(OR(Dashboard!$C$4="All Customers",$E1793=Dashboard!$C$4),IF($E1793="","",$P1793+ROW()/10000000),"")</f>
        <v/>
      </c>
    </row>
    <row r="1794" spans="17:17" ht="14.25" customHeight="1" x14ac:dyDescent="0.3">
      <c r="Q1794" s="13" t="str">
        <f>IF(OR(Dashboard!$C$4="All Customers",$E1794=Dashboard!$C$4),IF($E1794="","",$P1794+ROW()/10000000),"")</f>
        <v/>
      </c>
    </row>
    <row r="1795" spans="17:17" ht="14.25" customHeight="1" x14ac:dyDescent="0.3">
      <c r="Q1795" s="13" t="str">
        <f>IF(OR(Dashboard!$C$4="All Customers",$E1795=Dashboard!$C$4),IF($E1795="","",$P1795+ROW()/10000000),"")</f>
        <v/>
      </c>
    </row>
    <row r="1796" spans="17:17" ht="14.25" customHeight="1" x14ac:dyDescent="0.3">
      <c r="Q1796" s="13" t="str">
        <f>IF(OR(Dashboard!$C$4="All Customers",$E1796=Dashboard!$C$4),IF($E1796="","",$P1796+ROW()/10000000),"")</f>
        <v/>
      </c>
    </row>
    <row r="1797" spans="17:17" ht="14.25" customHeight="1" x14ac:dyDescent="0.3">
      <c r="Q1797" s="13" t="str">
        <f>IF(OR(Dashboard!$C$4="All Customers",$E1797=Dashboard!$C$4),IF($E1797="","",$P1797+ROW()/10000000),"")</f>
        <v/>
      </c>
    </row>
    <row r="1798" spans="17:17" ht="14.25" customHeight="1" x14ac:dyDescent="0.3">
      <c r="Q1798" s="13" t="str">
        <f>IF(OR(Dashboard!$C$4="All Customers",$E1798=Dashboard!$C$4),IF($E1798="","",$P1798+ROW()/10000000),"")</f>
        <v/>
      </c>
    </row>
    <row r="1799" spans="17:17" ht="14.25" customHeight="1" x14ac:dyDescent="0.3">
      <c r="Q1799" s="13" t="str">
        <f>IF(OR(Dashboard!$C$4="All Customers",$E1799=Dashboard!$C$4),IF($E1799="","",$P1799+ROW()/10000000),"")</f>
        <v/>
      </c>
    </row>
    <row r="1800" spans="17:17" ht="14.25" customHeight="1" x14ac:dyDescent="0.3">
      <c r="Q1800" s="13" t="str">
        <f>IF(OR(Dashboard!$C$4="All Customers",$E1800=Dashboard!$C$4),IF($E1800="","",$P1800+ROW()/10000000),"")</f>
        <v/>
      </c>
    </row>
    <row r="1801" spans="17:17" ht="14.25" customHeight="1" x14ac:dyDescent="0.3">
      <c r="Q1801" s="13" t="str">
        <f>IF(OR(Dashboard!$C$4="All Customers",$E1801=Dashboard!$C$4),IF($E1801="","",$P1801+ROW()/10000000),"")</f>
        <v/>
      </c>
    </row>
    <row r="1802" spans="17:17" ht="14.25" customHeight="1" x14ac:dyDescent="0.3">
      <c r="Q1802" s="13" t="str">
        <f>IF(OR(Dashboard!$C$4="All Customers",$E1802=Dashboard!$C$4),IF($E1802="","",$P1802+ROW()/10000000),"")</f>
        <v/>
      </c>
    </row>
    <row r="1803" spans="17:17" ht="14.25" customHeight="1" x14ac:dyDescent="0.3">
      <c r="Q1803" s="13" t="str">
        <f>IF(OR(Dashboard!$C$4="All Customers",$E1803=Dashboard!$C$4),IF($E1803="","",$P1803+ROW()/10000000),"")</f>
        <v/>
      </c>
    </row>
    <row r="1804" spans="17:17" ht="14.25" customHeight="1" x14ac:dyDescent="0.3">
      <c r="Q1804" s="13" t="str">
        <f>IF(OR(Dashboard!$C$4="All Customers",$E1804=Dashboard!$C$4),IF($E1804="","",$P1804+ROW()/10000000),"")</f>
        <v/>
      </c>
    </row>
    <row r="1805" spans="17:17" ht="14.25" customHeight="1" x14ac:dyDescent="0.3">
      <c r="Q1805" s="13" t="str">
        <f>IF(OR(Dashboard!$C$4="All Customers",$E1805=Dashboard!$C$4),IF($E1805="","",$P1805+ROW()/10000000),"")</f>
        <v/>
      </c>
    </row>
    <row r="1806" spans="17:17" ht="14.25" customHeight="1" x14ac:dyDescent="0.3">
      <c r="Q1806" s="13" t="str">
        <f>IF(OR(Dashboard!$C$4="All Customers",$E1806=Dashboard!$C$4),IF($E1806="","",$P1806+ROW()/10000000),"")</f>
        <v/>
      </c>
    </row>
    <row r="1807" spans="17:17" ht="14.25" customHeight="1" x14ac:dyDescent="0.3">
      <c r="Q1807" s="13" t="str">
        <f>IF(OR(Dashboard!$C$4="All Customers",$E1807=Dashboard!$C$4),IF($E1807="","",$P1807+ROW()/10000000),"")</f>
        <v/>
      </c>
    </row>
    <row r="1808" spans="17:17" ht="14.25" customHeight="1" x14ac:dyDescent="0.3">
      <c r="Q1808" s="13" t="str">
        <f>IF(OR(Dashboard!$C$4="All Customers",$E1808=Dashboard!$C$4),IF($E1808="","",$P1808+ROW()/10000000),"")</f>
        <v/>
      </c>
    </row>
    <row r="1809" spans="17:17" ht="14.25" customHeight="1" x14ac:dyDescent="0.3">
      <c r="Q1809" s="13" t="str">
        <f>IF(OR(Dashboard!$C$4="All Customers",$E1809=Dashboard!$C$4),IF($E1809="","",$P1809+ROW()/10000000),"")</f>
        <v/>
      </c>
    </row>
    <row r="1810" spans="17:17" ht="14.25" customHeight="1" x14ac:dyDescent="0.3">
      <c r="Q1810" s="13" t="str">
        <f>IF(OR(Dashboard!$C$4="All Customers",$E1810=Dashboard!$C$4),IF($E1810="","",$P1810+ROW()/10000000),"")</f>
        <v/>
      </c>
    </row>
    <row r="1811" spans="17:17" ht="14.25" customHeight="1" x14ac:dyDescent="0.3">
      <c r="Q1811" s="13" t="str">
        <f>IF(OR(Dashboard!$C$4="All Customers",$E1811=Dashboard!$C$4),IF($E1811="","",$P1811+ROW()/10000000),"")</f>
        <v/>
      </c>
    </row>
    <row r="1812" spans="17:17" ht="14.25" customHeight="1" x14ac:dyDescent="0.3">
      <c r="Q1812" s="13" t="str">
        <f>IF(OR(Dashboard!$C$4="All Customers",$E1812=Dashboard!$C$4),IF($E1812="","",$P1812+ROW()/10000000),"")</f>
        <v/>
      </c>
    </row>
    <row r="1813" spans="17:17" ht="14.25" customHeight="1" x14ac:dyDescent="0.3">
      <c r="Q1813" s="13" t="str">
        <f>IF(OR(Dashboard!$C$4="All Customers",$E1813=Dashboard!$C$4),IF($E1813="","",$P1813+ROW()/10000000),"")</f>
        <v/>
      </c>
    </row>
    <row r="1814" spans="17:17" ht="14.25" customHeight="1" x14ac:dyDescent="0.3">
      <c r="Q1814" s="13" t="str">
        <f>IF(OR(Dashboard!$C$4="All Customers",$E1814=Dashboard!$C$4),IF($E1814="","",$P1814+ROW()/10000000),"")</f>
        <v/>
      </c>
    </row>
    <row r="1815" spans="17:17" ht="14.25" customHeight="1" x14ac:dyDescent="0.3">
      <c r="Q1815" s="13" t="str">
        <f>IF(OR(Dashboard!$C$4="All Customers",$E1815=Dashboard!$C$4),IF($E1815="","",$P1815+ROW()/10000000),"")</f>
        <v/>
      </c>
    </row>
    <row r="1816" spans="17:17" ht="14.25" customHeight="1" x14ac:dyDescent="0.3">
      <c r="Q1816" s="13" t="str">
        <f>IF(OR(Dashboard!$C$4="All Customers",$E1816=Dashboard!$C$4),IF($E1816="","",$P1816+ROW()/10000000),"")</f>
        <v/>
      </c>
    </row>
    <row r="1817" spans="17:17" ht="14.25" customHeight="1" x14ac:dyDescent="0.3">
      <c r="Q1817" s="13" t="str">
        <f>IF(OR(Dashboard!$C$4="All Customers",$E1817=Dashboard!$C$4),IF($E1817="","",$P1817+ROW()/10000000),"")</f>
        <v/>
      </c>
    </row>
    <row r="1818" spans="17:17" ht="14.25" customHeight="1" x14ac:dyDescent="0.3">
      <c r="Q1818" s="13" t="str">
        <f>IF(OR(Dashboard!$C$4="All Customers",$E1818=Dashboard!$C$4),IF($E1818="","",$P1818+ROW()/10000000),"")</f>
        <v/>
      </c>
    </row>
    <row r="1819" spans="17:17" ht="14.25" customHeight="1" x14ac:dyDescent="0.3">
      <c r="Q1819" s="13" t="str">
        <f>IF(OR(Dashboard!$C$4="All Customers",$E1819=Dashboard!$C$4),IF($E1819="","",$P1819+ROW()/10000000),"")</f>
        <v/>
      </c>
    </row>
    <row r="1820" spans="17:17" ht="14.25" customHeight="1" x14ac:dyDescent="0.3">
      <c r="Q1820" s="13" t="str">
        <f>IF(OR(Dashboard!$C$4="All Customers",$E1820=Dashboard!$C$4),IF($E1820="","",$P1820+ROW()/10000000),"")</f>
        <v/>
      </c>
    </row>
    <row r="1821" spans="17:17" ht="14.25" customHeight="1" x14ac:dyDescent="0.3">
      <c r="Q1821" s="13" t="str">
        <f>IF(OR(Dashboard!$C$4="All Customers",$E1821=Dashboard!$C$4),IF($E1821="","",$P1821+ROW()/10000000),"")</f>
        <v/>
      </c>
    </row>
    <row r="1822" spans="17:17" ht="14.25" customHeight="1" x14ac:dyDescent="0.3">
      <c r="Q1822" s="13" t="str">
        <f>IF(OR(Dashboard!$C$4="All Customers",$E1822=Dashboard!$C$4),IF($E1822="","",$P1822+ROW()/10000000),"")</f>
        <v/>
      </c>
    </row>
    <row r="1823" spans="17:17" ht="14.25" customHeight="1" x14ac:dyDescent="0.3">
      <c r="Q1823" s="13" t="str">
        <f>IF(OR(Dashboard!$C$4="All Customers",$E1823=Dashboard!$C$4),IF($E1823="","",$P1823+ROW()/10000000),"")</f>
        <v/>
      </c>
    </row>
    <row r="1824" spans="17:17" ht="14.25" customHeight="1" x14ac:dyDescent="0.3">
      <c r="Q1824" s="13" t="str">
        <f>IF(OR(Dashboard!$C$4="All Customers",$E1824=Dashboard!$C$4),IF($E1824="","",$P1824+ROW()/10000000),"")</f>
        <v/>
      </c>
    </row>
    <row r="1825" spans="17:17" ht="14.25" customHeight="1" x14ac:dyDescent="0.3">
      <c r="Q1825" s="13" t="str">
        <f>IF(OR(Dashboard!$C$4="All Customers",$E1825=Dashboard!$C$4),IF($E1825="","",$P1825+ROW()/10000000),"")</f>
        <v/>
      </c>
    </row>
    <row r="1826" spans="17:17" ht="14.25" customHeight="1" x14ac:dyDescent="0.3">
      <c r="Q1826" s="13" t="str">
        <f>IF(OR(Dashboard!$C$4="All Customers",$E1826=Dashboard!$C$4),IF($E1826="","",$P1826+ROW()/10000000),"")</f>
        <v/>
      </c>
    </row>
    <row r="1827" spans="17:17" ht="14.25" customHeight="1" x14ac:dyDescent="0.3">
      <c r="Q1827" s="13" t="str">
        <f>IF(OR(Dashboard!$C$4="All Customers",$E1827=Dashboard!$C$4),IF($E1827="","",$P1827+ROW()/10000000),"")</f>
        <v/>
      </c>
    </row>
    <row r="1828" spans="17:17" ht="14.25" customHeight="1" x14ac:dyDescent="0.3">
      <c r="Q1828" s="13" t="str">
        <f>IF(OR(Dashboard!$C$4="All Customers",$E1828=Dashboard!$C$4),IF($E1828="","",$P1828+ROW()/10000000),"")</f>
        <v/>
      </c>
    </row>
    <row r="1829" spans="17:17" ht="14.25" customHeight="1" x14ac:dyDescent="0.3">
      <c r="Q1829" s="13" t="str">
        <f>IF(OR(Dashboard!$C$4="All Customers",$E1829=Dashboard!$C$4),IF($E1829="","",$P1829+ROW()/10000000),"")</f>
        <v/>
      </c>
    </row>
    <row r="1830" spans="17:17" ht="14.25" customHeight="1" x14ac:dyDescent="0.3">
      <c r="Q1830" s="13" t="str">
        <f>IF(OR(Dashboard!$C$4="All Customers",$E1830=Dashboard!$C$4),IF($E1830="","",$P1830+ROW()/10000000),"")</f>
        <v/>
      </c>
    </row>
    <row r="1831" spans="17:17" ht="14.25" customHeight="1" x14ac:dyDescent="0.3">
      <c r="Q1831" s="13" t="str">
        <f>IF(OR(Dashboard!$C$4="All Customers",$E1831=Dashboard!$C$4),IF($E1831="","",$P1831+ROW()/10000000),"")</f>
        <v/>
      </c>
    </row>
    <row r="1832" spans="17:17" ht="14.25" customHeight="1" x14ac:dyDescent="0.3">
      <c r="Q1832" s="13" t="str">
        <f>IF(OR(Dashboard!$C$4="All Customers",$E1832=Dashboard!$C$4),IF($E1832="","",$P1832+ROW()/10000000),"")</f>
        <v/>
      </c>
    </row>
    <row r="1833" spans="17:17" ht="14.25" customHeight="1" x14ac:dyDescent="0.3">
      <c r="Q1833" s="13" t="str">
        <f>IF(OR(Dashboard!$C$4="All Customers",$E1833=Dashboard!$C$4),IF($E1833="","",$P1833+ROW()/10000000),"")</f>
        <v/>
      </c>
    </row>
    <row r="1834" spans="17:17" ht="14.25" customHeight="1" x14ac:dyDescent="0.3">
      <c r="Q1834" s="13" t="str">
        <f>IF(OR(Dashboard!$C$4="All Customers",$E1834=Dashboard!$C$4),IF($E1834="","",$P1834+ROW()/10000000),"")</f>
        <v/>
      </c>
    </row>
    <row r="1835" spans="17:17" ht="14.25" customHeight="1" x14ac:dyDescent="0.3">
      <c r="Q1835" s="13" t="str">
        <f>IF(OR(Dashboard!$C$4="All Customers",$E1835=Dashboard!$C$4),IF($E1835="","",$P1835+ROW()/10000000),"")</f>
        <v/>
      </c>
    </row>
    <row r="1836" spans="17:17" ht="14.25" customHeight="1" x14ac:dyDescent="0.3">
      <c r="Q1836" s="13" t="str">
        <f>IF(OR(Dashboard!$C$4="All Customers",$E1836=Dashboard!$C$4),IF($E1836="","",$P1836+ROW()/10000000),"")</f>
        <v/>
      </c>
    </row>
    <row r="1837" spans="17:17" ht="14.25" customHeight="1" x14ac:dyDescent="0.3">
      <c r="Q1837" s="13" t="str">
        <f>IF(OR(Dashboard!$C$4="All Customers",$E1837=Dashboard!$C$4),IF($E1837="","",$P1837+ROW()/10000000),"")</f>
        <v/>
      </c>
    </row>
    <row r="1838" spans="17:17" ht="14.25" customHeight="1" x14ac:dyDescent="0.3">
      <c r="Q1838" s="13" t="str">
        <f>IF(OR(Dashboard!$C$4="All Customers",$E1838=Dashboard!$C$4),IF($E1838="","",$P1838+ROW()/10000000),"")</f>
        <v/>
      </c>
    </row>
    <row r="1839" spans="17:17" ht="14.25" customHeight="1" x14ac:dyDescent="0.3">
      <c r="Q1839" s="13" t="str">
        <f>IF(OR(Dashboard!$C$4="All Customers",$E1839=Dashboard!$C$4),IF($E1839="","",$P1839+ROW()/10000000),"")</f>
        <v/>
      </c>
    </row>
    <row r="1840" spans="17:17" ht="14.25" customHeight="1" x14ac:dyDescent="0.3">
      <c r="Q1840" s="13" t="str">
        <f>IF(OR(Dashboard!$C$4="All Customers",$E1840=Dashboard!$C$4),IF($E1840="","",$P1840+ROW()/10000000),"")</f>
        <v/>
      </c>
    </row>
    <row r="1841" spans="17:17" ht="14.25" customHeight="1" x14ac:dyDescent="0.3">
      <c r="Q1841" s="13" t="str">
        <f>IF(OR(Dashboard!$C$4="All Customers",$E1841=Dashboard!$C$4),IF($E1841="","",$P1841+ROW()/10000000),"")</f>
        <v/>
      </c>
    </row>
    <row r="1842" spans="17:17" ht="14.25" customHeight="1" x14ac:dyDescent="0.3">
      <c r="Q1842" s="13" t="str">
        <f>IF(OR(Dashboard!$C$4="All Customers",$E1842=Dashboard!$C$4),IF($E1842="","",$P1842+ROW()/10000000),"")</f>
        <v/>
      </c>
    </row>
    <row r="1843" spans="17:17" ht="14.25" customHeight="1" x14ac:dyDescent="0.3">
      <c r="Q1843" s="13" t="str">
        <f>IF(OR(Dashboard!$C$4="All Customers",$E1843=Dashboard!$C$4),IF($E1843="","",$P1843+ROW()/10000000),"")</f>
        <v/>
      </c>
    </row>
    <row r="1844" spans="17:17" ht="14.25" customHeight="1" x14ac:dyDescent="0.3">
      <c r="Q1844" s="13" t="str">
        <f>IF(OR(Dashboard!$C$4="All Customers",$E1844=Dashboard!$C$4),IF($E1844="","",$P1844+ROW()/10000000),"")</f>
        <v/>
      </c>
    </row>
    <row r="1845" spans="17:17" ht="14.25" customHeight="1" x14ac:dyDescent="0.3">
      <c r="Q1845" s="13" t="str">
        <f>IF(OR(Dashboard!$C$4="All Customers",$E1845=Dashboard!$C$4),IF($E1845="","",$P1845+ROW()/10000000),"")</f>
        <v/>
      </c>
    </row>
    <row r="1846" spans="17:17" ht="14.25" customHeight="1" x14ac:dyDescent="0.3">
      <c r="Q1846" s="13" t="str">
        <f>IF(OR(Dashboard!$C$4="All Customers",$E1846=Dashboard!$C$4),IF($E1846="","",$P1846+ROW()/10000000),"")</f>
        <v/>
      </c>
    </row>
    <row r="1847" spans="17:17" ht="14.25" customHeight="1" x14ac:dyDescent="0.3">
      <c r="Q1847" s="13" t="str">
        <f>IF(OR(Dashboard!$C$4="All Customers",$E1847=Dashboard!$C$4),IF($E1847="","",$P1847+ROW()/10000000),"")</f>
        <v/>
      </c>
    </row>
    <row r="1848" spans="17:17" ht="14.25" customHeight="1" x14ac:dyDescent="0.3">
      <c r="Q1848" s="13" t="str">
        <f>IF(OR(Dashboard!$C$4="All Customers",$E1848=Dashboard!$C$4),IF($E1848="","",$P1848+ROW()/10000000),"")</f>
        <v/>
      </c>
    </row>
    <row r="1849" spans="17:17" ht="14.25" customHeight="1" x14ac:dyDescent="0.3">
      <c r="Q1849" s="13" t="str">
        <f>IF(OR(Dashboard!$C$4="All Customers",$E1849=Dashboard!$C$4),IF($E1849="","",$P1849+ROW()/10000000),"")</f>
        <v/>
      </c>
    </row>
    <row r="1850" spans="17:17" ht="14.25" customHeight="1" x14ac:dyDescent="0.3">
      <c r="Q1850" s="13" t="str">
        <f>IF(OR(Dashboard!$C$4="All Customers",$E1850=Dashboard!$C$4),IF($E1850="","",$P1850+ROW()/10000000),"")</f>
        <v/>
      </c>
    </row>
    <row r="1851" spans="17:17" ht="14.25" customHeight="1" x14ac:dyDescent="0.3">
      <c r="Q1851" s="13" t="str">
        <f>IF(OR(Dashboard!$C$4="All Customers",$E1851=Dashboard!$C$4),IF($E1851="","",$P1851+ROW()/10000000),"")</f>
        <v/>
      </c>
    </row>
    <row r="1852" spans="17:17" ht="14.25" customHeight="1" x14ac:dyDescent="0.3">
      <c r="Q1852" s="13" t="str">
        <f>IF(OR(Dashboard!$C$4="All Customers",$E1852=Dashboard!$C$4),IF($E1852="","",$P1852+ROW()/10000000),"")</f>
        <v/>
      </c>
    </row>
    <row r="1853" spans="17:17" ht="14.25" customHeight="1" x14ac:dyDescent="0.3">
      <c r="Q1853" s="13" t="str">
        <f>IF(OR(Dashboard!$C$4="All Customers",$E1853=Dashboard!$C$4),IF($E1853="","",$P1853+ROW()/10000000),"")</f>
        <v/>
      </c>
    </row>
    <row r="1854" spans="17:17" ht="14.25" customHeight="1" x14ac:dyDescent="0.3">
      <c r="Q1854" s="13" t="str">
        <f>IF(OR(Dashboard!$C$4="All Customers",$E1854=Dashboard!$C$4),IF($E1854="","",$P1854+ROW()/10000000),"")</f>
        <v/>
      </c>
    </row>
    <row r="1855" spans="17:17" ht="14.25" customHeight="1" x14ac:dyDescent="0.3">
      <c r="Q1855" s="13" t="str">
        <f>IF(OR(Dashboard!$C$4="All Customers",$E1855=Dashboard!$C$4),IF($E1855="","",$P1855+ROW()/10000000),"")</f>
        <v/>
      </c>
    </row>
    <row r="1856" spans="17:17" ht="14.25" customHeight="1" x14ac:dyDescent="0.3">
      <c r="Q1856" s="13" t="str">
        <f>IF(OR(Dashboard!$C$4="All Customers",$E1856=Dashboard!$C$4),IF($E1856="","",$P1856+ROW()/10000000),"")</f>
        <v/>
      </c>
    </row>
    <row r="1857" spans="17:17" ht="14.25" customHeight="1" x14ac:dyDescent="0.3">
      <c r="Q1857" s="13" t="str">
        <f>IF(OR(Dashboard!$C$4="All Customers",$E1857=Dashboard!$C$4),IF($E1857="","",$P1857+ROW()/10000000),"")</f>
        <v/>
      </c>
    </row>
    <row r="1858" spans="17:17" ht="14.25" customHeight="1" x14ac:dyDescent="0.3">
      <c r="Q1858" s="13" t="str">
        <f>IF(OR(Dashboard!$C$4="All Customers",$E1858=Dashboard!$C$4),IF($E1858="","",$P1858+ROW()/10000000),"")</f>
        <v/>
      </c>
    </row>
    <row r="1859" spans="17:17" ht="14.25" customHeight="1" x14ac:dyDescent="0.3">
      <c r="Q1859" s="13" t="str">
        <f>IF(OR(Dashboard!$C$4="All Customers",$E1859=Dashboard!$C$4),IF($E1859="","",$P1859+ROW()/10000000),"")</f>
        <v/>
      </c>
    </row>
    <row r="1860" spans="17:17" ht="14.25" customHeight="1" x14ac:dyDescent="0.3">
      <c r="Q1860" s="13" t="str">
        <f>IF(OR(Dashboard!$C$4="All Customers",$E1860=Dashboard!$C$4),IF($E1860="","",$P1860+ROW()/10000000),"")</f>
        <v/>
      </c>
    </row>
    <row r="1861" spans="17:17" ht="14.25" customHeight="1" x14ac:dyDescent="0.3">
      <c r="Q1861" s="13" t="str">
        <f>IF(OR(Dashboard!$C$4="All Customers",$E1861=Dashboard!$C$4),IF($E1861="","",$P1861+ROW()/10000000),"")</f>
        <v/>
      </c>
    </row>
    <row r="1862" spans="17:17" ht="14.25" customHeight="1" x14ac:dyDescent="0.3">
      <c r="Q1862" s="13" t="str">
        <f>IF(OR(Dashboard!$C$4="All Customers",$E1862=Dashboard!$C$4),IF($E1862="","",$P1862+ROW()/10000000),"")</f>
        <v/>
      </c>
    </row>
    <row r="1863" spans="17:17" ht="14.25" customHeight="1" x14ac:dyDescent="0.3">
      <c r="Q1863" s="13" t="str">
        <f>IF(OR(Dashboard!$C$4="All Customers",$E1863=Dashboard!$C$4),IF($E1863="","",$P1863+ROW()/10000000),"")</f>
        <v/>
      </c>
    </row>
    <row r="1864" spans="17:17" ht="14.25" customHeight="1" x14ac:dyDescent="0.3">
      <c r="Q1864" s="13" t="str">
        <f>IF(OR(Dashboard!$C$4="All Customers",$E1864=Dashboard!$C$4),IF($E1864="","",$P1864+ROW()/10000000),"")</f>
        <v/>
      </c>
    </row>
    <row r="1865" spans="17:17" ht="14.25" customHeight="1" x14ac:dyDescent="0.3">
      <c r="Q1865" s="13" t="str">
        <f>IF(OR(Dashboard!$C$4="All Customers",$E1865=Dashboard!$C$4),IF($E1865="","",$P1865+ROW()/10000000),"")</f>
        <v/>
      </c>
    </row>
    <row r="1866" spans="17:17" ht="14.25" customHeight="1" x14ac:dyDescent="0.3">
      <c r="Q1866" s="13" t="str">
        <f>IF(OR(Dashboard!$C$4="All Customers",$E1866=Dashboard!$C$4),IF($E1866="","",$P1866+ROW()/10000000),"")</f>
        <v/>
      </c>
    </row>
    <row r="1867" spans="17:17" ht="14.25" customHeight="1" x14ac:dyDescent="0.3">
      <c r="Q1867" s="13" t="str">
        <f>IF(OR(Dashboard!$C$4="All Customers",$E1867=Dashboard!$C$4),IF($E1867="","",$P1867+ROW()/10000000),"")</f>
        <v/>
      </c>
    </row>
    <row r="1868" spans="17:17" ht="14.25" customHeight="1" x14ac:dyDescent="0.3">
      <c r="Q1868" s="13" t="str">
        <f>IF(OR(Dashboard!$C$4="All Customers",$E1868=Dashboard!$C$4),IF($E1868="","",$P1868+ROW()/10000000),"")</f>
        <v/>
      </c>
    </row>
    <row r="1869" spans="17:17" ht="14.25" customHeight="1" x14ac:dyDescent="0.3">
      <c r="Q1869" s="13" t="str">
        <f>IF(OR(Dashboard!$C$4="All Customers",$E1869=Dashboard!$C$4),IF($E1869="","",$P1869+ROW()/10000000),"")</f>
        <v/>
      </c>
    </row>
    <row r="1870" spans="17:17" ht="14.25" customHeight="1" x14ac:dyDescent="0.3">
      <c r="Q1870" s="13" t="str">
        <f>IF(OR(Dashboard!$C$4="All Customers",$E1870=Dashboard!$C$4),IF($E1870="","",$P1870+ROW()/10000000),"")</f>
        <v/>
      </c>
    </row>
    <row r="1871" spans="17:17" ht="14.25" customHeight="1" x14ac:dyDescent="0.3">
      <c r="Q1871" s="13" t="str">
        <f>IF(OR(Dashboard!$C$4="All Customers",$E1871=Dashboard!$C$4),IF($E1871="","",$P1871+ROW()/10000000),"")</f>
        <v/>
      </c>
    </row>
    <row r="1872" spans="17:17" ht="14.25" customHeight="1" x14ac:dyDescent="0.3">
      <c r="Q1872" s="13" t="str">
        <f>IF(OR(Dashboard!$C$4="All Customers",$E1872=Dashboard!$C$4),IF($E1872="","",$P1872+ROW()/10000000),"")</f>
        <v/>
      </c>
    </row>
    <row r="1873" spans="17:17" ht="14.25" customHeight="1" x14ac:dyDescent="0.3">
      <c r="Q1873" s="13" t="str">
        <f>IF(OR(Dashboard!$C$4="All Customers",$E1873=Dashboard!$C$4),IF($E1873="","",$P1873+ROW()/10000000),"")</f>
        <v/>
      </c>
    </row>
    <row r="1874" spans="17:17" ht="14.25" customHeight="1" x14ac:dyDescent="0.3">
      <c r="Q1874" s="13" t="str">
        <f>IF(OR(Dashboard!$C$4="All Customers",$E1874=Dashboard!$C$4),IF($E1874="","",$P1874+ROW()/10000000),"")</f>
        <v/>
      </c>
    </row>
    <row r="1875" spans="17:17" ht="14.25" customHeight="1" x14ac:dyDescent="0.3">
      <c r="Q1875" s="13" t="str">
        <f>IF(OR(Dashboard!$C$4="All Customers",$E1875=Dashboard!$C$4),IF($E1875="","",$P1875+ROW()/10000000),"")</f>
        <v/>
      </c>
    </row>
    <row r="1876" spans="17:17" ht="14.25" customHeight="1" x14ac:dyDescent="0.3">
      <c r="Q1876" s="13" t="str">
        <f>IF(OR(Dashboard!$C$4="All Customers",$E1876=Dashboard!$C$4),IF($E1876="","",$P1876+ROW()/10000000),"")</f>
        <v/>
      </c>
    </row>
    <row r="1877" spans="17:17" ht="14.25" customHeight="1" x14ac:dyDescent="0.3">
      <c r="Q1877" s="13" t="str">
        <f>IF(OR(Dashboard!$C$4="All Customers",$E1877=Dashboard!$C$4),IF($E1877="","",$P1877+ROW()/10000000),"")</f>
        <v/>
      </c>
    </row>
    <row r="1878" spans="17:17" ht="14.25" customHeight="1" x14ac:dyDescent="0.3">
      <c r="Q1878" s="13" t="str">
        <f>IF(OR(Dashboard!$C$4="All Customers",$E1878=Dashboard!$C$4),IF($E1878="","",$P1878+ROW()/10000000),"")</f>
        <v/>
      </c>
    </row>
    <row r="1879" spans="17:17" ht="14.25" customHeight="1" x14ac:dyDescent="0.3">
      <c r="Q1879" s="13" t="str">
        <f>IF(OR(Dashboard!$C$4="All Customers",$E1879=Dashboard!$C$4),IF($E1879="","",$P1879+ROW()/10000000),"")</f>
        <v/>
      </c>
    </row>
    <row r="1880" spans="17:17" ht="14.25" customHeight="1" x14ac:dyDescent="0.3">
      <c r="Q1880" s="13" t="str">
        <f>IF(OR(Dashboard!$C$4="All Customers",$E1880=Dashboard!$C$4),IF($E1880="","",$P1880+ROW()/10000000),"")</f>
        <v/>
      </c>
    </row>
    <row r="1881" spans="17:17" ht="14.25" customHeight="1" x14ac:dyDescent="0.3">
      <c r="Q1881" s="13" t="str">
        <f>IF(OR(Dashboard!$C$4="All Customers",$E1881=Dashboard!$C$4),IF($E1881="","",$P1881+ROW()/10000000),"")</f>
        <v/>
      </c>
    </row>
    <row r="1882" spans="17:17" ht="14.25" customHeight="1" x14ac:dyDescent="0.3">
      <c r="Q1882" s="13" t="str">
        <f>IF(OR(Dashboard!$C$4="All Customers",$E1882=Dashboard!$C$4),IF($E1882="","",$P1882+ROW()/10000000),"")</f>
        <v/>
      </c>
    </row>
    <row r="1883" spans="17:17" ht="14.25" customHeight="1" x14ac:dyDescent="0.3">
      <c r="Q1883" s="13" t="str">
        <f>IF(OR(Dashboard!$C$4="All Customers",$E1883=Dashboard!$C$4),IF($E1883="","",$P1883+ROW()/10000000),"")</f>
        <v/>
      </c>
    </row>
    <row r="1884" spans="17:17" ht="14.25" customHeight="1" x14ac:dyDescent="0.3">
      <c r="Q1884" s="13" t="str">
        <f>IF(OR(Dashboard!$C$4="All Customers",$E1884=Dashboard!$C$4),IF($E1884="","",$P1884+ROW()/10000000),"")</f>
        <v/>
      </c>
    </row>
    <row r="1885" spans="17:17" ht="14.25" customHeight="1" x14ac:dyDescent="0.3">
      <c r="Q1885" s="13" t="str">
        <f>IF(OR(Dashboard!$C$4="All Customers",$E1885=Dashboard!$C$4),IF($E1885="","",$P1885+ROW()/10000000),"")</f>
        <v/>
      </c>
    </row>
    <row r="1886" spans="17:17" ht="14.25" customHeight="1" x14ac:dyDescent="0.3">
      <c r="Q1886" s="13" t="str">
        <f>IF(OR(Dashboard!$C$4="All Customers",$E1886=Dashboard!$C$4),IF($E1886="","",$P1886+ROW()/10000000),"")</f>
        <v/>
      </c>
    </row>
    <row r="1887" spans="17:17" ht="14.25" customHeight="1" x14ac:dyDescent="0.3">
      <c r="Q1887" s="13" t="str">
        <f>IF(OR(Dashboard!$C$4="All Customers",$E1887=Dashboard!$C$4),IF($E1887="","",$P1887+ROW()/10000000),"")</f>
        <v/>
      </c>
    </row>
    <row r="1888" spans="17:17" ht="14.25" customHeight="1" x14ac:dyDescent="0.3">
      <c r="Q1888" s="13" t="str">
        <f>IF(OR(Dashboard!$C$4="All Customers",$E1888=Dashboard!$C$4),IF($E1888="","",$P1888+ROW()/10000000),"")</f>
        <v/>
      </c>
    </row>
    <row r="1889" spans="17:17" ht="14.25" customHeight="1" x14ac:dyDescent="0.3">
      <c r="Q1889" s="13" t="str">
        <f>IF(OR(Dashboard!$C$4="All Customers",$E1889=Dashboard!$C$4),IF($E1889="","",$P1889+ROW()/10000000),"")</f>
        <v/>
      </c>
    </row>
    <row r="1890" spans="17:17" ht="14.25" customHeight="1" x14ac:dyDescent="0.3">
      <c r="Q1890" s="13" t="str">
        <f>IF(OR(Dashboard!$C$4="All Customers",$E1890=Dashboard!$C$4),IF($E1890="","",$P1890+ROW()/10000000),"")</f>
        <v/>
      </c>
    </row>
    <row r="1891" spans="17:17" ht="14.25" customHeight="1" x14ac:dyDescent="0.3">
      <c r="Q1891" s="13" t="str">
        <f>IF(OR(Dashboard!$C$4="All Customers",$E1891=Dashboard!$C$4),IF($E1891="","",$P1891+ROW()/10000000),"")</f>
        <v/>
      </c>
    </row>
    <row r="1892" spans="17:17" ht="14.25" customHeight="1" x14ac:dyDescent="0.3">
      <c r="Q1892" s="13" t="str">
        <f>IF(OR(Dashboard!$C$4="All Customers",$E1892=Dashboard!$C$4),IF($E1892="","",$P1892+ROW()/10000000),"")</f>
        <v/>
      </c>
    </row>
    <row r="1893" spans="17:17" ht="14.25" customHeight="1" x14ac:dyDescent="0.3">
      <c r="Q1893" s="13" t="str">
        <f>IF(OR(Dashboard!$C$4="All Customers",$E1893=Dashboard!$C$4),IF($E1893="","",$P1893+ROW()/10000000),"")</f>
        <v/>
      </c>
    </row>
    <row r="1894" spans="17:17" ht="14.25" customHeight="1" x14ac:dyDescent="0.3">
      <c r="Q1894" s="13" t="str">
        <f>IF(OR(Dashboard!$C$4="All Customers",$E1894=Dashboard!$C$4),IF($E1894="","",$P1894+ROW()/10000000),"")</f>
        <v/>
      </c>
    </row>
    <row r="1895" spans="17:17" ht="14.25" customHeight="1" x14ac:dyDescent="0.3">
      <c r="Q1895" s="13" t="str">
        <f>IF(OR(Dashboard!$C$4="All Customers",$E1895=Dashboard!$C$4),IF($E1895="","",$P1895+ROW()/10000000),"")</f>
        <v/>
      </c>
    </row>
    <row r="1896" spans="17:17" ht="14.25" customHeight="1" x14ac:dyDescent="0.3">
      <c r="Q1896" s="13" t="str">
        <f>IF(OR(Dashboard!$C$4="All Customers",$E1896=Dashboard!$C$4),IF($E1896="","",$P1896+ROW()/10000000),"")</f>
        <v/>
      </c>
    </row>
    <row r="1897" spans="17:17" ht="14.25" customHeight="1" x14ac:dyDescent="0.3">
      <c r="Q1897" s="13" t="str">
        <f>IF(OR(Dashboard!$C$4="All Customers",$E1897=Dashboard!$C$4),IF($E1897="","",$P1897+ROW()/10000000),"")</f>
        <v/>
      </c>
    </row>
    <row r="1898" spans="17:17" ht="14.25" customHeight="1" x14ac:dyDescent="0.3">
      <c r="Q1898" s="13" t="str">
        <f>IF(OR(Dashboard!$C$4="All Customers",$E1898=Dashboard!$C$4),IF($E1898="","",$P1898+ROW()/10000000),"")</f>
        <v/>
      </c>
    </row>
    <row r="1899" spans="17:17" ht="14.25" customHeight="1" x14ac:dyDescent="0.3">
      <c r="Q1899" s="13" t="str">
        <f>IF(OR(Dashboard!$C$4="All Customers",$E1899=Dashboard!$C$4),IF($E1899="","",$P1899+ROW()/10000000),"")</f>
        <v/>
      </c>
    </row>
    <row r="1900" spans="17:17" ht="14.25" customHeight="1" x14ac:dyDescent="0.3">
      <c r="Q1900" s="13" t="str">
        <f>IF(OR(Dashboard!$C$4="All Customers",$E1900=Dashboard!$C$4),IF($E1900="","",$P1900+ROW()/10000000),"")</f>
        <v/>
      </c>
    </row>
    <row r="1901" spans="17:17" ht="14.25" customHeight="1" x14ac:dyDescent="0.3">
      <c r="Q1901" s="13" t="str">
        <f>IF(OR(Dashboard!$C$4="All Customers",$E1901=Dashboard!$C$4),IF($E1901="","",$P1901+ROW()/10000000),"")</f>
        <v/>
      </c>
    </row>
    <row r="1902" spans="17:17" ht="14.25" customHeight="1" x14ac:dyDescent="0.3">
      <c r="Q1902" s="13" t="str">
        <f>IF(OR(Dashboard!$C$4="All Customers",$E1902=Dashboard!$C$4),IF($E1902="","",$P1902+ROW()/10000000),"")</f>
        <v/>
      </c>
    </row>
    <row r="1903" spans="17:17" ht="14.25" customHeight="1" x14ac:dyDescent="0.3">
      <c r="Q1903" s="13" t="str">
        <f>IF(OR(Dashboard!$C$4="All Customers",$E1903=Dashboard!$C$4),IF($E1903="","",$P1903+ROW()/10000000),"")</f>
        <v/>
      </c>
    </row>
    <row r="1904" spans="17:17" ht="14.25" customHeight="1" x14ac:dyDescent="0.3">
      <c r="Q1904" s="13" t="str">
        <f>IF(OR(Dashboard!$C$4="All Customers",$E1904=Dashboard!$C$4),IF($E1904="","",$P1904+ROW()/10000000),"")</f>
        <v/>
      </c>
    </row>
    <row r="1905" spans="17:17" ht="14.25" customHeight="1" x14ac:dyDescent="0.3">
      <c r="Q1905" s="13" t="str">
        <f>IF(OR(Dashboard!$C$4="All Customers",$E1905=Dashboard!$C$4),IF($E1905="","",$P1905+ROW()/10000000),"")</f>
        <v/>
      </c>
    </row>
    <row r="1906" spans="17:17" ht="14.25" customHeight="1" x14ac:dyDescent="0.3">
      <c r="Q1906" s="13" t="str">
        <f>IF(OR(Dashboard!$C$4="All Customers",$E1906=Dashboard!$C$4),IF($E1906="","",$P1906+ROW()/10000000),"")</f>
        <v/>
      </c>
    </row>
    <row r="1907" spans="17:17" ht="14.25" customHeight="1" x14ac:dyDescent="0.3">
      <c r="Q1907" s="13" t="str">
        <f>IF(OR(Dashboard!$C$4="All Customers",$E1907=Dashboard!$C$4),IF($E1907="","",$P1907+ROW()/10000000),"")</f>
        <v/>
      </c>
    </row>
    <row r="1908" spans="17:17" ht="14.25" customHeight="1" x14ac:dyDescent="0.3">
      <c r="Q1908" s="13" t="str">
        <f>IF(OR(Dashboard!$C$4="All Customers",$E1908=Dashboard!$C$4),IF($E1908="","",$P1908+ROW()/10000000),"")</f>
        <v/>
      </c>
    </row>
    <row r="1909" spans="17:17" ht="14.25" customHeight="1" x14ac:dyDescent="0.3">
      <c r="Q1909" s="13" t="str">
        <f>IF(OR(Dashboard!$C$4="All Customers",$E1909=Dashboard!$C$4),IF($E1909="","",$P1909+ROW()/10000000),"")</f>
        <v/>
      </c>
    </row>
    <row r="1910" spans="17:17" ht="14.25" customHeight="1" x14ac:dyDescent="0.3">
      <c r="Q1910" s="13" t="str">
        <f>IF(OR(Dashboard!$C$4="All Customers",$E1910=Dashboard!$C$4),IF($E1910="","",$P1910+ROW()/10000000),"")</f>
        <v/>
      </c>
    </row>
    <row r="1911" spans="17:17" ht="14.25" customHeight="1" x14ac:dyDescent="0.3">
      <c r="Q1911" s="13" t="str">
        <f>IF(OR(Dashboard!$C$4="All Customers",$E1911=Dashboard!$C$4),IF($E1911="","",$P1911+ROW()/10000000),"")</f>
        <v/>
      </c>
    </row>
    <row r="1912" spans="17:17" ht="14.25" customHeight="1" x14ac:dyDescent="0.3">
      <c r="Q1912" s="13" t="str">
        <f>IF(OR(Dashboard!$C$4="All Customers",$E1912=Dashboard!$C$4),IF($E1912="","",$P1912+ROW()/10000000),"")</f>
        <v/>
      </c>
    </row>
    <row r="1913" spans="17:17" ht="14.25" customHeight="1" x14ac:dyDescent="0.3">
      <c r="Q1913" s="13" t="str">
        <f>IF(OR(Dashboard!$C$4="All Customers",$E1913=Dashboard!$C$4),IF($E1913="","",$P1913+ROW()/10000000),"")</f>
        <v/>
      </c>
    </row>
    <row r="1914" spans="17:17" ht="14.25" customHeight="1" x14ac:dyDescent="0.3">
      <c r="Q1914" s="13" t="str">
        <f>IF(OR(Dashboard!$C$4="All Customers",$E1914=Dashboard!$C$4),IF($E1914="","",$P1914+ROW()/10000000),"")</f>
        <v/>
      </c>
    </row>
    <row r="1915" spans="17:17" ht="14.25" customHeight="1" x14ac:dyDescent="0.3">
      <c r="Q1915" s="13" t="str">
        <f>IF(OR(Dashboard!$C$4="All Customers",$E1915=Dashboard!$C$4),IF($E1915="","",$P1915+ROW()/10000000),"")</f>
        <v/>
      </c>
    </row>
    <row r="1916" spans="17:17" ht="14.25" customHeight="1" x14ac:dyDescent="0.3">
      <c r="Q1916" s="13" t="str">
        <f>IF(OR(Dashboard!$C$4="All Customers",$E1916=Dashboard!$C$4),IF($E1916="","",$P1916+ROW()/10000000),"")</f>
        <v/>
      </c>
    </row>
    <row r="1917" spans="17:17" ht="14.25" customHeight="1" x14ac:dyDescent="0.3">
      <c r="Q1917" s="13" t="str">
        <f>IF(OR(Dashboard!$C$4="All Customers",$E1917=Dashboard!$C$4),IF($E1917="","",$P1917+ROW()/10000000),"")</f>
        <v/>
      </c>
    </row>
    <row r="1918" spans="17:17" ht="14.25" customHeight="1" x14ac:dyDescent="0.3">
      <c r="Q1918" s="13" t="str">
        <f>IF(OR(Dashboard!$C$4="All Customers",$E1918=Dashboard!$C$4),IF($E1918="","",$P1918+ROW()/10000000),"")</f>
        <v/>
      </c>
    </row>
    <row r="1919" spans="17:17" ht="14.25" customHeight="1" x14ac:dyDescent="0.3">
      <c r="Q1919" s="13" t="str">
        <f>IF(OR(Dashboard!$C$4="All Customers",$E1919=Dashboard!$C$4),IF($E1919="","",$P1919+ROW()/10000000),"")</f>
        <v/>
      </c>
    </row>
    <row r="1920" spans="17:17" ht="14.25" customHeight="1" x14ac:dyDescent="0.3">
      <c r="Q1920" s="13" t="str">
        <f>IF(OR(Dashboard!$C$4="All Customers",$E1920=Dashboard!$C$4),IF($E1920="","",$P1920+ROW()/10000000),"")</f>
        <v/>
      </c>
    </row>
    <row r="1921" spans="17:17" ht="14.25" customHeight="1" x14ac:dyDescent="0.3">
      <c r="Q1921" s="13" t="str">
        <f>IF(OR(Dashboard!$C$4="All Customers",$E1921=Dashboard!$C$4),IF($E1921="","",$P1921+ROW()/10000000),"")</f>
        <v/>
      </c>
    </row>
    <row r="1922" spans="17:17" ht="14.25" customHeight="1" x14ac:dyDescent="0.3">
      <c r="Q1922" s="13" t="str">
        <f>IF(OR(Dashboard!$C$4="All Customers",$E1922=Dashboard!$C$4),IF($E1922="","",$P1922+ROW()/10000000),"")</f>
        <v/>
      </c>
    </row>
    <row r="1923" spans="17:17" ht="14.25" customHeight="1" x14ac:dyDescent="0.3">
      <c r="Q1923" s="13" t="str">
        <f>IF(OR(Dashboard!$C$4="All Customers",$E1923=Dashboard!$C$4),IF($E1923="","",$P1923+ROW()/10000000),"")</f>
        <v/>
      </c>
    </row>
    <row r="1924" spans="17:17" ht="14.25" customHeight="1" x14ac:dyDescent="0.3">
      <c r="Q1924" s="13" t="str">
        <f>IF(OR(Dashboard!$C$4="All Customers",$E1924=Dashboard!$C$4),IF($E1924="","",$P1924+ROW()/10000000),"")</f>
        <v/>
      </c>
    </row>
    <row r="1925" spans="17:17" ht="14.25" customHeight="1" x14ac:dyDescent="0.3">
      <c r="Q1925" s="13" t="str">
        <f>IF(OR(Dashboard!$C$4="All Customers",$E1925=Dashboard!$C$4),IF($E1925="","",$P1925+ROW()/10000000),"")</f>
        <v/>
      </c>
    </row>
    <row r="1926" spans="17:17" ht="14.25" customHeight="1" x14ac:dyDescent="0.3">
      <c r="Q1926" s="13" t="str">
        <f>IF(OR(Dashboard!$C$4="All Customers",$E1926=Dashboard!$C$4),IF($E1926="","",$P1926+ROW()/10000000),"")</f>
        <v/>
      </c>
    </row>
    <row r="1927" spans="17:17" ht="14.25" customHeight="1" x14ac:dyDescent="0.3">
      <c r="Q1927" s="13" t="str">
        <f>IF(OR(Dashboard!$C$4="All Customers",$E1927=Dashboard!$C$4),IF($E1927="","",$P1927+ROW()/10000000),"")</f>
        <v/>
      </c>
    </row>
    <row r="1928" spans="17:17" ht="14.25" customHeight="1" x14ac:dyDescent="0.3">
      <c r="Q1928" s="13" t="str">
        <f>IF(OR(Dashboard!$C$4="All Customers",$E1928=Dashboard!$C$4),IF($E1928="","",$P1928+ROW()/10000000),"")</f>
        <v/>
      </c>
    </row>
    <row r="1929" spans="17:17" ht="14.25" customHeight="1" x14ac:dyDescent="0.3">
      <c r="Q1929" s="13" t="str">
        <f>IF(OR(Dashboard!$C$4="All Customers",$E1929=Dashboard!$C$4),IF($E1929="","",$P1929+ROW()/10000000),"")</f>
        <v/>
      </c>
    </row>
    <row r="1930" spans="17:17" ht="14.25" customHeight="1" x14ac:dyDescent="0.3">
      <c r="Q1930" s="13" t="str">
        <f>IF(OR(Dashboard!$C$4="All Customers",$E1930=Dashboard!$C$4),IF($E1930="","",$P1930+ROW()/10000000),"")</f>
        <v/>
      </c>
    </row>
    <row r="1931" spans="17:17" ht="14.25" customHeight="1" x14ac:dyDescent="0.3">
      <c r="Q1931" s="13" t="str">
        <f>IF(OR(Dashboard!$C$4="All Customers",$E1931=Dashboard!$C$4),IF($E1931="","",$P1931+ROW()/10000000),"")</f>
        <v/>
      </c>
    </row>
    <row r="1932" spans="17:17" ht="14.25" customHeight="1" x14ac:dyDescent="0.3">
      <c r="Q1932" s="13" t="str">
        <f>IF(OR(Dashboard!$C$4="All Customers",$E1932=Dashboard!$C$4),IF($E1932="","",$P1932+ROW()/10000000),"")</f>
        <v/>
      </c>
    </row>
    <row r="1933" spans="17:17" ht="14.25" customHeight="1" x14ac:dyDescent="0.3">
      <c r="Q1933" s="13" t="str">
        <f>IF(OR(Dashboard!$C$4="All Customers",$E1933=Dashboard!$C$4),IF($E1933="","",$P1933+ROW()/10000000),"")</f>
        <v/>
      </c>
    </row>
    <row r="1934" spans="17:17" ht="14.25" customHeight="1" x14ac:dyDescent="0.3">
      <c r="Q1934" s="13" t="str">
        <f>IF(OR(Dashboard!$C$4="All Customers",$E1934=Dashboard!$C$4),IF($E1934="","",$P1934+ROW()/10000000),"")</f>
        <v/>
      </c>
    </row>
    <row r="1935" spans="17:17" ht="14.25" customHeight="1" x14ac:dyDescent="0.3">
      <c r="Q1935" s="13" t="str">
        <f>IF(OR(Dashboard!$C$4="All Customers",$E1935=Dashboard!$C$4),IF($E1935="","",$P1935+ROW()/10000000),"")</f>
        <v/>
      </c>
    </row>
    <row r="1936" spans="17:17" ht="14.25" customHeight="1" x14ac:dyDescent="0.3">
      <c r="Q1936" s="13" t="str">
        <f>IF(OR(Dashboard!$C$4="All Customers",$E1936=Dashboard!$C$4),IF($E1936="","",$P1936+ROW()/10000000),"")</f>
        <v/>
      </c>
    </row>
    <row r="1937" spans="17:17" ht="14.25" customHeight="1" x14ac:dyDescent="0.3">
      <c r="Q1937" s="13" t="str">
        <f>IF(OR(Dashboard!$C$4="All Customers",$E1937=Dashboard!$C$4),IF($E1937="","",$P1937+ROW()/10000000),"")</f>
        <v/>
      </c>
    </row>
    <row r="1938" spans="17:17" ht="14.25" customHeight="1" x14ac:dyDescent="0.3">
      <c r="Q1938" s="13" t="str">
        <f>IF(OR(Dashboard!$C$4="All Customers",$E1938=Dashboard!$C$4),IF($E1938="","",$P1938+ROW()/10000000),"")</f>
        <v/>
      </c>
    </row>
    <row r="1939" spans="17:17" ht="14.25" customHeight="1" x14ac:dyDescent="0.3">
      <c r="Q1939" s="13" t="str">
        <f>IF(OR(Dashboard!$C$4="All Customers",$E1939=Dashboard!$C$4),IF($E1939="","",$P1939+ROW()/10000000),"")</f>
        <v/>
      </c>
    </row>
    <row r="1940" spans="17:17" ht="14.25" customHeight="1" x14ac:dyDescent="0.3">
      <c r="Q1940" s="13" t="str">
        <f>IF(OR(Dashboard!$C$4="All Customers",$E1940=Dashboard!$C$4),IF($E1940="","",$P1940+ROW()/10000000),"")</f>
        <v/>
      </c>
    </row>
    <row r="1941" spans="17:17" ht="14.25" customHeight="1" x14ac:dyDescent="0.3">
      <c r="Q1941" s="13" t="str">
        <f>IF(OR(Dashboard!$C$4="All Customers",$E1941=Dashboard!$C$4),IF($E1941="","",$P1941+ROW()/10000000),"")</f>
        <v/>
      </c>
    </row>
    <row r="1942" spans="17:17" ht="14.25" customHeight="1" x14ac:dyDescent="0.3">
      <c r="Q1942" s="13" t="str">
        <f>IF(OR(Dashboard!$C$4="All Customers",$E1942=Dashboard!$C$4),IF($E1942="","",$P1942+ROW()/10000000),"")</f>
        <v/>
      </c>
    </row>
    <row r="1943" spans="17:17" ht="14.25" customHeight="1" x14ac:dyDescent="0.3">
      <c r="Q1943" s="13" t="str">
        <f>IF(OR(Dashboard!$C$4="All Customers",$E1943=Dashboard!$C$4),IF($E1943="","",$P1943+ROW()/10000000),"")</f>
        <v/>
      </c>
    </row>
    <row r="1944" spans="17:17" ht="14.25" customHeight="1" x14ac:dyDescent="0.3">
      <c r="Q1944" s="13" t="str">
        <f>IF(OR(Dashboard!$C$4="All Customers",$E1944=Dashboard!$C$4),IF($E1944="","",$P1944+ROW()/10000000),"")</f>
        <v/>
      </c>
    </row>
    <row r="1945" spans="17:17" ht="14.25" customHeight="1" x14ac:dyDescent="0.3">
      <c r="Q1945" s="13" t="str">
        <f>IF(OR(Dashboard!$C$4="All Customers",$E1945=Dashboard!$C$4),IF($E1945="","",$P1945+ROW()/10000000),"")</f>
        <v/>
      </c>
    </row>
    <row r="1946" spans="17:17" ht="14.25" customHeight="1" x14ac:dyDescent="0.3">
      <c r="Q1946" s="13" t="str">
        <f>IF(OR(Dashboard!$C$4="All Customers",$E1946=Dashboard!$C$4),IF($E1946="","",$P1946+ROW()/10000000),"")</f>
        <v/>
      </c>
    </row>
    <row r="1947" spans="17:17" ht="14.25" customHeight="1" x14ac:dyDescent="0.3">
      <c r="Q1947" s="13" t="str">
        <f>IF(OR(Dashboard!$C$4="All Customers",$E1947=Dashboard!$C$4),IF($E1947="","",$P1947+ROW()/10000000),"")</f>
        <v/>
      </c>
    </row>
    <row r="1948" spans="17:17" ht="14.25" customHeight="1" x14ac:dyDescent="0.3">
      <c r="Q1948" s="13" t="str">
        <f>IF(OR(Dashboard!$C$4="All Customers",$E1948=Dashboard!$C$4),IF($E1948="","",$P1948+ROW()/10000000),"")</f>
        <v/>
      </c>
    </row>
    <row r="1949" spans="17:17" ht="14.25" customHeight="1" x14ac:dyDescent="0.3">
      <c r="Q1949" s="13" t="str">
        <f>IF(OR(Dashboard!$C$4="All Customers",$E1949=Dashboard!$C$4),IF($E1949="","",$P1949+ROW()/10000000),"")</f>
        <v/>
      </c>
    </row>
    <row r="1950" spans="17:17" ht="14.25" customHeight="1" x14ac:dyDescent="0.3">
      <c r="Q1950" s="13" t="str">
        <f>IF(OR(Dashboard!$C$4="All Customers",$E1950=Dashboard!$C$4),IF($E1950="","",$P1950+ROW()/10000000),"")</f>
        <v/>
      </c>
    </row>
    <row r="1951" spans="17:17" ht="14.25" customHeight="1" x14ac:dyDescent="0.3">
      <c r="Q1951" s="13" t="str">
        <f>IF(OR(Dashboard!$C$4="All Customers",$E1951=Dashboard!$C$4),IF($E1951="","",$P1951+ROW()/10000000),"")</f>
        <v/>
      </c>
    </row>
    <row r="1952" spans="17:17" ht="14.25" customHeight="1" x14ac:dyDescent="0.3">
      <c r="Q1952" s="13" t="str">
        <f>IF(OR(Dashboard!$C$4="All Customers",$E1952=Dashboard!$C$4),IF($E1952="","",$P1952+ROW()/10000000),"")</f>
        <v/>
      </c>
    </row>
    <row r="1953" spans="17:17" ht="14.25" customHeight="1" x14ac:dyDescent="0.3">
      <c r="Q1953" s="13" t="str">
        <f>IF(OR(Dashboard!$C$4="All Customers",$E1953=Dashboard!$C$4),IF($E1953="","",$P1953+ROW()/10000000),"")</f>
        <v/>
      </c>
    </row>
    <row r="1954" spans="17:17" ht="14.25" customHeight="1" x14ac:dyDescent="0.3">
      <c r="Q1954" s="13" t="str">
        <f>IF(OR(Dashboard!$C$4="All Customers",$E1954=Dashboard!$C$4),IF($E1954="","",$P1954+ROW()/10000000),"")</f>
        <v/>
      </c>
    </row>
    <row r="1955" spans="17:17" ht="14.25" customHeight="1" x14ac:dyDescent="0.3">
      <c r="Q1955" s="13" t="str">
        <f>IF(OR(Dashboard!$C$4="All Customers",$E1955=Dashboard!$C$4),IF($E1955="","",$P1955+ROW()/10000000),"")</f>
        <v/>
      </c>
    </row>
    <row r="1956" spans="17:17" ht="14.25" customHeight="1" x14ac:dyDescent="0.3">
      <c r="Q1956" s="13" t="str">
        <f>IF(OR(Dashboard!$C$4="All Customers",$E1956=Dashboard!$C$4),IF($E1956="","",$P1956+ROW()/10000000),"")</f>
        <v/>
      </c>
    </row>
    <row r="1957" spans="17:17" ht="14.25" customHeight="1" x14ac:dyDescent="0.3">
      <c r="Q1957" s="13" t="str">
        <f>IF(OR(Dashboard!$C$4="All Customers",$E1957=Dashboard!$C$4),IF($E1957="","",$P1957+ROW()/10000000),"")</f>
        <v/>
      </c>
    </row>
    <row r="1958" spans="17:17" ht="14.25" customHeight="1" x14ac:dyDescent="0.3">
      <c r="Q1958" s="13" t="str">
        <f>IF(OR(Dashboard!$C$4="All Customers",$E1958=Dashboard!$C$4),IF($E1958="","",$P1958+ROW()/10000000),"")</f>
        <v/>
      </c>
    </row>
    <row r="1959" spans="17:17" ht="14.25" customHeight="1" x14ac:dyDescent="0.3">
      <c r="Q1959" s="13" t="str">
        <f>IF(OR(Dashboard!$C$4="All Customers",$E1959=Dashboard!$C$4),IF($E1959="","",$P1959+ROW()/10000000),"")</f>
        <v/>
      </c>
    </row>
    <row r="1960" spans="17:17" ht="14.25" customHeight="1" x14ac:dyDescent="0.3">
      <c r="Q1960" s="13" t="str">
        <f>IF(OR(Dashboard!$C$4="All Customers",$E1960=Dashboard!$C$4),IF($E1960="","",$P1960+ROW()/10000000),"")</f>
        <v/>
      </c>
    </row>
    <row r="1961" spans="17:17" ht="14.25" customHeight="1" x14ac:dyDescent="0.3">
      <c r="Q1961" s="13" t="str">
        <f>IF(OR(Dashboard!$C$4="All Customers",$E1961=Dashboard!$C$4),IF($E1961="","",$P1961+ROW()/10000000),"")</f>
        <v/>
      </c>
    </row>
    <row r="1962" spans="17:17" ht="14.25" customHeight="1" x14ac:dyDescent="0.3">
      <c r="Q1962" s="13" t="str">
        <f>IF(OR(Dashboard!$C$4="All Customers",$E1962=Dashboard!$C$4),IF($E1962="","",$P1962+ROW()/10000000),"")</f>
        <v/>
      </c>
    </row>
    <row r="1963" spans="17:17" ht="14.25" customHeight="1" x14ac:dyDescent="0.3">
      <c r="Q1963" s="13" t="str">
        <f>IF(OR(Dashboard!$C$4="All Customers",$E1963=Dashboard!$C$4),IF($E1963="","",$P1963+ROW()/10000000),"")</f>
        <v/>
      </c>
    </row>
    <row r="1964" spans="17:17" ht="14.25" customHeight="1" x14ac:dyDescent="0.3">
      <c r="Q1964" s="13" t="str">
        <f>IF(OR(Dashboard!$C$4="All Customers",$E1964=Dashboard!$C$4),IF($E1964="","",$P1964+ROW()/10000000),"")</f>
        <v/>
      </c>
    </row>
    <row r="1965" spans="17:17" ht="14.25" customHeight="1" x14ac:dyDescent="0.3">
      <c r="Q1965" s="13" t="str">
        <f>IF(OR(Dashboard!$C$4="All Customers",$E1965=Dashboard!$C$4),IF($E1965="","",$P1965+ROW()/10000000),"")</f>
        <v/>
      </c>
    </row>
    <row r="1966" spans="17:17" ht="14.25" customHeight="1" x14ac:dyDescent="0.3">
      <c r="Q1966" s="13" t="str">
        <f>IF(OR(Dashboard!$C$4="All Customers",$E1966=Dashboard!$C$4),IF($E1966="","",$P1966+ROW()/10000000),"")</f>
        <v/>
      </c>
    </row>
    <row r="1967" spans="17:17" ht="14.25" customHeight="1" x14ac:dyDescent="0.3">
      <c r="Q1967" s="13" t="str">
        <f>IF(OR(Dashboard!$C$4="All Customers",$E1967=Dashboard!$C$4),IF($E1967="","",$P1967+ROW()/10000000),"")</f>
        <v/>
      </c>
    </row>
    <row r="1968" spans="17:17" ht="14.25" customHeight="1" x14ac:dyDescent="0.3">
      <c r="Q1968" s="13" t="str">
        <f>IF(OR(Dashboard!$C$4="All Customers",$E1968=Dashboard!$C$4),IF($E1968="","",$P1968+ROW()/10000000),"")</f>
        <v/>
      </c>
    </row>
    <row r="1969" spans="17:17" ht="14.25" customHeight="1" x14ac:dyDescent="0.3">
      <c r="Q1969" s="13" t="str">
        <f>IF(OR(Dashboard!$C$4="All Customers",$E1969=Dashboard!$C$4),IF($E1969="","",$P1969+ROW()/10000000),"")</f>
        <v/>
      </c>
    </row>
    <row r="1970" spans="17:17" ht="14.25" customHeight="1" x14ac:dyDescent="0.3">
      <c r="Q1970" s="13" t="str">
        <f>IF(OR(Dashboard!$C$4="All Customers",$E1970=Dashboard!$C$4),IF($E1970="","",$P1970+ROW()/10000000),"")</f>
        <v/>
      </c>
    </row>
    <row r="1971" spans="17:17" ht="14.25" customHeight="1" x14ac:dyDescent="0.3">
      <c r="Q1971" s="13" t="str">
        <f>IF(OR(Dashboard!$C$4="All Customers",$E1971=Dashboard!$C$4),IF($E1971="","",$P1971+ROW()/10000000),"")</f>
        <v/>
      </c>
    </row>
    <row r="1972" spans="17:17" ht="14.25" customHeight="1" x14ac:dyDescent="0.3">
      <c r="Q1972" s="13" t="str">
        <f>IF(OR(Dashboard!$C$4="All Customers",$E1972=Dashboard!$C$4),IF($E1972="","",$P1972+ROW()/10000000),"")</f>
        <v/>
      </c>
    </row>
    <row r="1973" spans="17:17" ht="14.25" customHeight="1" x14ac:dyDescent="0.3">
      <c r="Q1973" s="13" t="str">
        <f>IF(OR(Dashboard!$C$4="All Customers",$E1973=Dashboard!$C$4),IF($E1973="","",$P1973+ROW()/10000000),"")</f>
        <v/>
      </c>
    </row>
    <row r="1974" spans="17:17" ht="14.25" customHeight="1" x14ac:dyDescent="0.3">
      <c r="Q1974" s="13" t="str">
        <f>IF(OR(Dashboard!$C$4="All Customers",$E1974=Dashboard!$C$4),IF($E1974="","",$P1974+ROW()/10000000),"")</f>
        <v/>
      </c>
    </row>
    <row r="1975" spans="17:17" ht="14.25" customHeight="1" x14ac:dyDescent="0.3">
      <c r="Q1975" s="13" t="str">
        <f>IF(OR(Dashboard!$C$4="All Customers",$E1975=Dashboard!$C$4),IF($E1975="","",$P1975+ROW()/10000000),"")</f>
        <v/>
      </c>
    </row>
    <row r="1976" spans="17:17" ht="14.25" customHeight="1" x14ac:dyDescent="0.3">
      <c r="Q1976" s="13" t="str">
        <f>IF(OR(Dashboard!$C$4="All Customers",$E1976=Dashboard!$C$4),IF($E1976="","",$P1976+ROW()/10000000),"")</f>
        <v/>
      </c>
    </row>
    <row r="1977" spans="17:17" ht="14.25" customHeight="1" x14ac:dyDescent="0.3">
      <c r="Q1977" s="13" t="str">
        <f>IF(OR(Dashboard!$C$4="All Customers",$E1977=Dashboard!$C$4),IF($E1977="","",$P1977+ROW()/10000000),"")</f>
        <v/>
      </c>
    </row>
    <row r="1978" spans="17:17" ht="14.25" customHeight="1" x14ac:dyDescent="0.3">
      <c r="Q1978" s="13" t="str">
        <f>IF(OR(Dashboard!$C$4="All Customers",$E1978=Dashboard!$C$4),IF($E1978="","",$P1978+ROW()/10000000),"")</f>
        <v/>
      </c>
    </row>
    <row r="1979" spans="17:17" ht="14.25" customHeight="1" x14ac:dyDescent="0.3">
      <c r="Q1979" s="13" t="str">
        <f>IF(OR(Dashboard!$C$4="All Customers",$E1979=Dashboard!$C$4),IF($E1979="","",$P1979+ROW()/10000000),"")</f>
        <v/>
      </c>
    </row>
    <row r="1980" spans="17:17" ht="14.25" customHeight="1" x14ac:dyDescent="0.3">
      <c r="Q1980" s="13" t="str">
        <f>IF(OR(Dashboard!$C$4="All Customers",$E1980=Dashboard!$C$4),IF($E1980="","",$P1980+ROW()/10000000),"")</f>
        <v/>
      </c>
    </row>
    <row r="1981" spans="17:17" ht="14.25" customHeight="1" x14ac:dyDescent="0.3">
      <c r="Q1981" s="13" t="str">
        <f>IF(OR(Dashboard!$C$4="All Customers",$E1981=Dashboard!$C$4),IF($E1981="","",$P1981+ROW()/10000000),"")</f>
        <v/>
      </c>
    </row>
    <row r="1982" spans="17:17" ht="14.25" customHeight="1" x14ac:dyDescent="0.3">
      <c r="Q1982" s="13" t="str">
        <f>IF(OR(Dashboard!$C$4="All Customers",$E1982=Dashboard!$C$4),IF($E1982="","",$P1982+ROW()/10000000),"")</f>
        <v/>
      </c>
    </row>
    <row r="1983" spans="17:17" ht="14.25" customHeight="1" x14ac:dyDescent="0.3">
      <c r="Q1983" s="13" t="str">
        <f>IF(OR(Dashboard!$C$4="All Customers",$E1983=Dashboard!$C$4),IF($E1983="","",$P1983+ROW()/10000000),"")</f>
        <v/>
      </c>
    </row>
    <row r="1984" spans="17:17" ht="14.25" customHeight="1" x14ac:dyDescent="0.3">
      <c r="Q1984" s="13" t="str">
        <f>IF(OR(Dashboard!$C$4="All Customers",$E1984=Dashboard!$C$4),IF($E1984="","",$P1984+ROW()/10000000),"")</f>
        <v/>
      </c>
    </row>
    <row r="1985" spans="17:17" ht="14.25" customHeight="1" x14ac:dyDescent="0.3">
      <c r="Q1985" s="13" t="str">
        <f>IF(OR(Dashboard!$C$4="All Customers",$E1985=Dashboard!$C$4),IF($E1985="","",$P1985+ROW()/10000000),"")</f>
        <v/>
      </c>
    </row>
    <row r="1986" spans="17:17" ht="14.25" customHeight="1" x14ac:dyDescent="0.3">
      <c r="Q1986" s="13" t="str">
        <f>IF(OR(Dashboard!$C$4="All Customers",$E1986=Dashboard!$C$4),IF($E1986="","",$P1986+ROW()/10000000),"")</f>
        <v/>
      </c>
    </row>
    <row r="1987" spans="17:17" ht="14.25" customHeight="1" x14ac:dyDescent="0.3">
      <c r="Q1987" s="13" t="str">
        <f>IF(OR(Dashboard!$C$4="All Customers",$E1987=Dashboard!$C$4),IF($E1987="","",$P1987+ROW()/10000000),"")</f>
        <v/>
      </c>
    </row>
    <row r="1988" spans="17:17" ht="14.25" customHeight="1" x14ac:dyDescent="0.3">
      <c r="Q1988" s="13" t="str">
        <f>IF(OR(Dashboard!$C$4="All Customers",$E1988=Dashboard!$C$4),IF($E1988="","",$P1988+ROW()/10000000),"")</f>
        <v/>
      </c>
    </row>
    <row r="1989" spans="17:17" ht="14.25" customHeight="1" x14ac:dyDescent="0.3">
      <c r="Q1989" s="13" t="str">
        <f>IF(OR(Dashboard!$C$4="All Customers",$E1989=Dashboard!$C$4),IF($E1989="","",$P1989+ROW()/10000000),"")</f>
        <v/>
      </c>
    </row>
    <row r="1990" spans="17:17" ht="14.25" customHeight="1" x14ac:dyDescent="0.3">
      <c r="Q1990" s="13" t="str">
        <f>IF(OR(Dashboard!$C$4="All Customers",$E1990=Dashboard!$C$4),IF($E1990="","",$P1990+ROW()/10000000),"")</f>
        <v/>
      </c>
    </row>
    <row r="1991" spans="17:17" ht="14.25" customHeight="1" x14ac:dyDescent="0.3">
      <c r="Q1991" s="13" t="str">
        <f>IF(OR(Dashboard!$C$4="All Customers",$E1991=Dashboard!$C$4),IF($E1991="","",$P1991+ROW()/10000000),"")</f>
        <v/>
      </c>
    </row>
    <row r="1992" spans="17:17" ht="14.25" customHeight="1" x14ac:dyDescent="0.3">
      <c r="Q1992" s="13" t="str">
        <f>IF(OR(Dashboard!$C$4="All Customers",$E1992=Dashboard!$C$4),IF($E1992="","",$P1992+ROW()/10000000),"")</f>
        <v/>
      </c>
    </row>
    <row r="1993" spans="17:17" ht="14.25" customHeight="1" x14ac:dyDescent="0.3">
      <c r="Q1993" s="13" t="str">
        <f>IF(OR(Dashboard!$C$4="All Customers",$E1993=Dashboard!$C$4),IF($E1993="","",$P1993+ROW()/10000000),"")</f>
        <v/>
      </c>
    </row>
    <row r="1994" spans="17:17" ht="14.25" customHeight="1" x14ac:dyDescent="0.3">
      <c r="Q1994" s="13" t="str">
        <f>IF(OR(Dashboard!$C$4="All Customers",$E1994=Dashboard!$C$4),IF($E1994="","",$P1994+ROW()/10000000),"")</f>
        <v/>
      </c>
    </row>
    <row r="1995" spans="17:17" ht="14.25" customHeight="1" x14ac:dyDescent="0.3">
      <c r="Q1995" s="13" t="str">
        <f>IF(OR(Dashboard!$C$4="All Customers",$E1995=Dashboard!$C$4),IF($E1995="","",$P1995+ROW()/10000000),"")</f>
        <v/>
      </c>
    </row>
    <row r="1996" spans="17:17" ht="14.25" customHeight="1" x14ac:dyDescent="0.3">
      <c r="Q1996" s="13" t="str">
        <f>IF(OR(Dashboard!$C$4="All Customers",$E1996=Dashboard!$C$4),IF($E1996="","",$P1996+ROW()/10000000),"")</f>
        <v/>
      </c>
    </row>
    <row r="1997" spans="17:17" ht="14.25" customHeight="1" x14ac:dyDescent="0.3">
      <c r="Q1997" s="13" t="str">
        <f>IF(OR(Dashboard!$C$4="All Customers",$E1997=Dashboard!$C$4),IF($E1997="","",$P1997+ROW()/10000000),"")</f>
        <v/>
      </c>
    </row>
    <row r="1998" spans="17:17" ht="14.25" customHeight="1" x14ac:dyDescent="0.3">
      <c r="Q1998" s="13" t="str">
        <f>IF(OR(Dashboard!$C$4="All Customers",$E1998=Dashboard!$C$4),IF($E1998="","",$P1998+ROW()/10000000),"")</f>
        <v/>
      </c>
    </row>
    <row r="1999" spans="17:17" ht="14.25" customHeight="1" x14ac:dyDescent="0.3">
      <c r="Q1999" s="13" t="str">
        <f>IF(OR(Dashboard!$C$4="All Customers",$E1999=Dashboard!$C$4),IF($E1999="","",$P1999+ROW()/10000000),"")</f>
        <v/>
      </c>
    </row>
    <row r="2000" spans="17:17" ht="14.25" customHeight="1" x14ac:dyDescent="0.3">
      <c r="Q2000" s="13" t="str">
        <f>IF(OR(Dashboard!$C$4="All Customers",$E2000=Dashboard!$C$4),IF($E2000="","",$P2000+ROW()/10000000),"")</f>
        <v/>
      </c>
    </row>
    <row r="2001" spans="17:17" ht="14.25" customHeight="1" x14ac:dyDescent="0.3">
      <c r="Q2001" s="13" t="str">
        <f>IF(OR(Dashboard!$C$4="All Customers",$E2001=Dashboard!$C$4),IF($E2001="","",$P2001+ROW()/10000000),"")</f>
        <v/>
      </c>
    </row>
    <row r="2002" spans="17:17" ht="14.25" customHeight="1" x14ac:dyDescent="0.3">
      <c r="Q2002" s="13" t="str">
        <f>IF(OR(Dashboard!$C$4="All Customers",$E2002=Dashboard!$C$4),IF($E2002="","",$P2002+ROW()/10000000),"")</f>
        <v/>
      </c>
    </row>
    <row r="2003" spans="17:17" ht="14.25" customHeight="1" x14ac:dyDescent="0.3">
      <c r="Q2003" s="13" t="str">
        <f>IF(OR(Dashboard!$C$4="All Customers",$E2003=Dashboard!$C$4),IF($E2003="","",$P2003+ROW()/10000000),"")</f>
        <v/>
      </c>
    </row>
    <row r="2004" spans="17:17" ht="14.25" customHeight="1" x14ac:dyDescent="0.3">
      <c r="Q2004" s="13" t="str">
        <f>IF(OR(Dashboard!$C$4="All Customers",$E2004=Dashboard!$C$4),IF($E2004="","",$P2004+ROW()/10000000),"")</f>
        <v/>
      </c>
    </row>
    <row r="2005" spans="17:17" ht="14.25" customHeight="1" x14ac:dyDescent="0.3">
      <c r="Q2005" s="13" t="str">
        <f>IF(OR(Dashboard!$C$4="All Customers",$E2005=Dashboard!$C$4),IF($E2005="","",$P2005+ROW()/10000000),"")</f>
        <v/>
      </c>
    </row>
    <row r="2006" spans="17:17" ht="14.25" customHeight="1" x14ac:dyDescent="0.3">
      <c r="Q2006" s="13" t="str">
        <f>IF(OR(Dashboard!$C$4="All Customers",$E2006=Dashboard!$C$4),IF($E2006="","",$P2006+ROW()/10000000),"")</f>
        <v/>
      </c>
    </row>
    <row r="2007" spans="17:17" ht="14.25" customHeight="1" x14ac:dyDescent="0.3">
      <c r="Q2007" s="13" t="str">
        <f>IF(OR(Dashboard!$C$4="All Customers",$E2007=Dashboard!$C$4),IF($E2007="","",$P2007+ROW()/10000000),"")</f>
        <v/>
      </c>
    </row>
    <row r="2008" spans="17:17" ht="14.25" customHeight="1" x14ac:dyDescent="0.3">
      <c r="Q2008" s="13" t="str">
        <f>IF(OR(Dashboard!$C$4="All Customers",$E2008=Dashboard!$C$4),IF($E2008="","",$P2008+ROW()/10000000),"")</f>
        <v/>
      </c>
    </row>
    <row r="2009" spans="17:17" ht="14.25" customHeight="1" x14ac:dyDescent="0.3">
      <c r="Q2009" s="13" t="str">
        <f>IF(OR(Dashboard!$C$4="All Customers",$E2009=Dashboard!$C$4),IF($E2009="","",$P2009+ROW()/10000000),"")</f>
        <v/>
      </c>
    </row>
    <row r="2010" spans="17:17" ht="14.25" customHeight="1" x14ac:dyDescent="0.3">
      <c r="Q2010" s="13" t="str">
        <f>IF(OR(Dashboard!$C$4="All Customers",$E2010=Dashboard!$C$4),IF($E2010="","",$P2010+ROW()/10000000),"")</f>
        <v/>
      </c>
    </row>
    <row r="2011" spans="17:17" ht="14.25" customHeight="1" x14ac:dyDescent="0.3">
      <c r="Q2011" s="13" t="str">
        <f>IF(OR(Dashboard!$C$4="All Customers",$E2011=Dashboard!$C$4),IF($E2011="","",$P2011+ROW()/10000000),"")</f>
        <v/>
      </c>
    </row>
    <row r="2012" spans="17:17" ht="14.25" customHeight="1" x14ac:dyDescent="0.3">
      <c r="Q2012" s="13" t="str">
        <f>IF(OR(Dashboard!$C$4="All Customers",$E2012=Dashboard!$C$4),IF($E2012="","",$P2012+ROW()/10000000),"")</f>
        <v/>
      </c>
    </row>
    <row r="2013" spans="17:17" ht="14.25" customHeight="1" x14ac:dyDescent="0.3">
      <c r="Q2013" s="13" t="str">
        <f>IF(OR(Dashboard!$C$4="All Customers",$E2013=Dashboard!$C$4),IF($E2013="","",$P2013+ROW()/10000000),"")</f>
        <v/>
      </c>
    </row>
    <row r="2014" spans="17:17" ht="14.25" customHeight="1" x14ac:dyDescent="0.3">
      <c r="Q2014" s="13" t="str">
        <f>IF(OR(Dashboard!$C$4="All Customers",$E2014=Dashboard!$C$4),IF($E2014="","",$P2014+ROW()/10000000),"")</f>
        <v/>
      </c>
    </row>
    <row r="2015" spans="17:17" ht="14.25" customHeight="1" x14ac:dyDescent="0.3">
      <c r="Q2015" s="13" t="str">
        <f>IF(OR(Dashboard!$C$4="All Customers",$E2015=Dashboard!$C$4),IF($E2015="","",$P2015+ROW()/10000000),"")</f>
        <v/>
      </c>
    </row>
    <row r="2016" spans="17:17" ht="14.25" customHeight="1" x14ac:dyDescent="0.3">
      <c r="Q2016" s="13" t="str">
        <f>IF(OR(Dashboard!$C$4="All Customers",$E2016=Dashboard!$C$4),IF($E2016="","",$P2016+ROW()/10000000),"")</f>
        <v/>
      </c>
    </row>
    <row r="2017" spans="17:17" ht="14.25" customHeight="1" x14ac:dyDescent="0.3">
      <c r="Q2017" s="13" t="str">
        <f>IF(OR(Dashboard!$C$4="All Customers",$E2017=Dashboard!$C$4),IF($E2017="","",$P2017+ROW()/10000000),"")</f>
        <v/>
      </c>
    </row>
    <row r="2018" spans="17:17" ht="14.25" customHeight="1" x14ac:dyDescent="0.3">
      <c r="Q2018" s="13" t="str">
        <f>IF(OR(Dashboard!$C$4="All Customers",$E2018=Dashboard!$C$4),IF($E2018="","",$P2018+ROW()/10000000),"")</f>
        <v/>
      </c>
    </row>
    <row r="2019" spans="17:17" ht="14.25" customHeight="1" x14ac:dyDescent="0.3">
      <c r="Q2019" s="13" t="str">
        <f>IF(OR(Dashboard!$C$4="All Customers",$E2019=Dashboard!$C$4),IF($E2019="","",$P2019+ROW()/10000000),"")</f>
        <v/>
      </c>
    </row>
    <row r="2020" spans="17:17" ht="14.25" customHeight="1" x14ac:dyDescent="0.3">
      <c r="Q2020" s="13" t="str">
        <f>IF(OR(Dashboard!$C$4="All Customers",$E2020=Dashboard!$C$4),IF($E2020="","",$P2020+ROW()/10000000),"")</f>
        <v/>
      </c>
    </row>
    <row r="2021" spans="17:17" ht="14.25" customHeight="1" x14ac:dyDescent="0.3">
      <c r="Q2021" s="13" t="str">
        <f>IF(OR(Dashboard!$C$4="All Customers",$E2021=Dashboard!$C$4),IF($E2021="","",$P2021+ROW()/10000000),"")</f>
        <v/>
      </c>
    </row>
    <row r="2022" spans="17:17" ht="14.25" customHeight="1" x14ac:dyDescent="0.3">
      <c r="Q2022" s="13" t="str">
        <f>IF(OR(Dashboard!$C$4="All Customers",$E2022=Dashboard!$C$4),IF($E2022="","",$P2022+ROW()/10000000),"")</f>
        <v/>
      </c>
    </row>
    <row r="2023" spans="17:17" ht="14.25" customHeight="1" x14ac:dyDescent="0.3">
      <c r="Q2023" s="13" t="str">
        <f>IF(OR(Dashboard!$C$4="All Customers",$E2023=Dashboard!$C$4),IF($E2023="","",$P2023+ROW()/10000000),"")</f>
        <v/>
      </c>
    </row>
    <row r="2024" spans="17:17" ht="14.25" customHeight="1" x14ac:dyDescent="0.3">
      <c r="Q2024" s="13" t="str">
        <f>IF(OR(Dashboard!$C$4="All Customers",$E2024=Dashboard!$C$4),IF($E2024="","",$P2024+ROW()/10000000),"")</f>
        <v/>
      </c>
    </row>
    <row r="2025" spans="17:17" ht="14.25" customHeight="1" x14ac:dyDescent="0.3">
      <c r="Q2025" s="13" t="str">
        <f>IF(OR(Dashboard!$C$4="All Customers",$E2025=Dashboard!$C$4),IF($E2025="","",$P2025+ROW()/10000000),"")</f>
        <v/>
      </c>
    </row>
    <row r="2026" spans="17:17" ht="14.25" customHeight="1" x14ac:dyDescent="0.3">
      <c r="Q2026" s="13" t="str">
        <f>IF(OR(Dashboard!$C$4="All Customers",$E2026=Dashboard!$C$4),IF($E2026="","",$P2026+ROW()/10000000),"")</f>
        <v/>
      </c>
    </row>
    <row r="2027" spans="17:17" ht="14.25" customHeight="1" x14ac:dyDescent="0.3">
      <c r="Q2027" s="13" t="str">
        <f>IF(OR(Dashboard!$C$4="All Customers",$E2027=Dashboard!$C$4),IF($E2027="","",$P2027+ROW()/10000000),"")</f>
        <v/>
      </c>
    </row>
    <row r="2028" spans="17:17" ht="14.25" customHeight="1" x14ac:dyDescent="0.3">
      <c r="Q2028" s="13" t="str">
        <f>IF(OR(Dashboard!$C$4="All Customers",$E2028=Dashboard!$C$4),IF($E2028="","",$P2028+ROW()/10000000),"")</f>
        <v/>
      </c>
    </row>
    <row r="2029" spans="17:17" ht="14.25" customHeight="1" x14ac:dyDescent="0.3">
      <c r="Q2029" s="13" t="str">
        <f>IF(OR(Dashboard!$C$4="All Customers",$E2029=Dashboard!$C$4),IF($E2029="","",$P2029+ROW()/10000000),"")</f>
        <v/>
      </c>
    </row>
    <row r="2030" spans="17:17" ht="14.25" customHeight="1" x14ac:dyDescent="0.3">
      <c r="Q2030" s="13" t="str">
        <f>IF(OR(Dashboard!$C$4="All Customers",$E2030=Dashboard!$C$4),IF($E2030="","",$P2030+ROW()/10000000),"")</f>
        <v/>
      </c>
    </row>
    <row r="2031" spans="17:17" ht="14.25" customHeight="1" x14ac:dyDescent="0.3">
      <c r="Q2031" s="13" t="str">
        <f>IF(OR(Dashboard!$C$4="All Customers",$E2031=Dashboard!$C$4),IF($E2031="","",$P2031+ROW()/10000000),"")</f>
        <v/>
      </c>
    </row>
    <row r="2032" spans="17:17" ht="14.25" customHeight="1" x14ac:dyDescent="0.3">
      <c r="Q2032" s="13" t="str">
        <f>IF(OR(Dashboard!$C$4="All Customers",$E2032=Dashboard!$C$4),IF($E2032="","",$P2032+ROW()/10000000),"")</f>
        <v/>
      </c>
    </row>
    <row r="2033" spans="17:17" ht="14.25" customHeight="1" x14ac:dyDescent="0.3">
      <c r="Q2033" s="13" t="str">
        <f>IF(OR(Dashboard!$C$4="All Customers",$E2033=Dashboard!$C$4),IF($E2033="","",$P2033+ROW()/10000000),"")</f>
        <v/>
      </c>
    </row>
    <row r="2034" spans="17:17" ht="14.25" customHeight="1" x14ac:dyDescent="0.3">
      <c r="Q2034" s="13" t="str">
        <f>IF(OR(Dashboard!$C$4="All Customers",$E2034=Dashboard!$C$4),IF($E2034="","",$P2034+ROW()/10000000),"")</f>
        <v/>
      </c>
    </row>
    <row r="2035" spans="17:17" ht="14.25" customHeight="1" x14ac:dyDescent="0.3">
      <c r="Q2035" s="13" t="str">
        <f>IF(OR(Dashboard!$C$4="All Customers",$E2035=Dashboard!$C$4),IF($E2035="","",$P2035+ROW()/10000000),"")</f>
        <v/>
      </c>
    </row>
    <row r="2036" spans="17:17" ht="14.25" customHeight="1" x14ac:dyDescent="0.3">
      <c r="Q2036" s="13" t="str">
        <f>IF(OR(Dashboard!$C$4="All Customers",$E2036=Dashboard!$C$4),IF($E2036="","",$P2036+ROW()/10000000),"")</f>
        <v/>
      </c>
    </row>
    <row r="2037" spans="17:17" ht="14.25" customHeight="1" x14ac:dyDescent="0.3">
      <c r="Q2037" s="13" t="str">
        <f>IF(OR(Dashboard!$C$4="All Customers",$E2037=Dashboard!$C$4),IF($E2037="","",$P2037+ROW()/10000000),"")</f>
        <v/>
      </c>
    </row>
    <row r="2038" spans="17:17" ht="14.25" customHeight="1" x14ac:dyDescent="0.3">
      <c r="Q2038" s="13" t="str">
        <f>IF(OR(Dashboard!$C$4="All Customers",$E2038=Dashboard!$C$4),IF($E2038="","",$P2038+ROW()/10000000),"")</f>
        <v/>
      </c>
    </row>
    <row r="2039" spans="17:17" ht="14.25" customHeight="1" x14ac:dyDescent="0.3">
      <c r="Q2039" s="13" t="str">
        <f>IF(OR(Dashboard!$C$4="All Customers",$E2039=Dashboard!$C$4),IF($E2039="","",$P2039+ROW()/10000000),"")</f>
        <v/>
      </c>
    </row>
    <row r="2040" spans="17:17" ht="14.25" customHeight="1" x14ac:dyDescent="0.3">
      <c r="Q2040" s="13" t="str">
        <f>IF(OR(Dashboard!$C$4="All Customers",$E2040=Dashboard!$C$4),IF($E2040="","",$P2040+ROW()/10000000),"")</f>
        <v/>
      </c>
    </row>
    <row r="2041" spans="17:17" ht="14.25" customHeight="1" x14ac:dyDescent="0.3">
      <c r="Q2041" s="13" t="str">
        <f>IF(OR(Dashboard!$C$4="All Customers",$E2041=Dashboard!$C$4),IF($E2041="","",$P2041+ROW()/10000000),"")</f>
        <v/>
      </c>
    </row>
    <row r="2042" spans="17:17" ht="14.25" customHeight="1" x14ac:dyDescent="0.3">
      <c r="Q2042" s="13" t="str">
        <f>IF(OR(Dashboard!$C$4="All Customers",$E2042=Dashboard!$C$4),IF($E2042="","",$P2042+ROW()/10000000),"")</f>
        <v/>
      </c>
    </row>
    <row r="2043" spans="17:17" ht="14.25" customHeight="1" x14ac:dyDescent="0.3">
      <c r="Q2043" s="13" t="str">
        <f>IF(OR(Dashboard!$C$4="All Customers",$E2043=Dashboard!$C$4),IF($E2043="","",$P2043+ROW()/10000000),"")</f>
        <v/>
      </c>
    </row>
    <row r="2044" spans="17:17" ht="14.25" customHeight="1" x14ac:dyDescent="0.3">
      <c r="Q2044" s="13" t="str">
        <f>IF(OR(Dashboard!$C$4="All Customers",$E2044=Dashboard!$C$4),IF($E2044="","",$P2044+ROW()/10000000),"")</f>
        <v/>
      </c>
    </row>
    <row r="2045" spans="17:17" ht="14.25" customHeight="1" x14ac:dyDescent="0.3">
      <c r="Q2045" s="13" t="str">
        <f>IF(OR(Dashboard!$C$4="All Customers",$E2045=Dashboard!$C$4),IF($E2045="","",$P2045+ROW()/10000000),"")</f>
        <v/>
      </c>
    </row>
    <row r="2046" spans="17:17" ht="14.25" customHeight="1" x14ac:dyDescent="0.3">
      <c r="Q2046" s="13" t="str">
        <f>IF(OR(Dashboard!$C$4="All Customers",$E2046=Dashboard!$C$4),IF($E2046="","",$P2046+ROW()/10000000),"")</f>
        <v/>
      </c>
    </row>
    <row r="2047" spans="17:17" ht="14.25" customHeight="1" x14ac:dyDescent="0.3">
      <c r="Q2047" s="13" t="str">
        <f>IF(OR(Dashboard!$C$4="All Customers",$E2047=Dashboard!$C$4),IF($E2047="","",$P2047+ROW()/10000000),"")</f>
        <v/>
      </c>
    </row>
    <row r="2048" spans="17:17" ht="14.25" customHeight="1" x14ac:dyDescent="0.3">
      <c r="Q2048" s="13" t="str">
        <f>IF(OR(Dashboard!$C$4="All Customers",$E2048=Dashboard!$C$4),IF($E2048="","",$P2048+ROW()/10000000),"")</f>
        <v/>
      </c>
    </row>
    <row r="2049" spans="17:17" ht="14.25" customHeight="1" x14ac:dyDescent="0.3">
      <c r="Q2049" s="13" t="str">
        <f>IF(OR(Dashboard!$C$4="All Customers",$E2049=Dashboard!$C$4),IF($E2049="","",$P2049+ROW()/10000000),"")</f>
        <v/>
      </c>
    </row>
    <row r="2050" spans="17:17" ht="14.25" customHeight="1" x14ac:dyDescent="0.3">
      <c r="Q2050" s="13" t="str">
        <f>IF(OR(Dashboard!$C$4="All Customers",$E2050=Dashboard!$C$4),IF($E2050="","",$P2050+ROW()/10000000),"")</f>
        <v/>
      </c>
    </row>
    <row r="2051" spans="17:17" ht="14.25" customHeight="1" x14ac:dyDescent="0.3">
      <c r="Q2051" s="13" t="str">
        <f>IF(OR(Dashboard!$C$4="All Customers",$E2051=Dashboard!$C$4),IF($E2051="","",$P2051+ROW()/10000000),"")</f>
        <v/>
      </c>
    </row>
    <row r="2052" spans="17:17" ht="14.25" customHeight="1" x14ac:dyDescent="0.3">
      <c r="Q2052" s="13" t="str">
        <f>IF(OR(Dashboard!$C$4="All Customers",$E2052=Dashboard!$C$4),IF($E2052="","",$P2052+ROW()/10000000),"")</f>
        <v/>
      </c>
    </row>
    <row r="2053" spans="17:17" ht="14.25" customHeight="1" x14ac:dyDescent="0.3">
      <c r="Q2053" s="13" t="str">
        <f>IF(OR(Dashboard!$C$4="All Customers",$E2053=Dashboard!$C$4),IF($E2053="","",$P2053+ROW()/10000000),"")</f>
        <v/>
      </c>
    </row>
    <row r="2054" spans="17:17" ht="14.25" customHeight="1" x14ac:dyDescent="0.3">
      <c r="Q2054" s="13" t="str">
        <f>IF(OR(Dashboard!$C$4="All Customers",$E2054=Dashboard!$C$4),IF($E2054="","",$P2054+ROW()/10000000),"")</f>
        <v/>
      </c>
    </row>
    <row r="2055" spans="17:17" ht="14.25" customHeight="1" x14ac:dyDescent="0.3">
      <c r="Q2055" s="13" t="str">
        <f>IF(OR(Dashboard!$C$4="All Customers",$E2055=Dashboard!$C$4),IF($E2055="","",$P2055+ROW()/10000000),"")</f>
        <v/>
      </c>
    </row>
    <row r="2056" spans="17:17" ht="14.25" customHeight="1" x14ac:dyDescent="0.3">
      <c r="Q2056" s="13" t="str">
        <f>IF(OR(Dashboard!$C$4="All Customers",$E2056=Dashboard!$C$4),IF($E2056="","",$P2056+ROW()/10000000),"")</f>
        <v/>
      </c>
    </row>
    <row r="2057" spans="17:17" ht="14.25" customHeight="1" x14ac:dyDescent="0.3">
      <c r="Q2057" s="13" t="str">
        <f>IF(OR(Dashboard!$C$4="All Customers",$E2057=Dashboard!$C$4),IF($E2057="","",$P2057+ROW()/10000000),"")</f>
        <v/>
      </c>
    </row>
    <row r="2058" spans="17:17" ht="14.25" customHeight="1" x14ac:dyDescent="0.3">
      <c r="Q2058" s="13" t="str">
        <f>IF(OR(Dashboard!$C$4="All Customers",$E2058=Dashboard!$C$4),IF($E2058="","",$P2058+ROW()/10000000),"")</f>
        <v/>
      </c>
    </row>
    <row r="2059" spans="17:17" ht="14.25" customHeight="1" x14ac:dyDescent="0.3">
      <c r="Q2059" s="13" t="str">
        <f>IF(OR(Dashboard!$C$4="All Customers",$E2059=Dashboard!$C$4),IF($E2059="","",$P2059+ROW()/10000000),"")</f>
        <v/>
      </c>
    </row>
    <row r="2060" spans="17:17" ht="14.25" customHeight="1" x14ac:dyDescent="0.3">
      <c r="Q2060" s="13" t="str">
        <f>IF(OR(Dashboard!$C$4="All Customers",$E2060=Dashboard!$C$4),IF($E2060="","",$P2060+ROW()/10000000),"")</f>
        <v/>
      </c>
    </row>
    <row r="2061" spans="17:17" ht="14.25" customHeight="1" x14ac:dyDescent="0.3">
      <c r="Q2061" s="13" t="str">
        <f>IF(OR(Dashboard!$C$4="All Customers",$E2061=Dashboard!$C$4),IF($E2061="","",$P2061+ROW()/10000000),"")</f>
        <v/>
      </c>
    </row>
    <row r="2062" spans="17:17" ht="14.25" customHeight="1" x14ac:dyDescent="0.3">
      <c r="Q2062" s="13" t="str">
        <f>IF(OR(Dashboard!$C$4="All Customers",$E2062=Dashboard!$C$4),IF($E2062="","",$P2062+ROW()/10000000),"")</f>
        <v/>
      </c>
    </row>
    <row r="2063" spans="17:17" ht="14.25" customHeight="1" x14ac:dyDescent="0.3">
      <c r="Q2063" s="13" t="str">
        <f>IF(OR(Dashboard!$C$4="All Customers",$E2063=Dashboard!$C$4),IF($E2063="","",$P2063+ROW()/10000000),"")</f>
        <v/>
      </c>
    </row>
    <row r="2064" spans="17:17" ht="14.25" customHeight="1" x14ac:dyDescent="0.3">
      <c r="Q2064" s="13" t="str">
        <f>IF(OR(Dashboard!$C$4="All Customers",$E2064=Dashboard!$C$4),IF($E2064="","",$P2064+ROW()/10000000),"")</f>
        <v/>
      </c>
    </row>
    <row r="2065" spans="17:17" ht="14.25" customHeight="1" x14ac:dyDescent="0.3">
      <c r="Q2065" s="13" t="str">
        <f>IF(OR(Dashboard!$C$4="All Customers",$E2065=Dashboard!$C$4),IF($E2065="","",$P2065+ROW()/10000000),"")</f>
        <v/>
      </c>
    </row>
    <row r="2066" spans="17:17" ht="14.25" customHeight="1" x14ac:dyDescent="0.3">
      <c r="Q2066" s="13" t="str">
        <f>IF(OR(Dashboard!$C$4="All Customers",$E2066=Dashboard!$C$4),IF($E2066="","",$P2066+ROW()/10000000),"")</f>
        <v/>
      </c>
    </row>
    <row r="2067" spans="17:17" ht="14.25" customHeight="1" x14ac:dyDescent="0.3">
      <c r="Q2067" s="13" t="str">
        <f>IF(OR(Dashboard!$C$4="All Customers",$E2067=Dashboard!$C$4),IF($E2067="","",$P2067+ROW()/10000000),"")</f>
        <v/>
      </c>
    </row>
    <row r="2068" spans="17:17" ht="14.25" customHeight="1" x14ac:dyDescent="0.3">
      <c r="Q2068" s="13" t="str">
        <f>IF(OR(Dashboard!$C$4="All Customers",$E2068=Dashboard!$C$4),IF($E2068="","",$P2068+ROW()/10000000),"")</f>
        <v/>
      </c>
    </row>
    <row r="2069" spans="17:17" ht="14.25" customHeight="1" x14ac:dyDescent="0.3">
      <c r="Q2069" s="13" t="str">
        <f>IF(OR(Dashboard!$C$4="All Customers",$E2069=Dashboard!$C$4),IF($E2069="","",$P2069+ROW()/10000000),"")</f>
        <v/>
      </c>
    </row>
    <row r="2070" spans="17:17" ht="14.25" customHeight="1" x14ac:dyDescent="0.3">
      <c r="Q2070" s="13" t="str">
        <f>IF(OR(Dashboard!$C$4="All Customers",$E2070=Dashboard!$C$4),IF($E2070="","",$P2070+ROW()/10000000),"")</f>
        <v/>
      </c>
    </row>
    <row r="2071" spans="17:17" ht="14.25" customHeight="1" x14ac:dyDescent="0.3">
      <c r="Q2071" s="13" t="str">
        <f>IF(OR(Dashboard!$C$4="All Customers",$E2071=Dashboard!$C$4),IF($E2071="","",$P2071+ROW()/10000000),"")</f>
        <v/>
      </c>
    </row>
    <row r="2072" spans="17:17" ht="14.25" customHeight="1" x14ac:dyDescent="0.3">
      <c r="Q2072" s="13" t="str">
        <f>IF(OR(Dashboard!$C$4="All Customers",$E2072=Dashboard!$C$4),IF($E2072="","",$P2072+ROW()/10000000),"")</f>
        <v/>
      </c>
    </row>
    <row r="2073" spans="17:17" ht="14.25" customHeight="1" x14ac:dyDescent="0.3">
      <c r="Q2073" s="13" t="str">
        <f>IF(OR(Dashboard!$C$4="All Customers",$E2073=Dashboard!$C$4),IF($E2073="","",$P2073+ROW()/10000000),"")</f>
        <v/>
      </c>
    </row>
    <row r="2074" spans="17:17" ht="14.25" customHeight="1" x14ac:dyDescent="0.3">
      <c r="Q2074" s="13" t="str">
        <f>IF(OR(Dashboard!$C$4="All Customers",$E2074=Dashboard!$C$4),IF($E2074="","",$P2074+ROW()/10000000),"")</f>
        <v/>
      </c>
    </row>
    <row r="2075" spans="17:17" ht="14.25" customHeight="1" x14ac:dyDescent="0.3">
      <c r="Q2075" s="13" t="str">
        <f>IF(OR(Dashboard!$C$4="All Customers",$E2075=Dashboard!$C$4),IF($E2075="","",$P2075+ROW()/10000000),"")</f>
        <v/>
      </c>
    </row>
    <row r="2076" spans="17:17" ht="14.25" customHeight="1" x14ac:dyDescent="0.3">
      <c r="Q2076" s="13" t="str">
        <f>IF(OR(Dashboard!$C$4="All Customers",$E2076=Dashboard!$C$4),IF($E2076="","",$P2076+ROW()/10000000),"")</f>
        <v/>
      </c>
    </row>
    <row r="2077" spans="17:17" ht="14.25" customHeight="1" x14ac:dyDescent="0.3">
      <c r="Q2077" s="13" t="str">
        <f>IF(OR(Dashboard!$C$4="All Customers",$E2077=Dashboard!$C$4),IF($E2077="","",$P2077+ROW()/10000000),"")</f>
        <v/>
      </c>
    </row>
    <row r="2078" spans="17:17" ht="14.25" customHeight="1" x14ac:dyDescent="0.3">
      <c r="Q2078" s="13" t="str">
        <f>IF(OR(Dashboard!$C$4="All Customers",$E2078=Dashboard!$C$4),IF($E2078="","",$P2078+ROW()/10000000),"")</f>
        <v/>
      </c>
    </row>
    <row r="2079" spans="17:17" ht="14.25" customHeight="1" x14ac:dyDescent="0.3">
      <c r="Q2079" s="13" t="str">
        <f>IF(OR(Dashboard!$C$4="All Customers",$E2079=Dashboard!$C$4),IF($E2079="","",$P2079+ROW()/10000000),"")</f>
        <v/>
      </c>
    </row>
    <row r="2080" spans="17:17" ht="14.25" customHeight="1" x14ac:dyDescent="0.3">
      <c r="Q2080" s="13" t="str">
        <f>IF(OR(Dashboard!$C$4="All Customers",$E2080=Dashboard!$C$4),IF($E2080="","",$P2080+ROW()/10000000),"")</f>
        <v/>
      </c>
    </row>
    <row r="2081" spans="17:17" ht="14.25" customHeight="1" x14ac:dyDescent="0.3">
      <c r="Q2081" s="13" t="str">
        <f>IF(OR(Dashboard!$C$4="All Customers",$E2081=Dashboard!$C$4),IF($E2081="","",$P2081+ROW()/10000000),"")</f>
        <v/>
      </c>
    </row>
    <row r="2082" spans="17:17" ht="14.25" customHeight="1" x14ac:dyDescent="0.3">
      <c r="Q2082" s="13" t="str">
        <f>IF(OR(Dashboard!$C$4="All Customers",$E2082=Dashboard!$C$4),IF($E2082="","",$P2082+ROW()/10000000),"")</f>
        <v/>
      </c>
    </row>
    <row r="2083" spans="17:17" ht="14.25" customHeight="1" x14ac:dyDescent="0.3">
      <c r="Q2083" s="13" t="str">
        <f>IF(OR(Dashboard!$C$4="All Customers",$E2083=Dashboard!$C$4),IF($E2083="","",$P2083+ROW()/10000000),"")</f>
        <v/>
      </c>
    </row>
    <row r="2084" spans="17:17" ht="14.25" customHeight="1" x14ac:dyDescent="0.3">
      <c r="Q2084" s="13" t="str">
        <f>IF(OR(Dashboard!$C$4="All Customers",$E2084=Dashboard!$C$4),IF($E2084="","",$P2084+ROW()/10000000),"")</f>
        <v/>
      </c>
    </row>
    <row r="2085" spans="17:17" ht="14.25" customHeight="1" x14ac:dyDescent="0.3">
      <c r="Q2085" s="13" t="str">
        <f>IF(OR(Dashboard!$C$4="All Customers",$E2085=Dashboard!$C$4),IF($E2085="","",$P2085+ROW()/10000000),"")</f>
        <v/>
      </c>
    </row>
    <row r="2086" spans="17:17" ht="14.25" customHeight="1" x14ac:dyDescent="0.3">
      <c r="Q2086" s="13" t="str">
        <f>IF(OR(Dashboard!$C$4="All Customers",$E2086=Dashboard!$C$4),IF($E2086="","",$P2086+ROW()/10000000),"")</f>
        <v/>
      </c>
    </row>
    <row r="2087" spans="17:17" ht="14.25" customHeight="1" x14ac:dyDescent="0.3">
      <c r="Q2087" s="13" t="str">
        <f>IF(OR(Dashboard!$C$4="All Customers",$E2087=Dashboard!$C$4),IF($E2087="","",$P2087+ROW()/10000000),"")</f>
        <v/>
      </c>
    </row>
    <row r="2088" spans="17:17" ht="14.25" customHeight="1" x14ac:dyDescent="0.3">
      <c r="Q2088" s="13" t="str">
        <f>IF(OR(Dashboard!$C$4="All Customers",$E2088=Dashboard!$C$4),IF($E2088="","",$P2088+ROW()/10000000),"")</f>
        <v/>
      </c>
    </row>
    <row r="2089" spans="17:17" ht="14.25" customHeight="1" x14ac:dyDescent="0.3">
      <c r="Q2089" s="13" t="str">
        <f>IF(OR(Dashboard!$C$4="All Customers",$E2089=Dashboard!$C$4),IF($E2089="","",$P2089+ROW()/10000000),"")</f>
        <v/>
      </c>
    </row>
    <row r="2090" spans="17:17" ht="14.25" customHeight="1" x14ac:dyDescent="0.3">
      <c r="Q2090" s="13" t="str">
        <f>IF(OR(Dashboard!$C$4="All Customers",$E2090=Dashboard!$C$4),IF($E2090="","",$P2090+ROW()/10000000),"")</f>
        <v/>
      </c>
    </row>
    <row r="2091" spans="17:17" ht="14.25" customHeight="1" x14ac:dyDescent="0.3">
      <c r="Q2091" s="13" t="str">
        <f>IF(OR(Dashboard!$C$4="All Customers",$E2091=Dashboard!$C$4),IF($E2091="","",$P2091+ROW()/10000000),"")</f>
        <v/>
      </c>
    </row>
    <row r="2092" spans="17:17" ht="14.25" customHeight="1" x14ac:dyDescent="0.3">
      <c r="Q2092" s="13" t="str">
        <f>IF(OR(Dashboard!$C$4="All Customers",$E2092=Dashboard!$C$4),IF($E2092="","",$P2092+ROW()/10000000),"")</f>
        <v/>
      </c>
    </row>
    <row r="2093" spans="17:17" ht="14.25" customHeight="1" x14ac:dyDescent="0.3">
      <c r="Q2093" s="13" t="str">
        <f>IF(OR(Dashboard!$C$4="All Customers",$E2093=Dashboard!$C$4),IF($E2093="","",$P2093+ROW()/10000000),"")</f>
        <v/>
      </c>
    </row>
    <row r="2094" spans="17:17" ht="14.25" customHeight="1" x14ac:dyDescent="0.3">
      <c r="Q2094" s="13" t="str">
        <f>IF(OR(Dashboard!$C$4="All Customers",$E2094=Dashboard!$C$4),IF($E2094="","",$P2094+ROW()/10000000),"")</f>
        <v/>
      </c>
    </row>
    <row r="2095" spans="17:17" ht="14.25" customHeight="1" x14ac:dyDescent="0.3">
      <c r="Q2095" s="13" t="str">
        <f>IF(OR(Dashboard!$C$4="All Customers",$E2095=Dashboard!$C$4),IF($E2095="","",$P2095+ROW()/10000000),"")</f>
        <v/>
      </c>
    </row>
    <row r="2096" spans="17:17" ht="14.25" customHeight="1" x14ac:dyDescent="0.3">
      <c r="Q2096" s="13" t="str">
        <f>IF(OR(Dashboard!$C$4="All Customers",$E2096=Dashboard!$C$4),IF($E2096="","",$P2096+ROW()/10000000),"")</f>
        <v/>
      </c>
    </row>
    <row r="2097" spans="17:17" ht="14.25" customHeight="1" x14ac:dyDescent="0.3">
      <c r="Q2097" s="13" t="str">
        <f>IF(OR(Dashboard!$C$4="All Customers",$E2097=Dashboard!$C$4),IF($E2097="","",$P2097+ROW()/10000000),"")</f>
        <v/>
      </c>
    </row>
    <row r="2098" spans="17:17" ht="14.25" customHeight="1" x14ac:dyDescent="0.3">
      <c r="Q2098" s="13" t="str">
        <f>IF(OR(Dashboard!$C$4="All Customers",$E2098=Dashboard!$C$4),IF($E2098="","",$P2098+ROW()/10000000),"")</f>
        <v/>
      </c>
    </row>
    <row r="2099" spans="17:17" ht="14.25" customHeight="1" x14ac:dyDescent="0.3">
      <c r="Q2099" s="13" t="str">
        <f>IF(OR(Dashboard!$C$4="All Customers",$E2099=Dashboard!$C$4),IF($E2099="","",$P2099+ROW()/10000000),"")</f>
        <v/>
      </c>
    </row>
    <row r="2100" spans="17:17" ht="14.25" customHeight="1" x14ac:dyDescent="0.3">
      <c r="Q2100" s="13" t="str">
        <f>IF(OR(Dashboard!$C$4="All Customers",$E2100=Dashboard!$C$4),IF($E2100="","",$P2100+ROW()/10000000),"")</f>
        <v/>
      </c>
    </row>
    <row r="2101" spans="17:17" ht="14.25" customHeight="1" x14ac:dyDescent="0.3">
      <c r="Q2101" s="13" t="str">
        <f>IF(OR(Dashboard!$C$4="All Customers",$E2101=Dashboard!$C$4),IF($E2101="","",$P2101+ROW()/10000000),"")</f>
        <v/>
      </c>
    </row>
    <row r="2102" spans="17:17" ht="14.25" customHeight="1" x14ac:dyDescent="0.3">
      <c r="Q2102" s="13" t="str">
        <f>IF(OR(Dashboard!$C$4="All Customers",$E2102=Dashboard!$C$4),IF($E2102="","",$P2102+ROW()/10000000),"")</f>
        <v/>
      </c>
    </row>
    <row r="2103" spans="17:17" ht="14.25" customHeight="1" x14ac:dyDescent="0.3">
      <c r="Q2103" s="13" t="str">
        <f>IF(OR(Dashboard!$C$4="All Customers",$E2103=Dashboard!$C$4),IF($E2103="","",$P2103+ROW()/10000000),"")</f>
        <v/>
      </c>
    </row>
    <row r="2104" spans="17:17" ht="14.25" customHeight="1" x14ac:dyDescent="0.3">
      <c r="Q2104" s="13" t="str">
        <f>IF(OR(Dashboard!$C$4="All Customers",$E2104=Dashboard!$C$4),IF($E2104="","",$P2104+ROW()/10000000),"")</f>
        <v/>
      </c>
    </row>
    <row r="2105" spans="17:17" ht="14.25" customHeight="1" x14ac:dyDescent="0.3">
      <c r="Q2105" s="13" t="str">
        <f>IF(OR(Dashboard!$C$4="All Customers",$E2105=Dashboard!$C$4),IF($E2105="","",$P2105+ROW()/10000000),"")</f>
        <v/>
      </c>
    </row>
    <row r="2106" spans="17:17" ht="14.25" customHeight="1" x14ac:dyDescent="0.3">
      <c r="Q2106" s="13" t="str">
        <f>IF(OR(Dashboard!$C$4="All Customers",$E2106=Dashboard!$C$4),IF($E2106="","",$P2106+ROW()/10000000),"")</f>
        <v/>
      </c>
    </row>
    <row r="2107" spans="17:17" ht="14.25" customHeight="1" x14ac:dyDescent="0.3">
      <c r="Q2107" s="13" t="str">
        <f>IF(OR(Dashboard!$C$4="All Customers",$E2107=Dashboard!$C$4),IF($E2107="","",$P2107+ROW()/10000000),"")</f>
        <v/>
      </c>
    </row>
    <row r="2108" spans="17:17" ht="14.25" customHeight="1" x14ac:dyDescent="0.3">
      <c r="Q2108" s="13" t="str">
        <f>IF(OR(Dashboard!$C$4="All Customers",$E2108=Dashboard!$C$4),IF($E2108="","",$P2108+ROW()/10000000),"")</f>
        <v/>
      </c>
    </row>
    <row r="2109" spans="17:17" ht="14.25" customHeight="1" x14ac:dyDescent="0.3">
      <c r="Q2109" s="13" t="str">
        <f>IF(OR(Dashboard!$C$4="All Customers",$E2109=Dashboard!$C$4),IF($E2109="","",$P2109+ROW()/10000000),"")</f>
        <v/>
      </c>
    </row>
    <row r="2110" spans="17:17" ht="14.25" customHeight="1" x14ac:dyDescent="0.3">
      <c r="Q2110" s="13" t="str">
        <f>IF(OR(Dashboard!$C$4="All Customers",$E2110=Dashboard!$C$4),IF($E2110="","",$P2110+ROW()/10000000),"")</f>
        <v/>
      </c>
    </row>
    <row r="2111" spans="17:17" ht="14.25" customHeight="1" x14ac:dyDescent="0.3">
      <c r="Q2111" s="13" t="str">
        <f>IF(OR(Dashboard!$C$4="All Customers",$E2111=Dashboard!$C$4),IF($E2111="","",$P2111+ROW()/10000000),"")</f>
        <v/>
      </c>
    </row>
    <row r="2112" spans="17:17" ht="14.25" customHeight="1" x14ac:dyDescent="0.3">
      <c r="Q2112" s="13" t="str">
        <f>IF(OR(Dashboard!$C$4="All Customers",$E2112=Dashboard!$C$4),IF($E2112="","",$P2112+ROW()/10000000),"")</f>
        <v/>
      </c>
    </row>
    <row r="2113" spans="17:17" ht="14.25" customHeight="1" x14ac:dyDescent="0.3">
      <c r="Q2113" s="13" t="str">
        <f>IF(OR(Dashboard!$C$4="All Customers",$E2113=Dashboard!$C$4),IF($E2113="","",$P2113+ROW()/10000000),"")</f>
        <v/>
      </c>
    </row>
    <row r="2114" spans="17:17" ht="14.25" customHeight="1" x14ac:dyDescent="0.3">
      <c r="Q2114" s="13" t="str">
        <f>IF(OR(Dashboard!$C$4="All Customers",$E2114=Dashboard!$C$4),IF($E2114="","",$P2114+ROW()/10000000),"")</f>
        <v/>
      </c>
    </row>
    <row r="2115" spans="17:17" ht="14.25" customHeight="1" x14ac:dyDescent="0.3">
      <c r="Q2115" s="13" t="str">
        <f>IF(OR(Dashboard!$C$4="All Customers",$E2115=Dashboard!$C$4),IF($E2115="","",$P2115+ROW()/10000000),"")</f>
        <v/>
      </c>
    </row>
    <row r="2116" spans="17:17" ht="14.25" customHeight="1" x14ac:dyDescent="0.3">
      <c r="Q2116" s="13" t="str">
        <f>IF(OR(Dashboard!$C$4="All Customers",$E2116=Dashboard!$C$4),IF($E2116="","",$P2116+ROW()/10000000),"")</f>
        <v/>
      </c>
    </row>
    <row r="2117" spans="17:17" ht="14.25" customHeight="1" x14ac:dyDescent="0.3">
      <c r="Q2117" s="13" t="str">
        <f>IF(OR(Dashboard!$C$4="All Customers",$E2117=Dashboard!$C$4),IF($E2117="","",$P2117+ROW()/10000000),"")</f>
        <v/>
      </c>
    </row>
    <row r="2118" spans="17:17" ht="14.25" customHeight="1" x14ac:dyDescent="0.3">
      <c r="Q2118" s="13" t="str">
        <f>IF(OR(Dashboard!$C$4="All Customers",$E2118=Dashboard!$C$4),IF($E2118="","",$P2118+ROW()/10000000),"")</f>
        <v/>
      </c>
    </row>
    <row r="2119" spans="17:17" ht="14.25" customHeight="1" x14ac:dyDescent="0.3">
      <c r="Q2119" s="13" t="str">
        <f>IF(OR(Dashboard!$C$4="All Customers",$E2119=Dashboard!$C$4),IF($E2119="","",$P2119+ROW()/10000000),"")</f>
        <v/>
      </c>
    </row>
    <row r="2120" spans="17:17" ht="14.25" customHeight="1" x14ac:dyDescent="0.3">
      <c r="Q2120" s="13" t="str">
        <f>IF(OR(Dashboard!$C$4="All Customers",$E2120=Dashboard!$C$4),IF($E2120="","",$P2120+ROW()/10000000),"")</f>
        <v/>
      </c>
    </row>
    <row r="2121" spans="17:17" ht="14.25" customHeight="1" x14ac:dyDescent="0.3">
      <c r="Q2121" s="13" t="str">
        <f>IF(OR(Dashboard!$C$4="All Customers",$E2121=Dashboard!$C$4),IF($E2121="","",$P2121+ROW()/10000000),"")</f>
        <v/>
      </c>
    </row>
    <row r="2122" spans="17:17" ht="14.25" customHeight="1" x14ac:dyDescent="0.3">
      <c r="Q2122" s="13" t="str">
        <f>IF(OR(Dashboard!$C$4="All Customers",$E2122=Dashboard!$C$4),IF($E2122="","",$P2122+ROW()/10000000),"")</f>
        <v/>
      </c>
    </row>
    <row r="2123" spans="17:17" ht="14.25" customHeight="1" x14ac:dyDescent="0.3">
      <c r="Q2123" s="13" t="str">
        <f>IF(OR(Dashboard!$C$4="All Customers",$E2123=Dashboard!$C$4),IF($E2123="","",$P2123+ROW()/10000000),"")</f>
        <v/>
      </c>
    </row>
    <row r="2124" spans="17:17" ht="14.25" customHeight="1" x14ac:dyDescent="0.3">
      <c r="Q2124" s="13" t="str">
        <f>IF(OR(Dashboard!$C$4="All Customers",$E2124=Dashboard!$C$4),IF($E2124="","",$P2124+ROW()/10000000),"")</f>
        <v/>
      </c>
    </row>
    <row r="2125" spans="17:17" ht="14.25" customHeight="1" x14ac:dyDescent="0.3">
      <c r="Q2125" s="13" t="str">
        <f>IF(OR(Dashboard!$C$4="All Customers",$E2125=Dashboard!$C$4),IF($E2125="","",$P2125+ROW()/10000000),"")</f>
        <v/>
      </c>
    </row>
    <row r="2126" spans="17:17" ht="14.25" customHeight="1" x14ac:dyDescent="0.3">
      <c r="Q2126" s="13" t="str">
        <f>IF(OR(Dashboard!$C$4="All Customers",$E2126=Dashboard!$C$4),IF($E2126="","",$P2126+ROW()/10000000),"")</f>
        <v/>
      </c>
    </row>
    <row r="2127" spans="17:17" ht="14.25" customHeight="1" x14ac:dyDescent="0.3">
      <c r="Q2127" s="13" t="str">
        <f>IF(OR(Dashboard!$C$4="All Customers",$E2127=Dashboard!$C$4),IF($E2127="","",$P2127+ROW()/10000000),"")</f>
        <v/>
      </c>
    </row>
    <row r="2128" spans="17:17" ht="14.25" customHeight="1" x14ac:dyDescent="0.3">
      <c r="Q2128" s="13" t="str">
        <f>IF(OR(Dashboard!$C$4="All Customers",$E2128=Dashboard!$C$4),IF($E2128="","",$P2128+ROW()/10000000),"")</f>
        <v/>
      </c>
    </row>
    <row r="2129" spans="17:17" ht="14.25" customHeight="1" x14ac:dyDescent="0.3">
      <c r="Q2129" s="13" t="str">
        <f>IF(OR(Dashboard!$C$4="All Customers",$E2129=Dashboard!$C$4),IF($E2129="","",$P2129+ROW()/10000000),"")</f>
        <v/>
      </c>
    </row>
    <row r="2130" spans="17:17" ht="14.25" customHeight="1" x14ac:dyDescent="0.3">
      <c r="Q2130" s="13" t="str">
        <f>IF(OR(Dashboard!$C$4="All Customers",$E2130=Dashboard!$C$4),IF($E2130="","",$P2130+ROW()/10000000),"")</f>
        <v/>
      </c>
    </row>
    <row r="2131" spans="17:17" ht="14.25" customHeight="1" x14ac:dyDescent="0.3">
      <c r="Q2131" s="13" t="str">
        <f>IF(OR(Dashboard!$C$4="All Customers",$E2131=Dashboard!$C$4),IF($E2131="","",$P2131+ROW()/10000000),"")</f>
        <v/>
      </c>
    </row>
    <row r="2132" spans="17:17" ht="14.25" customHeight="1" x14ac:dyDescent="0.3">
      <c r="Q2132" s="13" t="str">
        <f>IF(OR(Dashboard!$C$4="All Customers",$E2132=Dashboard!$C$4),IF($E2132="","",$P2132+ROW()/10000000),"")</f>
        <v/>
      </c>
    </row>
    <row r="2133" spans="17:17" ht="14.25" customHeight="1" x14ac:dyDescent="0.3">
      <c r="Q2133" s="13" t="str">
        <f>IF(OR(Dashboard!$C$4="All Customers",$E2133=Dashboard!$C$4),IF($E2133="","",$P2133+ROW()/10000000),"")</f>
        <v/>
      </c>
    </row>
    <row r="2134" spans="17:17" ht="14.25" customHeight="1" x14ac:dyDescent="0.3">
      <c r="Q2134" s="13" t="str">
        <f>IF(OR(Dashboard!$C$4="All Customers",$E2134=Dashboard!$C$4),IF($E2134="","",$P2134+ROW()/10000000),"")</f>
        <v/>
      </c>
    </row>
    <row r="2135" spans="17:17" ht="14.25" customHeight="1" x14ac:dyDescent="0.3">
      <c r="Q2135" s="13" t="str">
        <f>IF(OR(Dashboard!$C$4="All Customers",$E2135=Dashboard!$C$4),IF($E2135="","",$P2135+ROW()/10000000),"")</f>
        <v/>
      </c>
    </row>
    <row r="2136" spans="17:17" ht="14.25" customHeight="1" x14ac:dyDescent="0.3">
      <c r="Q2136" s="13" t="str">
        <f>IF(OR(Dashboard!$C$4="All Customers",$E2136=Dashboard!$C$4),IF($E2136="","",$P2136+ROW()/10000000),"")</f>
        <v/>
      </c>
    </row>
    <row r="2137" spans="17:17" ht="14.25" customHeight="1" x14ac:dyDescent="0.3">
      <c r="Q2137" s="13" t="str">
        <f>IF(OR(Dashboard!$C$4="All Customers",$E2137=Dashboard!$C$4),IF($E2137="","",$P2137+ROW()/10000000),"")</f>
        <v/>
      </c>
    </row>
    <row r="2138" spans="17:17" ht="14.25" customHeight="1" x14ac:dyDescent="0.3">
      <c r="Q2138" s="13" t="str">
        <f>IF(OR(Dashboard!$C$4="All Customers",$E2138=Dashboard!$C$4),IF($E2138="","",$P2138+ROW()/10000000),"")</f>
        <v/>
      </c>
    </row>
    <row r="2139" spans="17:17" ht="14.25" customHeight="1" x14ac:dyDescent="0.3">
      <c r="Q2139" s="13" t="str">
        <f>IF(OR(Dashboard!$C$4="All Customers",$E2139=Dashboard!$C$4),IF($E2139="","",$P2139+ROW()/10000000),"")</f>
        <v/>
      </c>
    </row>
    <row r="2140" spans="17:17" ht="14.25" customHeight="1" x14ac:dyDescent="0.3">
      <c r="Q2140" s="13" t="str">
        <f>IF(OR(Dashboard!$C$4="All Customers",$E2140=Dashboard!$C$4),IF($E2140="","",$P2140+ROW()/10000000),"")</f>
        <v/>
      </c>
    </row>
    <row r="2141" spans="17:17" ht="14.25" customHeight="1" x14ac:dyDescent="0.3">
      <c r="Q2141" s="13" t="str">
        <f>IF(OR(Dashboard!$C$4="All Customers",$E2141=Dashboard!$C$4),IF($E2141="","",$P2141+ROW()/10000000),"")</f>
        <v/>
      </c>
    </row>
    <row r="2142" spans="17:17" ht="14.25" customHeight="1" x14ac:dyDescent="0.3">
      <c r="Q2142" s="13" t="str">
        <f>IF(OR(Dashboard!$C$4="All Customers",$E2142=Dashboard!$C$4),IF($E2142="","",$P2142+ROW()/10000000),"")</f>
        <v/>
      </c>
    </row>
    <row r="2143" spans="17:17" ht="14.25" customHeight="1" x14ac:dyDescent="0.3">
      <c r="Q2143" s="13" t="str">
        <f>IF(OR(Dashboard!$C$4="All Customers",$E2143=Dashboard!$C$4),IF($E2143="","",$P2143+ROW()/10000000),"")</f>
        <v/>
      </c>
    </row>
    <row r="2144" spans="17:17" ht="14.25" customHeight="1" x14ac:dyDescent="0.3">
      <c r="Q2144" s="13" t="str">
        <f>IF(OR(Dashboard!$C$4="All Customers",$E2144=Dashboard!$C$4),IF($E2144="","",$P2144+ROW()/10000000),"")</f>
        <v/>
      </c>
    </row>
    <row r="2145" spans="17:17" ht="14.25" customHeight="1" x14ac:dyDescent="0.3">
      <c r="Q2145" s="13" t="str">
        <f>IF(OR(Dashboard!$C$4="All Customers",$E2145=Dashboard!$C$4),IF($E2145="","",$P2145+ROW()/10000000),"")</f>
        <v/>
      </c>
    </row>
    <row r="2146" spans="17:17" ht="14.25" customHeight="1" x14ac:dyDescent="0.3">
      <c r="Q2146" s="13" t="str">
        <f>IF(OR(Dashboard!$C$4="All Customers",$E2146=Dashboard!$C$4),IF($E2146="","",$P2146+ROW()/10000000),"")</f>
        <v/>
      </c>
    </row>
    <row r="2147" spans="17:17" ht="14.25" customHeight="1" x14ac:dyDescent="0.3">
      <c r="Q2147" s="13" t="str">
        <f>IF(OR(Dashboard!$C$4="All Customers",$E2147=Dashboard!$C$4),IF($E2147="","",$P2147+ROW()/10000000),"")</f>
        <v/>
      </c>
    </row>
    <row r="2148" spans="17:17" ht="14.25" customHeight="1" x14ac:dyDescent="0.3">
      <c r="Q2148" s="13" t="str">
        <f>IF(OR(Dashboard!$C$4="All Customers",$E2148=Dashboard!$C$4),IF($E2148="","",$P2148+ROW()/10000000),"")</f>
        <v/>
      </c>
    </row>
    <row r="2149" spans="17:17" ht="14.25" customHeight="1" x14ac:dyDescent="0.3">
      <c r="Q2149" s="13" t="str">
        <f>IF(OR(Dashboard!$C$4="All Customers",$E2149=Dashboard!$C$4),IF($E2149="","",$P2149+ROW()/10000000),"")</f>
        <v/>
      </c>
    </row>
    <row r="2150" spans="17:17" ht="14.25" customHeight="1" x14ac:dyDescent="0.3">
      <c r="Q2150" s="13" t="str">
        <f>IF(OR(Dashboard!$C$4="All Customers",$E2150=Dashboard!$C$4),IF($E2150="","",$P2150+ROW()/10000000),"")</f>
        <v/>
      </c>
    </row>
    <row r="2151" spans="17:17" ht="14.25" customHeight="1" x14ac:dyDescent="0.3">
      <c r="Q2151" s="13" t="str">
        <f>IF(OR(Dashboard!$C$4="All Customers",$E2151=Dashboard!$C$4),IF($E2151="","",$P2151+ROW()/10000000),"")</f>
        <v/>
      </c>
    </row>
    <row r="2152" spans="17:17" ht="14.25" customHeight="1" x14ac:dyDescent="0.3">
      <c r="Q2152" s="13" t="str">
        <f>IF(OR(Dashboard!$C$4="All Customers",$E2152=Dashboard!$C$4),IF($E2152="","",$P2152+ROW()/10000000),"")</f>
        <v/>
      </c>
    </row>
    <row r="2153" spans="17:17" ht="14.25" customHeight="1" x14ac:dyDescent="0.3">
      <c r="Q2153" s="13" t="str">
        <f>IF(OR(Dashboard!$C$4="All Customers",$E2153=Dashboard!$C$4),IF($E2153="","",$P2153+ROW()/10000000),"")</f>
        <v/>
      </c>
    </row>
    <row r="2154" spans="17:17" ht="14.25" customHeight="1" x14ac:dyDescent="0.3">
      <c r="Q2154" s="13" t="str">
        <f>IF(OR(Dashboard!$C$4="All Customers",$E2154=Dashboard!$C$4),IF($E2154="","",$P2154+ROW()/10000000),"")</f>
        <v/>
      </c>
    </row>
    <row r="2155" spans="17:17" ht="14.25" customHeight="1" x14ac:dyDescent="0.3">
      <c r="Q2155" s="13" t="str">
        <f>IF(OR(Dashboard!$C$4="All Customers",$E2155=Dashboard!$C$4),IF($E2155="","",$P2155+ROW()/10000000),"")</f>
        <v/>
      </c>
    </row>
    <row r="2156" spans="17:17" ht="14.25" customHeight="1" x14ac:dyDescent="0.3">
      <c r="Q2156" s="13" t="str">
        <f>IF(OR(Dashboard!$C$4="All Customers",$E2156=Dashboard!$C$4),IF($E2156="","",$P2156+ROW()/10000000),"")</f>
        <v/>
      </c>
    </row>
    <row r="2157" spans="17:17" ht="14.25" customHeight="1" x14ac:dyDescent="0.3">
      <c r="Q2157" s="13" t="str">
        <f>IF(OR(Dashboard!$C$4="All Customers",$E2157=Dashboard!$C$4),IF($E2157="","",$P2157+ROW()/10000000),"")</f>
        <v/>
      </c>
    </row>
    <row r="2158" spans="17:17" ht="14.25" customHeight="1" x14ac:dyDescent="0.3">
      <c r="Q2158" s="13" t="str">
        <f>IF(OR(Dashboard!$C$4="All Customers",$E2158=Dashboard!$C$4),IF($E2158="","",$P2158+ROW()/10000000),"")</f>
        <v/>
      </c>
    </row>
    <row r="2159" spans="17:17" ht="14.25" customHeight="1" x14ac:dyDescent="0.3">
      <c r="Q2159" s="13" t="str">
        <f>IF(OR(Dashboard!$C$4="All Customers",$E2159=Dashboard!$C$4),IF($E2159="","",$P2159+ROW()/10000000),"")</f>
        <v/>
      </c>
    </row>
    <row r="2160" spans="17:17" ht="14.25" customHeight="1" x14ac:dyDescent="0.3">
      <c r="Q2160" s="13" t="str">
        <f>IF(OR(Dashboard!$C$4="All Customers",$E2160=Dashboard!$C$4),IF($E2160="","",$P2160+ROW()/10000000),"")</f>
        <v/>
      </c>
    </row>
    <row r="2161" spans="17:17" ht="14.25" customHeight="1" x14ac:dyDescent="0.3">
      <c r="Q2161" s="13" t="str">
        <f>IF(OR(Dashboard!$C$4="All Customers",$E2161=Dashboard!$C$4),IF($E2161="","",$P2161+ROW()/10000000),"")</f>
        <v/>
      </c>
    </row>
    <row r="2162" spans="17:17" ht="14.25" customHeight="1" x14ac:dyDescent="0.3">
      <c r="Q2162" s="13" t="str">
        <f>IF(OR(Dashboard!$C$4="All Customers",$E2162=Dashboard!$C$4),IF($E2162="","",$P2162+ROW()/10000000),"")</f>
        <v/>
      </c>
    </row>
    <row r="2163" spans="17:17" ht="14.25" customHeight="1" x14ac:dyDescent="0.3">
      <c r="Q2163" s="13" t="str">
        <f>IF(OR(Dashboard!$C$4="All Customers",$E2163=Dashboard!$C$4),IF($E2163="","",$P2163+ROW()/10000000),"")</f>
        <v/>
      </c>
    </row>
    <row r="2164" spans="17:17" ht="14.25" customHeight="1" x14ac:dyDescent="0.3">
      <c r="Q2164" s="13" t="str">
        <f>IF(OR(Dashboard!$C$4="All Customers",$E2164=Dashboard!$C$4),IF($E2164="","",$P2164+ROW()/10000000),"")</f>
        <v/>
      </c>
    </row>
    <row r="2165" spans="17:17" ht="14.25" customHeight="1" x14ac:dyDescent="0.3">
      <c r="Q2165" s="13" t="str">
        <f>IF(OR(Dashboard!$C$4="All Customers",$E2165=Dashboard!$C$4),IF($E2165="","",$P2165+ROW()/10000000),"")</f>
        <v/>
      </c>
    </row>
    <row r="2166" spans="17:17" ht="14.25" customHeight="1" x14ac:dyDescent="0.3">
      <c r="Q2166" s="13" t="str">
        <f>IF(OR(Dashboard!$C$4="All Customers",$E2166=Dashboard!$C$4),IF($E2166="","",$P2166+ROW()/10000000),"")</f>
        <v/>
      </c>
    </row>
    <row r="2167" spans="17:17" ht="14.25" customHeight="1" x14ac:dyDescent="0.3">
      <c r="Q2167" s="13" t="str">
        <f>IF(OR(Dashboard!$C$4="All Customers",$E2167=Dashboard!$C$4),IF($E2167="","",$P2167+ROW()/10000000),"")</f>
        <v/>
      </c>
    </row>
    <row r="2168" spans="17:17" ht="14.25" customHeight="1" x14ac:dyDescent="0.3">
      <c r="Q2168" s="13" t="str">
        <f>IF(OR(Dashboard!$C$4="All Customers",$E2168=Dashboard!$C$4),IF($E2168="","",$P2168+ROW()/10000000),"")</f>
        <v/>
      </c>
    </row>
    <row r="2169" spans="17:17" ht="14.25" customHeight="1" x14ac:dyDescent="0.3">
      <c r="Q2169" s="13" t="str">
        <f>IF(OR(Dashboard!$C$4="All Customers",$E2169=Dashboard!$C$4),IF($E2169="","",$P2169+ROW()/10000000),"")</f>
        <v/>
      </c>
    </row>
    <row r="2170" spans="17:17" ht="14.25" customHeight="1" x14ac:dyDescent="0.3">
      <c r="Q2170" s="13" t="str">
        <f>IF(OR(Dashboard!$C$4="All Customers",$E2170=Dashboard!$C$4),IF($E2170="","",$P2170+ROW()/10000000),"")</f>
        <v/>
      </c>
    </row>
    <row r="2171" spans="17:17" ht="14.25" customHeight="1" x14ac:dyDescent="0.3">
      <c r="Q2171" s="13" t="str">
        <f>IF(OR(Dashboard!$C$4="All Customers",$E2171=Dashboard!$C$4),IF($E2171="","",$P2171+ROW()/10000000),"")</f>
        <v/>
      </c>
    </row>
    <row r="2172" spans="17:17" ht="14.25" customHeight="1" x14ac:dyDescent="0.3">
      <c r="Q2172" s="13" t="str">
        <f>IF(OR(Dashboard!$C$4="All Customers",$E2172=Dashboard!$C$4),IF($E2172="","",$P2172+ROW()/10000000),"")</f>
        <v/>
      </c>
    </row>
    <row r="2173" spans="17:17" ht="14.25" customHeight="1" x14ac:dyDescent="0.3">
      <c r="Q2173" s="13" t="str">
        <f>IF(OR(Dashboard!$C$4="All Customers",$E2173=Dashboard!$C$4),IF($E2173="","",$P2173+ROW()/10000000),"")</f>
        <v/>
      </c>
    </row>
    <row r="2174" spans="17:17" ht="14.25" customHeight="1" x14ac:dyDescent="0.3">
      <c r="Q2174" s="13" t="str">
        <f>IF(OR(Dashboard!$C$4="All Customers",$E2174=Dashboard!$C$4),IF($E2174="","",$P2174+ROW()/10000000),"")</f>
        <v/>
      </c>
    </row>
    <row r="2175" spans="17:17" ht="14.25" customHeight="1" x14ac:dyDescent="0.3">
      <c r="Q2175" s="13" t="str">
        <f>IF(OR(Dashboard!$C$4="All Customers",$E2175=Dashboard!$C$4),IF($E2175="","",$P2175+ROW()/10000000),"")</f>
        <v/>
      </c>
    </row>
    <row r="2176" spans="17:17" ht="14.25" customHeight="1" x14ac:dyDescent="0.3">
      <c r="Q2176" s="13" t="str">
        <f>IF(OR(Dashboard!$C$4="All Customers",$E2176=Dashboard!$C$4),IF($E2176="","",$P2176+ROW()/10000000),"")</f>
        <v/>
      </c>
    </row>
    <row r="2177" spans="17:17" ht="14.25" customHeight="1" x14ac:dyDescent="0.3">
      <c r="Q2177" s="13" t="str">
        <f>IF(OR(Dashboard!$C$4="All Customers",$E2177=Dashboard!$C$4),IF($E2177="","",$P2177+ROW()/10000000),"")</f>
        <v/>
      </c>
    </row>
    <row r="2178" spans="17:17" ht="14.25" customHeight="1" x14ac:dyDescent="0.3">
      <c r="Q2178" s="13" t="str">
        <f>IF(OR(Dashboard!$C$4="All Customers",$E2178=Dashboard!$C$4),IF($E2178="","",$P2178+ROW()/10000000),"")</f>
        <v/>
      </c>
    </row>
    <row r="2179" spans="17:17" ht="14.25" customHeight="1" x14ac:dyDescent="0.3">
      <c r="Q2179" s="13" t="str">
        <f>IF(OR(Dashboard!$C$4="All Customers",$E2179=Dashboard!$C$4),IF($E2179="","",$P2179+ROW()/10000000),"")</f>
        <v/>
      </c>
    </row>
    <row r="2180" spans="17:17" ht="14.25" customHeight="1" x14ac:dyDescent="0.3">
      <c r="Q2180" s="13" t="str">
        <f>IF(OR(Dashboard!$C$4="All Customers",$E2180=Dashboard!$C$4),IF($E2180="","",$P2180+ROW()/10000000),"")</f>
        <v/>
      </c>
    </row>
    <row r="2181" spans="17:17" ht="14.25" customHeight="1" x14ac:dyDescent="0.3">
      <c r="Q2181" s="13" t="str">
        <f>IF(OR(Dashboard!$C$4="All Customers",$E2181=Dashboard!$C$4),IF($E2181="","",$P2181+ROW()/10000000),"")</f>
        <v/>
      </c>
    </row>
    <row r="2182" spans="17:17" ht="14.25" customHeight="1" x14ac:dyDescent="0.3">
      <c r="Q2182" s="13" t="str">
        <f>IF(OR(Dashboard!$C$4="All Customers",$E2182=Dashboard!$C$4),IF($E2182="","",$P2182+ROW()/10000000),"")</f>
        <v/>
      </c>
    </row>
    <row r="2183" spans="17:17" ht="14.25" customHeight="1" x14ac:dyDescent="0.3">
      <c r="Q2183" s="13" t="str">
        <f>IF(OR(Dashboard!$C$4="All Customers",$E2183=Dashboard!$C$4),IF($E2183="","",$P2183+ROW()/10000000),"")</f>
        <v/>
      </c>
    </row>
    <row r="2184" spans="17:17" ht="14.25" customHeight="1" x14ac:dyDescent="0.3">
      <c r="Q2184" s="13" t="str">
        <f>IF(OR(Dashboard!$C$4="All Customers",$E2184=Dashboard!$C$4),IF($E2184="","",$P2184+ROW()/10000000),"")</f>
        <v/>
      </c>
    </row>
    <row r="2185" spans="17:17" ht="14.25" customHeight="1" x14ac:dyDescent="0.3">
      <c r="Q2185" s="13" t="str">
        <f>IF(OR(Dashboard!$C$4="All Customers",$E2185=Dashboard!$C$4),IF($E2185="","",$P2185+ROW()/10000000),"")</f>
        <v/>
      </c>
    </row>
    <row r="2186" spans="17:17" ht="14.25" customHeight="1" x14ac:dyDescent="0.3">
      <c r="Q2186" s="13" t="str">
        <f>IF(OR(Dashboard!$C$4="All Customers",$E2186=Dashboard!$C$4),IF($E2186="","",$P2186+ROW()/10000000),"")</f>
        <v/>
      </c>
    </row>
    <row r="2187" spans="17:17" ht="14.25" customHeight="1" x14ac:dyDescent="0.3">
      <c r="Q2187" s="13" t="str">
        <f>IF(OR(Dashboard!$C$4="All Customers",$E2187=Dashboard!$C$4),IF($E2187="","",$P2187+ROW()/10000000),"")</f>
        <v/>
      </c>
    </row>
    <row r="2188" spans="17:17" ht="14.25" customHeight="1" x14ac:dyDescent="0.3">
      <c r="Q2188" s="13" t="str">
        <f>IF(OR(Dashboard!$C$4="All Customers",$E2188=Dashboard!$C$4),IF($E2188="","",$P2188+ROW()/10000000),"")</f>
        <v/>
      </c>
    </row>
    <row r="2189" spans="17:17" ht="14.25" customHeight="1" x14ac:dyDescent="0.3">
      <c r="Q2189" s="13" t="str">
        <f>IF(OR(Dashboard!$C$4="All Customers",$E2189=Dashboard!$C$4),IF($E2189="","",$P2189+ROW()/10000000),"")</f>
        <v/>
      </c>
    </row>
    <row r="2190" spans="17:17" ht="14.25" customHeight="1" x14ac:dyDescent="0.3">
      <c r="Q2190" s="13" t="str">
        <f>IF(OR(Dashboard!$C$4="All Customers",$E2190=Dashboard!$C$4),IF($E2190="","",$P2190+ROW()/10000000),"")</f>
        <v/>
      </c>
    </row>
    <row r="2191" spans="17:17" ht="14.25" customHeight="1" x14ac:dyDescent="0.3">
      <c r="Q2191" s="13" t="str">
        <f>IF(OR(Dashboard!$C$4="All Customers",$E2191=Dashboard!$C$4),IF($E2191="","",$P2191+ROW()/10000000),"")</f>
        <v/>
      </c>
    </row>
    <row r="2192" spans="17:17" ht="14.25" customHeight="1" x14ac:dyDescent="0.3">
      <c r="Q2192" s="13" t="str">
        <f>IF(OR(Dashboard!$C$4="All Customers",$E2192=Dashboard!$C$4),IF($E2192="","",$P2192+ROW()/10000000),"")</f>
        <v/>
      </c>
    </row>
    <row r="2193" spans="17:17" ht="14.25" customHeight="1" x14ac:dyDescent="0.3">
      <c r="Q2193" s="13" t="str">
        <f>IF(OR(Dashboard!$C$4="All Customers",$E2193=Dashboard!$C$4),IF($E2193="","",$P2193+ROW()/10000000),"")</f>
        <v/>
      </c>
    </row>
    <row r="2194" spans="17:17" ht="14.25" customHeight="1" x14ac:dyDescent="0.3">
      <c r="Q2194" s="13" t="str">
        <f>IF(OR(Dashboard!$C$4="All Customers",$E2194=Dashboard!$C$4),IF($E2194="","",$P2194+ROW()/10000000),"")</f>
        <v/>
      </c>
    </row>
    <row r="2195" spans="17:17" ht="14.25" customHeight="1" x14ac:dyDescent="0.3">
      <c r="Q2195" s="13" t="str">
        <f>IF(OR(Dashboard!$C$4="All Customers",$E2195=Dashboard!$C$4),IF($E2195="","",$P2195+ROW()/10000000),"")</f>
        <v/>
      </c>
    </row>
    <row r="2196" spans="17:17" ht="14.25" customHeight="1" x14ac:dyDescent="0.3">
      <c r="Q2196" s="13" t="str">
        <f>IF(OR(Dashboard!$C$4="All Customers",$E2196=Dashboard!$C$4),IF($E2196="","",$P2196+ROW()/10000000),"")</f>
        <v/>
      </c>
    </row>
    <row r="2197" spans="17:17" ht="14.25" customHeight="1" x14ac:dyDescent="0.3">
      <c r="Q2197" s="13" t="str">
        <f>IF(OR(Dashboard!$C$4="All Customers",$E2197=Dashboard!$C$4),IF($E2197="","",$P2197+ROW()/10000000),"")</f>
        <v/>
      </c>
    </row>
    <row r="2198" spans="17:17" ht="14.25" customHeight="1" x14ac:dyDescent="0.3">
      <c r="Q2198" s="13" t="str">
        <f>IF(OR(Dashboard!$C$4="All Customers",$E2198=Dashboard!$C$4),IF($E2198="","",$P2198+ROW()/10000000),"")</f>
        <v/>
      </c>
    </row>
    <row r="2199" spans="17:17" ht="14.25" customHeight="1" x14ac:dyDescent="0.3">
      <c r="Q2199" s="13" t="str">
        <f>IF(OR(Dashboard!$C$4="All Customers",$E2199=Dashboard!$C$4),IF($E2199="","",$P2199+ROW()/10000000),"")</f>
        <v/>
      </c>
    </row>
    <row r="2200" spans="17:17" ht="14.25" customHeight="1" x14ac:dyDescent="0.3">
      <c r="Q2200" s="13" t="str">
        <f>IF(OR(Dashboard!$C$4="All Customers",$E2200=Dashboard!$C$4),IF($E2200="","",$P2200+ROW()/10000000),"")</f>
        <v/>
      </c>
    </row>
    <row r="2201" spans="17:17" ht="14.25" customHeight="1" x14ac:dyDescent="0.3">
      <c r="Q2201" s="13" t="str">
        <f>IF(OR(Dashboard!$C$4="All Customers",$E2201=Dashboard!$C$4),IF($E2201="","",$P2201+ROW()/10000000),"")</f>
        <v/>
      </c>
    </row>
    <row r="2202" spans="17:17" ht="14.25" customHeight="1" x14ac:dyDescent="0.3">
      <c r="Q2202" s="13" t="str">
        <f>IF(OR(Dashboard!$C$4="All Customers",$E2202=Dashboard!$C$4),IF($E2202="","",$P2202+ROW()/10000000),"")</f>
        <v/>
      </c>
    </row>
    <row r="2203" spans="17:17" ht="14.25" customHeight="1" x14ac:dyDescent="0.3">
      <c r="Q2203" s="13" t="str">
        <f>IF(OR(Dashboard!$C$4="All Customers",$E2203=Dashboard!$C$4),IF($E2203="","",$P2203+ROW()/10000000),"")</f>
        <v/>
      </c>
    </row>
    <row r="2204" spans="17:17" ht="14.25" customHeight="1" x14ac:dyDescent="0.3">
      <c r="Q2204" s="13" t="str">
        <f>IF(OR(Dashboard!$C$4="All Customers",$E2204=Dashboard!$C$4),IF($E2204="","",$P2204+ROW()/10000000),"")</f>
        <v/>
      </c>
    </row>
    <row r="2205" spans="17:17" ht="14.25" customHeight="1" x14ac:dyDescent="0.3">
      <c r="Q2205" s="13" t="str">
        <f>IF(OR(Dashboard!$C$4="All Customers",$E2205=Dashboard!$C$4),IF($E2205="","",$P2205+ROW()/10000000),"")</f>
        <v/>
      </c>
    </row>
    <row r="2206" spans="17:17" ht="14.25" customHeight="1" x14ac:dyDescent="0.3">
      <c r="Q2206" s="13" t="str">
        <f>IF(OR(Dashboard!$C$4="All Customers",$E2206=Dashboard!$C$4),IF($E2206="","",$P2206+ROW()/10000000),"")</f>
        <v/>
      </c>
    </row>
    <row r="2207" spans="17:17" ht="14.25" customHeight="1" x14ac:dyDescent="0.3">
      <c r="Q2207" s="13" t="str">
        <f>IF(OR(Dashboard!$C$4="All Customers",$E2207=Dashboard!$C$4),IF($E2207="","",$P2207+ROW()/10000000),"")</f>
        <v/>
      </c>
    </row>
    <row r="2208" spans="17:17" ht="14.25" customHeight="1" x14ac:dyDescent="0.3">
      <c r="Q2208" s="13" t="str">
        <f>IF(OR(Dashboard!$C$4="All Customers",$E2208=Dashboard!$C$4),IF($E2208="","",$P2208+ROW()/10000000),"")</f>
        <v/>
      </c>
    </row>
    <row r="2209" spans="17:17" ht="14.25" customHeight="1" x14ac:dyDescent="0.3">
      <c r="Q2209" s="13" t="str">
        <f>IF(OR(Dashboard!$C$4="All Customers",$E2209=Dashboard!$C$4),IF($E2209="","",$P2209+ROW()/10000000),"")</f>
        <v/>
      </c>
    </row>
    <row r="2210" spans="17:17" ht="14.25" customHeight="1" x14ac:dyDescent="0.3">
      <c r="Q2210" s="13" t="str">
        <f>IF(OR(Dashboard!$C$4="All Customers",$E2210=Dashboard!$C$4),IF($E2210="","",$P2210+ROW()/10000000),"")</f>
        <v/>
      </c>
    </row>
    <row r="2211" spans="17:17" ht="14.25" customHeight="1" x14ac:dyDescent="0.3">
      <c r="Q2211" s="13" t="str">
        <f>IF(OR(Dashboard!$C$4="All Customers",$E2211=Dashboard!$C$4),IF($E2211="","",$P2211+ROW()/10000000),"")</f>
        <v/>
      </c>
    </row>
    <row r="2212" spans="17:17" ht="14.25" customHeight="1" x14ac:dyDescent="0.3">
      <c r="Q2212" s="13" t="str">
        <f>IF(OR(Dashboard!$C$4="All Customers",$E2212=Dashboard!$C$4),IF($E2212="","",$P2212+ROW()/10000000),"")</f>
        <v/>
      </c>
    </row>
    <row r="2213" spans="17:17" ht="14.25" customHeight="1" x14ac:dyDescent="0.3">
      <c r="Q2213" s="13" t="str">
        <f>IF(OR(Dashboard!$C$4="All Customers",$E2213=Dashboard!$C$4),IF($E2213="","",$P2213+ROW()/10000000),"")</f>
        <v/>
      </c>
    </row>
    <row r="2214" spans="17:17" ht="14.25" customHeight="1" x14ac:dyDescent="0.3">
      <c r="Q2214" s="13" t="str">
        <f>IF(OR(Dashboard!$C$4="All Customers",$E2214=Dashboard!$C$4),IF($E2214="","",$P2214+ROW()/10000000),"")</f>
        <v/>
      </c>
    </row>
    <row r="2215" spans="17:17" ht="14.25" customHeight="1" x14ac:dyDescent="0.3">
      <c r="Q2215" s="13" t="str">
        <f>IF(OR(Dashboard!$C$4="All Customers",$E2215=Dashboard!$C$4),IF($E2215="","",$P2215+ROW()/10000000),"")</f>
        <v/>
      </c>
    </row>
    <row r="2216" spans="17:17" ht="14.25" customHeight="1" x14ac:dyDescent="0.3">
      <c r="Q2216" s="13" t="str">
        <f>IF(OR(Dashboard!$C$4="All Customers",$E2216=Dashboard!$C$4),IF($E2216="","",$P2216+ROW()/10000000),"")</f>
        <v/>
      </c>
    </row>
    <row r="2217" spans="17:17" ht="14.25" customHeight="1" x14ac:dyDescent="0.3">
      <c r="Q2217" s="13" t="str">
        <f>IF(OR(Dashboard!$C$4="All Customers",$E2217=Dashboard!$C$4),IF($E2217="","",$P2217+ROW()/10000000),"")</f>
        <v/>
      </c>
    </row>
    <row r="2218" spans="17:17" ht="14.25" customHeight="1" x14ac:dyDescent="0.3">
      <c r="Q2218" s="13" t="str">
        <f>IF(OR(Dashboard!$C$4="All Customers",$E2218=Dashboard!$C$4),IF($E2218="","",$P2218+ROW()/10000000),"")</f>
        <v/>
      </c>
    </row>
    <row r="2219" spans="17:17" ht="14.25" customHeight="1" x14ac:dyDescent="0.3">
      <c r="Q2219" s="13" t="str">
        <f>IF(OR(Dashboard!$C$4="All Customers",$E2219=Dashboard!$C$4),IF($E2219="","",$P2219+ROW()/10000000),"")</f>
        <v/>
      </c>
    </row>
    <row r="2220" spans="17:17" ht="14.25" customHeight="1" x14ac:dyDescent="0.3">
      <c r="Q2220" s="13" t="str">
        <f>IF(OR(Dashboard!$C$4="All Customers",$E2220=Dashboard!$C$4),IF($E2220="","",$P2220+ROW()/10000000),"")</f>
        <v/>
      </c>
    </row>
    <row r="2221" spans="17:17" ht="14.25" customHeight="1" x14ac:dyDescent="0.3">
      <c r="Q2221" s="13" t="str">
        <f>IF(OR(Dashboard!$C$4="All Customers",$E2221=Dashboard!$C$4),IF($E2221="","",$P2221+ROW()/10000000),"")</f>
        <v/>
      </c>
    </row>
    <row r="2222" spans="17:17" ht="14.25" customHeight="1" x14ac:dyDescent="0.3">
      <c r="Q2222" s="13" t="str">
        <f>IF(OR(Dashboard!$C$4="All Customers",$E2222=Dashboard!$C$4),IF($E2222="","",$P2222+ROW()/10000000),"")</f>
        <v/>
      </c>
    </row>
    <row r="2223" spans="17:17" ht="14.25" customHeight="1" x14ac:dyDescent="0.3">
      <c r="Q2223" s="13" t="str">
        <f>IF(OR(Dashboard!$C$4="All Customers",$E2223=Dashboard!$C$4),IF($E2223="","",$P2223+ROW()/10000000),"")</f>
        <v/>
      </c>
    </row>
    <row r="2224" spans="17:17" ht="14.25" customHeight="1" x14ac:dyDescent="0.3">
      <c r="Q2224" s="13" t="str">
        <f>IF(OR(Dashboard!$C$4="All Customers",$E2224=Dashboard!$C$4),IF($E2224="","",$P2224+ROW()/10000000),"")</f>
        <v/>
      </c>
    </row>
    <row r="2225" spans="17:17" ht="14.25" customHeight="1" x14ac:dyDescent="0.3">
      <c r="Q2225" s="13" t="str">
        <f>IF(OR(Dashboard!$C$4="All Customers",$E2225=Dashboard!$C$4),IF($E2225="","",$P2225+ROW()/10000000),"")</f>
        <v/>
      </c>
    </row>
    <row r="2226" spans="17:17" ht="14.25" customHeight="1" x14ac:dyDescent="0.3">
      <c r="Q2226" s="13" t="str">
        <f>IF(OR(Dashboard!$C$4="All Customers",$E2226=Dashboard!$C$4),IF($E2226="","",$P2226+ROW()/10000000),"")</f>
        <v/>
      </c>
    </row>
    <row r="2227" spans="17:17" ht="14.25" customHeight="1" x14ac:dyDescent="0.3">
      <c r="Q2227" s="13" t="str">
        <f>IF(OR(Dashboard!$C$4="All Customers",$E2227=Dashboard!$C$4),IF($E2227="","",$P2227+ROW()/10000000),"")</f>
        <v/>
      </c>
    </row>
    <row r="2228" spans="17:17" ht="14.25" customHeight="1" x14ac:dyDescent="0.3">
      <c r="Q2228" s="13" t="str">
        <f>IF(OR(Dashboard!$C$4="All Customers",$E2228=Dashboard!$C$4),IF($E2228="","",$P2228+ROW()/10000000),"")</f>
        <v/>
      </c>
    </row>
    <row r="2229" spans="17:17" ht="14.25" customHeight="1" x14ac:dyDescent="0.3">
      <c r="Q2229" s="13" t="str">
        <f>IF(OR(Dashboard!$C$4="All Customers",$E2229=Dashboard!$C$4),IF($E2229="","",$P2229+ROW()/10000000),"")</f>
        <v/>
      </c>
    </row>
    <row r="2230" spans="17:17" ht="14.25" customHeight="1" x14ac:dyDescent="0.3">
      <c r="Q2230" s="13" t="str">
        <f>IF(OR(Dashboard!$C$4="All Customers",$E2230=Dashboard!$C$4),IF($E2230="","",$P2230+ROW()/10000000),"")</f>
        <v/>
      </c>
    </row>
    <row r="2231" spans="17:17" ht="14.25" customHeight="1" x14ac:dyDescent="0.3">
      <c r="Q2231" s="13" t="str">
        <f>IF(OR(Dashboard!$C$4="All Customers",$E2231=Dashboard!$C$4),IF($E2231="","",$P2231+ROW()/10000000),"")</f>
        <v/>
      </c>
    </row>
    <row r="2232" spans="17:17" ht="14.25" customHeight="1" x14ac:dyDescent="0.3">
      <c r="Q2232" s="13" t="str">
        <f>IF(OR(Dashboard!$C$4="All Customers",$E2232=Dashboard!$C$4),IF($E2232="","",$P2232+ROW()/10000000),"")</f>
        <v/>
      </c>
    </row>
    <row r="2233" spans="17:17" ht="14.25" customHeight="1" x14ac:dyDescent="0.3">
      <c r="Q2233" s="13" t="str">
        <f>IF(OR(Dashboard!$C$4="All Customers",$E2233=Dashboard!$C$4),IF($E2233="","",$P2233+ROW()/10000000),"")</f>
        <v/>
      </c>
    </row>
    <row r="2234" spans="17:17" ht="14.25" customHeight="1" x14ac:dyDescent="0.3">
      <c r="Q2234" s="13" t="str">
        <f>IF(OR(Dashboard!$C$4="All Customers",$E2234=Dashboard!$C$4),IF($E2234="","",$P2234+ROW()/10000000),"")</f>
        <v/>
      </c>
    </row>
    <row r="2235" spans="17:17" ht="14.25" customHeight="1" x14ac:dyDescent="0.3">
      <c r="Q2235" s="13" t="str">
        <f>IF(OR(Dashboard!$C$4="All Customers",$E2235=Dashboard!$C$4),IF($E2235="","",$P2235+ROW()/10000000),"")</f>
        <v/>
      </c>
    </row>
    <row r="2236" spans="17:17" ht="14.25" customHeight="1" x14ac:dyDescent="0.3">
      <c r="Q2236" s="13" t="str">
        <f>IF(OR(Dashboard!$C$4="All Customers",$E2236=Dashboard!$C$4),IF($E2236="","",$P2236+ROW()/10000000),"")</f>
        <v/>
      </c>
    </row>
    <row r="2237" spans="17:17" ht="14.25" customHeight="1" x14ac:dyDescent="0.3">
      <c r="Q2237" s="13" t="str">
        <f>IF(OR(Dashboard!$C$4="All Customers",$E2237=Dashboard!$C$4),IF($E2237="","",$P2237+ROW()/10000000),"")</f>
        <v/>
      </c>
    </row>
    <row r="2238" spans="17:17" ht="14.25" customHeight="1" x14ac:dyDescent="0.3">
      <c r="Q2238" s="13" t="str">
        <f>IF(OR(Dashboard!$C$4="All Customers",$E2238=Dashboard!$C$4),IF($E2238="","",$P2238+ROW()/10000000),"")</f>
        <v/>
      </c>
    </row>
    <row r="2239" spans="17:17" ht="14.25" customHeight="1" x14ac:dyDescent="0.3">
      <c r="Q2239" s="13" t="str">
        <f>IF(OR(Dashboard!$C$4="All Customers",$E2239=Dashboard!$C$4),IF($E2239="","",$P2239+ROW()/10000000),"")</f>
        <v/>
      </c>
    </row>
    <row r="2240" spans="17:17" ht="14.25" customHeight="1" x14ac:dyDescent="0.3">
      <c r="Q2240" s="13" t="str">
        <f>IF(OR(Dashboard!$C$4="All Customers",$E2240=Dashboard!$C$4),IF($E2240="","",$P2240+ROW()/10000000),"")</f>
        <v/>
      </c>
    </row>
    <row r="2241" spans="17:17" ht="14.25" customHeight="1" x14ac:dyDescent="0.3">
      <c r="Q2241" s="13" t="str">
        <f>IF(OR(Dashboard!$C$4="All Customers",$E2241=Dashboard!$C$4),IF($E2241="","",$P2241+ROW()/10000000),"")</f>
        <v/>
      </c>
    </row>
    <row r="2242" spans="17:17" ht="14.25" customHeight="1" x14ac:dyDescent="0.3">
      <c r="Q2242" s="13" t="str">
        <f>IF(OR(Dashboard!$C$4="All Customers",$E2242=Dashboard!$C$4),IF($E2242="","",$P2242+ROW()/10000000),"")</f>
        <v/>
      </c>
    </row>
    <row r="2243" spans="17:17" ht="14.25" customHeight="1" x14ac:dyDescent="0.3">
      <c r="Q2243" s="13" t="str">
        <f>IF(OR(Dashboard!$C$4="All Customers",$E2243=Dashboard!$C$4),IF($E2243="","",$P2243+ROW()/10000000),"")</f>
        <v/>
      </c>
    </row>
    <row r="2244" spans="17:17" ht="14.25" customHeight="1" x14ac:dyDescent="0.3">
      <c r="Q2244" s="13" t="str">
        <f>IF(OR(Dashboard!$C$4="All Customers",$E2244=Dashboard!$C$4),IF($E2244="","",$P2244+ROW()/10000000),"")</f>
        <v/>
      </c>
    </row>
    <row r="2245" spans="17:17" ht="14.25" customHeight="1" x14ac:dyDescent="0.3">
      <c r="Q2245" s="13" t="str">
        <f>IF(OR(Dashboard!$C$4="All Customers",$E2245=Dashboard!$C$4),IF($E2245="","",$P2245+ROW()/10000000),"")</f>
        <v/>
      </c>
    </row>
    <row r="2246" spans="17:17" ht="14.25" customHeight="1" x14ac:dyDescent="0.3">
      <c r="Q2246" s="13" t="str">
        <f>IF(OR(Dashboard!$C$4="All Customers",$E2246=Dashboard!$C$4),IF($E2246="","",$P2246+ROW()/10000000),"")</f>
        <v/>
      </c>
    </row>
    <row r="2247" spans="17:17" ht="14.25" customHeight="1" x14ac:dyDescent="0.3">
      <c r="Q2247" s="13" t="str">
        <f>IF(OR(Dashboard!$C$4="All Customers",$E2247=Dashboard!$C$4),IF($E2247="","",$P2247+ROW()/10000000),"")</f>
        <v/>
      </c>
    </row>
    <row r="2248" spans="17:17" ht="14.25" customHeight="1" x14ac:dyDescent="0.3">
      <c r="Q2248" s="13" t="str">
        <f>IF(OR(Dashboard!$C$4="All Customers",$E2248=Dashboard!$C$4),IF($E2248="","",$P2248+ROW()/10000000),"")</f>
        <v/>
      </c>
    </row>
    <row r="2249" spans="17:17" ht="14.25" customHeight="1" x14ac:dyDescent="0.3">
      <c r="Q2249" s="13" t="str">
        <f>IF(OR(Dashboard!$C$4="All Customers",$E2249=Dashboard!$C$4),IF($E2249="","",$P2249+ROW()/10000000),"")</f>
        <v/>
      </c>
    </row>
    <row r="2250" spans="17:17" ht="14.25" customHeight="1" x14ac:dyDescent="0.3">
      <c r="Q2250" s="13" t="str">
        <f>IF(OR(Dashboard!$C$4="All Customers",$E2250=Dashboard!$C$4),IF($E2250="","",$P2250+ROW()/10000000),"")</f>
        <v/>
      </c>
    </row>
    <row r="2251" spans="17:17" ht="14.25" customHeight="1" x14ac:dyDescent="0.3">
      <c r="Q2251" s="13" t="str">
        <f>IF(OR(Dashboard!$C$4="All Customers",$E2251=Dashboard!$C$4),IF($E2251="","",$P2251+ROW()/10000000),"")</f>
        <v/>
      </c>
    </row>
    <row r="2252" spans="17:17" ht="14.25" customHeight="1" x14ac:dyDescent="0.3">
      <c r="Q2252" s="13" t="str">
        <f>IF(OR(Dashboard!$C$4="All Customers",$E2252=Dashboard!$C$4),IF($E2252="","",$P2252+ROW()/10000000),"")</f>
        <v/>
      </c>
    </row>
    <row r="2253" spans="17:17" ht="14.25" customHeight="1" x14ac:dyDescent="0.3">
      <c r="Q2253" s="13" t="str">
        <f>IF(OR(Dashboard!$C$4="All Customers",$E2253=Dashboard!$C$4),IF($E2253="","",$P2253+ROW()/10000000),"")</f>
        <v/>
      </c>
    </row>
    <row r="2254" spans="17:17" ht="14.25" customHeight="1" x14ac:dyDescent="0.3">
      <c r="Q2254" s="13" t="str">
        <f>IF(OR(Dashboard!$C$4="All Customers",$E2254=Dashboard!$C$4),IF($E2254="","",$P2254+ROW()/10000000),"")</f>
        <v/>
      </c>
    </row>
    <row r="2255" spans="17:17" ht="14.25" customHeight="1" x14ac:dyDescent="0.3">
      <c r="Q2255" s="13" t="str">
        <f>IF(OR(Dashboard!$C$4="All Customers",$E2255=Dashboard!$C$4),IF($E2255="","",$P2255+ROW()/10000000),"")</f>
        <v/>
      </c>
    </row>
    <row r="2256" spans="17:17" ht="14.25" customHeight="1" x14ac:dyDescent="0.3">
      <c r="Q2256" s="13" t="str">
        <f>IF(OR(Dashboard!$C$4="All Customers",$E2256=Dashboard!$C$4),IF($E2256="","",$P2256+ROW()/10000000),"")</f>
        <v/>
      </c>
    </row>
    <row r="2257" spans="17:17" ht="14.25" customHeight="1" x14ac:dyDescent="0.3">
      <c r="Q2257" s="13" t="str">
        <f>IF(OR(Dashboard!$C$4="All Customers",$E2257=Dashboard!$C$4),IF($E2257="","",$P2257+ROW()/10000000),"")</f>
        <v/>
      </c>
    </row>
    <row r="2258" spans="17:17" ht="14.25" customHeight="1" x14ac:dyDescent="0.3">
      <c r="Q2258" s="13" t="str">
        <f>IF(OR(Dashboard!$C$4="All Customers",$E2258=Dashboard!$C$4),IF($E2258="","",$P2258+ROW()/10000000),"")</f>
        <v/>
      </c>
    </row>
    <row r="2259" spans="17:17" ht="14.25" customHeight="1" x14ac:dyDescent="0.3">
      <c r="Q2259" s="13" t="str">
        <f>IF(OR(Dashboard!$C$4="All Customers",$E2259=Dashboard!$C$4),IF($E2259="","",$P2259+ROW()/10000000),"")</f>
        <v/>
      </c>
    </row>
    <row r="2260" spans="17:17" ht="14.25" customHeight="1" x14ac:dyDescent="0.3">
      <c r="Q2260" s="13" t="str">
        <f>IF(OR(Dashboard!$C$4="All Customers",$E2260=Dashboard!$C$4),IF($E2260="","",$P2260+ROW()/10000000),"")</f>
        <v/>
      </c>
    </row>
    <row r="2261" spans="17:17" ht="14.25" customHeight="1" x14ac:dyDescent="0.3">
      <c r="Q2261" s="13" t="str">
        <f>IF(OR(Dashboard!$C$4="All Customers",$E2261=Dashboard!$C$4),IF($E2261="","",$P2261+ROW()/10000000),"")</f>
        <v/>
      </c>
    </row>
    <row r="2262" spans="17:17" ht="14.25" customHeight="1" x14ac:dyDescent="0.3">
      <c r="Q2262" s="13" t="str">
        <f>IF(OR(Dashboard!$C$4="All Customers",$E2262=Dashboard!$C$4),IF($E2262="","",$P2262+ROW()/10000000),"")</f>
        <v/>
      </c>
    </row>
    <row r="2263" spans="17:17" ht="14.25" customHeight="1" x14ac:dyDescent="0.3">
      <c r="Q2263" s="13" t="str">
        <f>IF(OR(Dashboard!$C$4="All Customers",$E2263=Dashboard!$C$4),IF($E2263="","",$P2263+ROW()/10000000),"")</f>
        <v/>
      </c>
    </row>
    <row r="2264" spans="17:17" ht="14.25" customHeight="1" x14ac:dyDescent="0.3">
      <c r="Q2264" s="13" t="str">
        <f>IF(OR(Dashboard!$C$4="All Customers",$E2264=Dashboard!$C$4),IF($E2264="","",$P2264+ROW()/10000000),"")</f>
        <v/>
      </c>
    </row>
    <row r="2265" spans="17:17" ht="14.25" customHeight="1" x14ac:dyDescent="0.3">
      <c r="Q2265" s="13" t="str">
        <f>IF(OR(Dashboard!$C$4="All Customers",$E2265=Dashboard!$C$4),IF($E2265="","",$P2265+ROW()/10000000),"")</f>
        <v/>
      </c>
    </row>
    <row r="2266" spans="17:17" ht="14.25" customHeight="1" x14ac:dyDescent="0.3">
      <c r="Q2266" s="13" t="str">
        <f>IF(OR(Dashboard!$C$4="All Customers",$E2266=Dashboard!$C$4),IF($E2266="","",$P2266+ROW()/10000000),"")</f>
        <v/>
      </c>
    </row>
    <row r="2267" spans="17:17" ht="14.25" customHeight="1" x14ac:dyDescent="0.3">
      <c r="Q2267" s="13" t="str">
        <f>IF(OR(Dashboard!$C$4="All Customers",$E2267=Dashboard!$C$4),IF($E2267="","",$P2267+ROW()/10000000),"")</f>
        <v/>
      </c>
    </row>
    <row r="2268" spans="17:17" ht="14.25" customHeight="1" x14ac:dyDescent="0.3">
      <c r="Q2268" s="13" t="str">
        <f>IF(OR(Dashboard!$C$4="All Customers",$E2268=Dashboard!$C$4),IF($E2268="","",$P2268+ROW()/10000000),"")</f>
        <v/>
      </c>
    </row>
    <row r="2269" spans="17:17" ht="14.25" customHeight="1" x14ac:dyDescent="0.3">
      <c r="Q2269" s="13" t="str">
        <f>IF(OR(Dashboard!$C$4="All Customers",$E2269=Dashboard!$C$4),IF($E2269="","",$P2269+ROW()/10000000),"")</f>
        <v/>
      </c>
    </row>
    <row r="2270" spans="17:17" ht="14.25" customHeight="1" x14ac:dyDescent="0.3">
      <c r="Q2270" s="13" t="str">
        <f>IF(OR(Dashboard!$C$4="All Customers",$E2270=Dashboard!$C$4),IF($E2270="","",$P2270+ROW()/10000000),"")</f>
        <v/>
      </c>
    </row>
    <row r="2271" spans="17:17" ht="14.25" customHeight="1" x14ac:dyDescent="0.3">
      <c r="Q2271" s="13" t="str">
        <f>IF(OR(Dashboard!$C$4="All Customers",$E2271=Dashboard!$C$4),IF($E2271="","",$P2271+ROW()/10000000),"")</f>
        <v/>
      </c>
    </row>
    <row r="2272" spans="17:17" ht="14.25" customHeight="1" x14ac:dyDescent="0.3">
      <c r="Q2272" s="13" t="str">
        <f>IF(OR(Dashboard!$C$4="All Customers",$E2272=Dashboard!$C$4),IF($E2272="","",$P2272+ROW()/10000000),"")</f>
        <v/>
      </c>
    </row>
    <row r="2273" spans="17:17" ht="14.25" customHeight="1" x14ac:dyDescent="0.3">
      <c r="Q2273" s="13" t="str">
        <f>IF(OR(Dashboard!$C$4="All Customers",$E2273=Dashboard!$C$4),IF($E2273="","",$P2273+ROW()/10000000),"")</f>
        <v/>
      </c>
    </row>
    <row r="2274" spans="17:17" ht="14.25" customHeight="1" x14ac:dyDescent="0.3">
      <c r="Q2274" s="13" t="str">
        <f>IF(OR(Dashboard!$C$4="All Customers",$E2274=Dashboard!$C$4),IF($E2274="","",$P2274+ROW()/10000000),"")</f>
        <v/>
      </c>
    </row>
    <row r="2275" spans="17:17" ht="14.25" customHeight="1" x14ac:dyDescent="0.3">
      <c r="Q2275" s="13" t="str">
        <f>IF(OR(Dashboard!$C$4="All Customers",$E2275=Dashboard!$C$4),IF($E2275="","",$P2275+ROW()/10000000),"")</f>
        <v/>
      </c>
    </row>
    <row r="2276" spans="17:17" ht="14.25" customHeight="1" x14ac:dyDescent="0.3">
      <c r="Q2276" s="13" t="str">
        <f>IF(OR(Dashboard!$C$4="All Customers",$E2276=Dashboard!$C$4),IF($E2276="","",$P2276+ROW()/10000000),"")</f>
        <v/>
      </c>
    </row>
    <row r="2277" spans="17:17" ht="14.25" customHeight="1" x14ac:dyDescent="0.3">
      <c r="Q2277" s="13" t="str">
        <f>IF(OR(Dashboard!$C$4="All Customers",$E2277=Dashboard!$C$4),IF($E2277="","",$P2277+ROW()/10000000),"")</f>
        <v/>
      </c>
    </row>
    <row r="2278" spans="17:17" ht="14.25" customHeight="1" x14ac:dyDescent="0.3">
      <c r="Q2278" s="13" t="str">
        <f>IF(OR(Dashboard!$C$4="All Customers",$E2278=Dashboard!$C$4),IF($E2278="","",$P2278+ROW()/10000000),"")</f>
        <v/>
      </c>
    </row>
    <row r="2279" spans="17:17" ht="14.25" customHeight="1" x14ac:dyDescent="0.3">
      <c r="Q2279" s="13" t="str">
        <f>IF(OR(Dashboard!$C$4="All Customers",$E2279=Dashboard!$C$4),IF($E2279="","",$P2279+ROW()/10000000),"")</f>
        <v/>
      </c>
    </row>
    <row r="2280" spans="17:17" ht="14.25" customHeight="1" x14ac:dyDescent="0.3">
      <c r="Q2280" s="13" t="str">
        <f>IF(OR(Dashboard!$C$4="All Customers",$E2280=Dashboard!$C$4),IF($E2280="","",$P2280+ROW()/10000000),"")</f>
        <v/>
      </c>
    </row>
    <row r="2281" spans="17:17" ht="14.25" customHeight="1" x14ac:dyDescent="0.3">
      <c r="Q2281" s="13" t="str">
        <f>IF(OR(Dashboard!$C$4="All Customers",$E2281=Dashboard!$C$4),IF($E2281="","",$P2281+ROW()/10000000),"")</f>
        <v/>
      </c>
    </row>
    <row r="2282" spans="17:17" ht="14.25" customHeight="1" x14ac:dyDescent="0.3">
      <c r="Q2282" s="13" t="str">
        <f>IF(OR(Dashboard!$C$4="All Customers",$E2282=Dashboard!$C$4),IF($E2282="","",$P2282+ROW()/10000000),"")</f>
        <v/>
      </c>
    </row>
    <row r="2283" spans="17:17" ht="14.25" customHeight="1" x14ac:dyDescent="0.3">
      <c r="Q2283" s="13" t="str">
        <f>IF(OR(Dashboard!$C$4="All Customers",$E2283=Dashboard!$C$4),IF($E2283="","",$P2283+ROW()/10000000),"")</f>
        <v/>
      </c>
    </row>
    <row r="2284" spans="17:17" ht="14.25" customHeight="1" x14ac:dyDescent="0.3">
      <c r="Q2284" s="13" t="str">
        <f>IF(OR(Dashboard!$C$4="All Customers",$E2284=Dashboard!$C$4),IF($E2284="","",$P2284+ROW()/10000000),"")</f>
        <v/>
      </c>
    </row>
    <row r="2285" spans="17:17" ht="14.25" customHeight="1" x14ac:dyDescent="0.3">
      <c r="Q2285" s="13" t="str">
        <f>IF(OR(Dashboard!$C$4="All Customers",$E2285=Dashboard!$C$4),IF($E2285="","",$P2285+ROW()/10000000),"")</f>
        <v/>
      </c>
    </row>
    <row r="2286" spans="17:17" ht="14.25" customHeight="1" x14ac:dyDescent="0.3">
      <c r="Q2286" s="13" t="str">
        <f>IF(OR(Dashboard!$C$4="All Customers",$E2286=Dashboard!$C$4),IF($E2286="","",$P2286+ROW()/10000000),"")</f>
        <v/>
      </c>
    </row>
    <row r="2287" spans="17:17" ht="14.25" customHeight="1" x14ac:dyDescent="0.3">
      <c r="Q2287" s="13" t="str">
        <f>IF(OR(Dashboard!$C$4="All Customers",$E2287=Dashboard!$C$4),IF($E2287="","",$P2287+ROW()/10000000),"")</f>
        <v/>
      </c>
    </row>
    <row r="2288" spans="17:17" ht="14.25" customHeight="1" x14ac:dyDescent="0.3">
      <c r="Q2288" s="13" t="str">
        <f>IF(OR(Dashboard!$C$4="All Customers",$E2288=Dashboard!$C$4),IF($E2288="","",$P2288+ROW()/10000000),"")</f>
        <v/>
      </c>
    </row>
    <row r="2289" spans="17:17" ht="14.25" customHeight="1" x14ac:dyDescent="0.3">
      <c r="Q2289" s="13" t="str">
        <f>IF(OR(Dashboard!$C$4="All Customers",$E2289=Dashboard!$C$4),IF($E2289="","",$P2289+ROW()/10000000),"")</f>
        <v/>
      </c>
    </row>
    <row r="2290" spans="17:17" ht="14.25" customHeight="1" x14ac:dyDescent="0.3">
      <c r="Q2290" s="13" t="str">
        <f>IF(OR(Dashboard!$C$4="All Customers",$E2290=Dashboard!$C$4),IF($E2290="","",$P2290+ROW()/10000000),"")</f>
        <v/>
      </c>
    </row>
    <row r="2291" spans="17:17" ht="14.25" customHeight="1" x14ac:dyDescent="0.3">
      <c r="Q2291" s="13" t="str">
        <f>IF(OR(Dashboard!$C$4="All Customers",$E2291=Dashboard!$C$4),IF($E2291="","",$P2291+ROW()/10000000),"")</f>
        <v/>
      </c>
    </row>
    <row r="2292" spans="17:17" ht="14.25" customHeight="1" x14ac:dyDescent="0.3">
      <c r="Q2292" s="13" t="str">
        <f>IF(OR(Dashboard!$C$4="All Customers",$E2292=Dashboard!$C$4),IF($E2292="","",$P2292+ROW()/10000000),"")</f>
        <v/>
      </c>
    </row>
    <row r="2293" spans="17:17" ht="14.25" customHeight="1" x14ac:dyDescent="0.3">
      <c r="Q2293" s="13" t="str">
        <f>IF(OR(Dashboard!$C$4="All Customers",$E2293=Dashboard!$C$4),IF($E2293="","",$P2293+ROW()/10000000),"")</f>
        <v/>
      </c>
    </row>
    <row r="2294" spans="17:17" ht="14.25" customHeight="1" x14ac:dyDescent="0.3">
      <c r="Q2294" s="13" t="str">
        <f>IF(OR(Dashboard!$C$4="All Customers",$E2294=Dashboard!$C$4),IF($E2294="","",$P2294+ROW()/10000000),"")</f>
        <v/>
      </c>
    </row>
    <row r="2295" spans="17:17" ht="14.25" customHeight="1" x14ac:dyDescent="0.3">
      <c r="Q2295" s="13" t="str">
        <f>IF(OR(Dashboard!$C$4="All Customers",$E2295=Dashboard!$C$4),IF($E2295="","",$P2295+ROW()/10000000),"")</f>
        <v/>
      </c>
    </row>
    <row r="2296" spans="17:17" ht="14.25" customHeight="1" x14ac:dyDescent="0.3">
      <c r="Q2296" s="13" t="str">
        <f>IF(OR(Dashboard!$C$4="All Customers",$E2296=Dashboard!$C$4),IF($E2296="","",$P2296+ROW()/10000000),"")</f>
        <v/>
      </c>
    </row>
    <row r="2297" spans="17:17" ht="14.25" customHeight="1" x14ac:dyDescent="0.3">
      <c r="Q2297" s="13" t="str">
        <f>IF(OR(Dashboard!$C$4="All Customers",$E2297=Dashboard!$C$4),IF($E2297="","",$P2297+ROW()/10000000),"")</f>
        <v/>
      </c>
    </row>
    <row r="2298" spans="17:17" ht="14.25" customHeight="1" x14ac:dyDescent="0.3">
      <c r="Q2298" s="13" t="str">
        <f>IF(OR(Dashboard!$C$4="All Customers",$E2298=Dashboard!$C$4),IF($E2298="","",$P2298+ROW()/10000000),"")</f>
        <v/>
      </c>
    </row>
    <row r="2299" spans="17:17" ht="14.25" customHeight="1" x14ac:dyDescent="0.3">
      <c r="Q2299" s="13" t="str">
        <f>IF(OR(Dashboard!$C$4="All Customers",$E2299=Dashboard!$C$4),IF($E2299="","",$P2299+ROW()/10000000),"")</f>
        <v/>
      </c>
    </row>
    <row r="2300" spans="17:17" ht="14.25" customHeight="1" x14ac:dyDescent="0.3">
      <c r="Q2300" s="13" t="str">
        <f>IF(OR(Dashboard!$C$4="All Customers",$E2300=Dashboard!$C$4),IF($E2300="","",$P2300+ROW()/10000000),"")</f>
        <v/>
      </c>
    </row>
    <row r="2301" spans="17:17" ht="14.25" customHeight="1" x14ac:dyDescent="0.3">
      <c r="Q2301" s="13" t="str">
        <f>IF(OR(Dashboard!$C$4="All Customers",$E2301=Dashboard!$C$4),IF($E2301="","",$P2301+ROW()/10000000),"")</f>
        <v/>
      </c>
    </row>
    <row r="2302" spans="17:17" ht="14.25" customHeight="1" x14ac:dyDescent="0.3">
      <c r="Q2302" s="13" t="str">
        <f>IF(OR(Dashboard!$C$4="All Customers",$E2302=Dashboard!$C$4),IF($E2302="","",$P2302+ROW()/10000000),"")</f>
        <v/>
      </c>
    </row>
    <row r="2303" spans="17:17" ht="14.25" customHeight="1" x14ac:dyDescent="0.3">
      <c r="Q2303" s="13" t="str">
        <f>IF(OR(Dashboard!$C$4="All Customers",$E2303=Dashboard!$C$4),IF($E2303="","",$P2303+ROW()/10000000),"")</f>
        <v/>
      </c>
    </row>
    <row r="2304" spans="17:17" ht="14.25" customHeight="1" x14ac:dyDescent="0.3">
      <c r="Q2304" s="13" t="str">
        <f>IF(OR(Dashboard!$C$4="All Customers",$E2304=Dashboard!$C$4),IF($E2304="","",$P2304+ROW()/10000000),"")</f>
        <v/>
      </c>
    </row>
    <row r="2305" spans="17:17" ht="14.25" customHeight="1" x14ac:dyDescent="0.3">
      <c r="Q2305" s="13" t="str">
        <f>IF(OR(Dashboard!$C$4="All Customers",$E2305=Dashboard!$C$4),IF($E2305="","",$P2305+ROW()/10000000),"")</f>
        <v/>
      </c>
    </row>
    <row r="2306" spans="17:17" ht="14.25" customHeight="1" x14ac:dyDescent="0.3">
      <c r="Q2306" s="13" t="str">
        <f>IF(OR(Dashboard!$C$4="All Customers",$E2306=Dashboard!$C$4),IF($E2306="","",$P2306+ROW()/10000000),"")</f>
        <v/>
      </c>
    </row>
    <row r="2307" spans="17:17" ht="14.25" customHeight="1" x14ac:dyDescent="0.3">
      <c r="Q2307" s="13" t="str">
        <f>IF(OR(Dashboard!$C$4="All Customers",$E2307=Dashboard!$C$4),IF($E2307="","",$P2307+ROW()/10000000),"")</f>
        <v/>
      </c>
    </row>
    <row r="2308" spans="17:17" ht="14.25" customHeight="1" x14ac:dyDescent="0.3">
      <c r="Q2308" s="13" t="str">
        <f>IF(OR(Dashboard!$C$4="All Customers",$E2308=Dashboard!$C$4),IF($E2308="","",$P2308+ROW()/10000000),"")</f>
        <v/>
      </c>
    </row>
    <row r="2309" spans="17:17" ht="14.25" customHeight="1" x14ac:dyDescent="0.3">
      <c r="Q2309" s="13" t="str">
        <f>IF(OR(Dashboard!$C$4="All Customers",$E2309=Dashboard!$C$4),IF($E2309="","",$P2309+ROW()/10000000),"")</f>
        <v/>
      </c>
    </row>
    <row r="2310" spans="17:17" ht="14.25" customHeight="1" x14ac:dyDescent="0.3">
      <c r="Q2310" s="13" t="str">
        <f>IF(OR(Dashboard!$C$4="All Customers",$E2310=Dashboard!$C$4),IF($E2310="","",$P2310+ROW()/10000000),"")</f>
        <v/>
      </c>
    </row>
    <row r="2311" spans="17:17" ht="14.25" customHeight="1" x14ac:dyDescent="0.3">
      <c r="Q2311" s="13" t="str">
        <f>IF(OR(Dashboard!$C$4="All Customers",$E2311=Dashboard!$C$4),IF($E2311="","",$P2311+ROW()/10000000),"")</f>
        <v/>
      </c>
    </row>
    <row r="2312" spans="17:17" ht="14.25" customHeight="1" x14ac:dyDescent="0.3">
      <c r="Q2312" s="13" t="str">
        <f>IF(OR(Dashboard!$C$4="All Customers",$E2312=Dashboard!$C$4),IF($E2312="","",$P2312+ROW()/10000000),"")</f>
        <v/>
      </c>
    </row>
    <row r="2313" spans="17:17" ht="14.25" customHeight="1" x14ac:dyDescent="0.3">
      <c r="Q2313" s="13" t="str">
        <f>IF(OR(Dashboard!$C$4="All Customers",$E2313=Dashboard!$C$4),IF($E2313="","",$P2313+ROW()/10000000),"")</f>
        <v/>
      </c>
    </row>
    <row r="2314" spans="17:17" ht="14.25" customHeight="1" x14ac:dyDescent="0.3">
      <c r="Q2314" s="13" t="str">
        <f>IF(OR(Dashboard!$C$4="All Customers",$E2314=Dashboard!$C$4),IF($E2314="","",$P2314+ROW()/10000000),"")</f>
        <v/>
      </c>
    </row>
    <row r="2315" spans="17:17" ht="14.25" customHeight="1" x14ac:dyDescent="0.3">
      <c r="Q2315" s="13" t="str">
        <f>IF(OR(Dashboard!$C$4="All Customers",$E2315=Dashboard!$C$4),IF($E2315="","",$P2315+ROW()/10000000),"")</f>
        <v/>
      </c>
    </row>
    <row r="2316" spans="17:17" ht="14.25" customHeight="1" x14ac:dyDescent="0.3">
      <c r="Q2316" s="13" t="str">
        <f>IF(OR(Dashboard!$C$4="All Customers",$E2316=Dashboard!$C$4),IF($E2316="","",$P2316+ROW()/10000000),"")</f>
        <v/>
      </c>
    </row>
    <row r="2317" spans="17:17" ht="14.25" customHeight="1" x14ac:dyDescent="0.3">
      <c r="Q2317" s="13" t="str">
        <f>IF(OR(Dashboard!$C$4="All Customers",$E2317=Dashboard!$C$4),IF($E2317="","",$P2317+ROW()/10000000),"")</f>
        <v/>
      </c>
    </row>
    <row r="2318" spans="17:17" ht="14.25" customHeight="1" x14ac:dyDescent="0.3">
      <c r="Q2318" s="13" t="str">
        <f>IF(OR(Dashboard!$C$4="All Customers",$E2318=Dashboard!$C$4),IF($E2318="","",$P2318+ROW()/10000000),"")</f>
        <v/>
      </c>
    </row>
    <row r="2319" spans="17:17" ht="14.25" customHeight="1" x14ac:dyDescent="0.3">
      <c r="Q2319" s="13" t="str">
        <f>IF(OR(Dashboard!$C$4="All Customers",$E2319=Dashboard!$C$4),IF($E2319="","",$P2319+ROW()/10000000),"")</f>
        <v/>
      </c>
    </row>
    <row r="2320" spans="17:17" ht="14.25" customHeight="1" x14ac:dyDescent="0.3">
      <c r="Q2320" s="13" t="str">
        <f>IF(OR(Dashboard!$C$4="All Customers",$E2320=Dashboard!$C$4),IF($E2320="","",$P2320+ROW()/10000000),"")</f>
        <v/>
      </c>
    </row>
    <row r="2321" spans="17:17" ht="14.25" customHeight="1" x14ac:dyDescent="0.3">
      <c r="Q2321" s="13" t="str">
        <f>IF(OR(Dashboard!$C$4="All Customers",$E2321=Dashboard!$C$4),IF($E2321="","",$P2321+ROW()/10000000),"")</f>
        <v/>
      </c>
    </row>
    <row r="2322" spans="17:17" ht="14.25" customHeight="1" x14ac:dyDescent="0.3">
      <c r="Q2322" s="13" t="str">
        <f>IF(OR(Dashboard!$C$4="All Customers",$E2322=Dashboard!$C$4),IF($E2322="","",$P2322+ROW()/10000000),"")</f>
        <v/>
      </c>
    </row>
    <row r="2323" spans="17:17" ht="14.25" customHeight="1" x14ac:dyDescent="0.3">
      <c r="Q2323" s="13" t="str">
        <f>IF(OR(Dashboard!$C$4="All Customers",$E2323=Dashboard!$C$4),IF($E2323="","",$P2323+ROW()/10000000),"")</f>
        <v/>
      </c>
    </row>
    <row r="2324" spans="17:17" ht="14.25" customHeight="1" x14ac:dyDescent="0.3">
      <c r="Q2324" s="13" t="str">
        <f>IF(OR(Dashboard!$C$4="All Customers",$E2324=Dashboard!$C$4),IF($E2324="","",$P2324+ROW()/10000000),"")</f>
        <v/>
      </c>
    </row>
    <row r="2325" spans="17:17" ht="14.25" customHeight="1" x14ac:dyDescent="0.3">
      <c r="Q2325" s="13" t="str">
        <f>IF(OR(Dashboard!$C$4="All Customers",$E2325=Dashboard!$C$4),IF($E2325="","",$P2325+ROW()/10000000),"")</f>
        <v/>
      </c>
    </row>
    <row r="2326" spans="17:17" ht="14.25" customHeight="1" x14ac:dyDescent="0.3">
      <c r="Q2326" s="13" t="str">
        <f>IF(OR(Dashboard!$C$4="All Customers",$E2326=Dashboard!$C$4),IF($E2326="","",$P2326+ROW()/10000000),"")</f>
        <v/>
      </c>
    </row>
    <row r="2327" spans="17:17" ht="14.25" customHeight="1" x14ac:dyDescent="0.3">
      <c r="Q2327" s="13" t="str">
        <f>IF(OR(Dashboard!$C$4="All Customers",$E2327=Dashboard!$C$4),IF($E2327="","",$P2327+ROW()/10000000),"")</f>
        <v/>
      </c>
    </row>
    <row r="2328" spans="17:17" ht="14.25" customHeight="1" x14ac:dyDescent="0.3">
      <c r="Q2328" s="13" t="str">
        <f>IF(OR(Dashboard!$C$4="All Customers",$E2328=Dashboard!$C$4),IF($E2328="","",$P2328+ROW()/10000000),"")</f>
        <v/>
      </c>
    </row>
    <row r="2329" spans="17:17" ht="14.25" customHeight="1" x14ac:dyDescent="0.3">
      <c r="Q2329" s="13" t="str">
        <f>IF(OR(Dashboard!$C$4="All Customers",$E2329=Dashboard!$C$4),IF($E2329="","",$P2329+ROW()/10000000),"")</f>
        <v/>
      </c>
    </row>
    <row r="2330" spans="17:17" ht="14.25" customHeight="1" x14ac:dyDescent="0.3">
      <c r="Q2330" s="13" t="str">
        <f>IF(OR(Dashboard!$C$4="All Customers",$E2330=Dashboard!$C$4),IF($E2330="","",$P2330+ROW()/10000000),"")</f>
        <v/>
      </c>
    </row>
    <row r="2331" spans="17:17" ht="14.25" customHeight="1" x14ac:dyDescent="0.3">
      <c r="Q2331" s="13" t="str">
        <f>IF(OR(Dashboard!$C$4="All Customers",$E2331=Dashboard!$C$4),IF($E2331="","",$P2331+ROW()/10000000),"")</f>
        <v/>
      </c>
    </row>
    <row r="2332" spans="17:17" ht="14.25" customHeight="1" x14ac:dyDescent="0.3">
      <c r="Q2332" s="13" t="str">
        <f>IF(OR(Dashboard!$C$4="All Customers",$E2332=Dashboard!$C$4),IF($E2332="","",$P2332+ROW()/10000000),"")</f>
        <v/>
      </c>
    </row>
    <row r="2333" spans="17:17" ht="14.25" customHeight="1" x14ac:dyDescent="0.3">
      <c r="Q2333" s="13" t="str">
        <f>IF(OR(Dashboard!$C$4="All Customers",$E2333=Dashboard!$C$4),IF($E2333="","",$P2333+ROW()/10000000),"")</f>
        <v/>
      </c>
    </row>
    <row r="2334" spans="17:17" ht="14.25" customHeight="1" x14ac:dyDescent="0.3">
      <c r="Q2334" s="13" t="str">
        <f>IF(OR(Dashboard!$C$4="All Customers",$E2334=Dashboard!$C$4),IF($E2334="","",$P2334+ROW()/10000000),"")</f>
        <v/>
      </c>
    </row>
    <row r="2335" spans="17:17" ht="14.25" customHeight="1" x14ac:dyDescent="0.3">
      <c r="Q2335" s="13" t="str">
        <f>IF(OR(Dashboard!$C$4="All Customers",$E2335=Dashboard!$C$4),IF($E2335="","",$P2335+ROW()/10000000),"")</f>
        <v/>
      </c>
    </row>
    <row r="2336" spans="17:17" ht="14.25" customHeight="1" x14ac:dyDescent="0.3">
      <c r="Q2336" s="13" t="str">
        <f>IF(OR(Dashboard!$C$4="All Customers",$E2336=Dashboard!$C$4),IF($E2336="","",$P2336+ROW()/10000000),"")</f>
        <v/>
      </c>
    </row>
    <row r="2337" spans="17:17" ht="14.25" customHeight="1" x14ac:dyDescent="0.3">
      <c r="Q2337" s="13" t="str">
        <f>IF(OR(Dashboard!$C$4="All Customers",$E2337=Dashboard!$C$4),IF($E2337="","",$P2337+ROW()/10000000),"")</f>
        <v/>
      </c>
    </row>
    <row r="2338" spans="17:17" ht="14.25" customHeight="1" x14ac:dyDescent="0.3">
      <c r="Q2338" s="13" t="str">
        <f>IF(OR(Dashboard!$C$4="All Customers",$E2338=Dashboard!$C$4),IF($E2338="","",$P2338+ROW()/10000000),"")</f>
        <v/>
      </c>
    </row>
    <row r="2339" spans="17:17" ht="14.25" customHeight="1" x14ac:dyDescent="0.3">
      <c r="Q2339" s="13" t="str">
        <f>IF(OR(Dashboard!$C$4="All Customers",$E2339=Dashboard!$C$4),IF($E2339="","",$P2339+ROW()/10000000),"")</f>
        <v/>
      </c>
    </row>
    <row r="2340" spans="17:17" ht="14.25" customHeight="1" x14ac:dyDescent="0.3">
      <c r="Q2340" s="13" t="str">
        <f>IF(OR(Dashboard!$C$4="All Customers",$E2340=Dashboard!$C$4),IF($E2340="","",$P2340+ROW()/10000000),"")</f>
        <v/>
      </c>
    </row>
    <row r="2341" spans="17:17" ht="14.25" customHeight="1" x14ac:dyDescent="0.3">
      <c r="Q2341" s="13" t="str">
        <f>IF(OR(Dashboard!$C$4="All Customers",$E2341=Dashboard!$C$4),IF($E2341="","",$P2341+ROW()/10000000),"")</f>
        <v/>
      </c>
    </row>
    <row r="2342" spans="17:17" ht="14.25" customHeight="1" x14ac:dyDescent="0.3">
      <c r="Q2342" s="13" t="str">
        <f>IF(OR(Dashboard!$C$4="All Customers",$E2342=Dashboard!$C$4),IF($E2342="","",$P2342+ROW()/10000000),"")</f>
        <v/>
      </c>
    </row>
    <row r="2343" spans="17:17" ht="14.25" customHeight="1" x14ac:dyDescent="0.3">
      <c r="Q2343" s="13" t="str">
        <f>IF(OR(Dashboard!$C$4="All Customers",$E2343=Dashboard!$C$4),IF($E2343="","",$P2343+ROW()/10000000),"")</f>
        <v/>
      </c>
    </row>
    <row r="2344" spans="17:17" ht="14.25" customHeight="1" x14ac:dyDescent="0.3">
      <c r="Q2344" s="13" t="str">
        <f>IF(OR(Dashboard!$C$4="All Customers",$E2344=Dashboard!$C$4),IF($E2344="","",$P2344+ROW()/10000000),"")</f>
        <v/>
      </c>
    </row>
    <row r="2345" spans="17:17" ht="14.25" customHeight="1" x14ac:dyDescent="0.3">
      <c r="Q2345" s="13" t="str">
        <f>IF(OR(Dashboard!$C$4="All Customers",$E2345=Dashboard!$C$4),IF($E2345="","",$P2345+ROW()/10000000),"")</f>
        <v/>
      </c>
    </row>
    <row r="2346" spans="17:17" ht="14.25" customHeight="1" x14ac:dyDescent="0.3">
      <c r="Q2346" s="13" t="str">
        <f>IF(OR(Dashboard!$C$4="All Customers",$E2346=Dashboard!$C$4),IF($E2346="","",$P2346+ROW()/10000000),"")</f>
        <v/>
      </c>
    </row>
    <row r="2347" spans="17:17" ht="14.25" customHeight="1" x14ac:dyDescent="0.3">
      <c r="Q2347" s="13" t="str">
        <f>IF(OR(Dashboard!$C$4="All Customers",$E2347=Dashboard!$C$4),IF($E2347="","",$P2347+ROW()/10000000),"")</f>
        <v/>
      </c>
    </row>
    <row r="2348" spans="17:17" ht="14.25" customHeight="1" x14ac:dyDescent="0.3">
      <c r="Q2348" s="13" t="str">
        <f>IF(OR(Dashboard!$C$4="All Customers",$E2348=Dashboard!$C$4),IF($E2348="","",$P2348+ROW()/10000000),"")</f>
        <v/>
      </c>
    </row>
    <row r="2349" spans="17:17" ht="14.25" customHeight="1" x14ac:dyDescent="0.3">
      <c r="Q2349" s="13" t="str">
        <f>IF(OR(Dashboard!$C$4="All Customers",$E2349=Dashboard!$C$4),IF($E2349="","",$P2349+ROW()/10000000),"")</f>
        <v/>
      </c>
    </row>
    <row r="2350" spans="17:17" ht="14.25" customHeight="1" x14ac:dyDescent="0.3">
      <c r="Q2350" s="13" t="str">
        <f>IF(OR(Dashboard!$C$4="All Customers",$E2350=Dashboard!$C$4),IF($E2350="","",$P2350+ROW()/10000000),"")</f>
        <v/>
      </c>
    </row>
    <row r="2351" spans="17:17" ht="14.25" customHeight="1" x14ac:dyDescent="0.3">
      <c r="Q2351" s="13" t="str">
        <f>IF(OR(Dashboard!$C$4="All Customers",$E2351=Dashboard!$C$4),IF($E2351="","",$P2351+ROW()/10000000),"")</f>
        <v/>
      </c>
    </row>
    <row r="2352" spans="17:17" ht="14.25" customHeight="1" x14ac:dyDescent="0.3">
      <c r="Q2352" s="13" t="str">
        <f>IF(OR(Dashboard!$C$4="All Customers",$E2352=Dashboard!$C$4),IF($E2352="","",$P2352+ROW()/10000000),"")</f>
        <v/>
      </c>
    </row>
    <row r="2353" spans="17:17" ht="14.25" customHeight="1" x14ac:dyDescent="0.3">
      <c r="Q2353" s="13" t="str">
        <f>IF(OR(Dashboard!$C$4="All Customers",$E2353=Dashboard!$C$4),IF($E2353="","",$P2353+ROW()/10000000),"")</f>
        <v/>
      </c>
    </row>
    <row r="2354" spans="17:17" ht="14.25" customHeight="1" x14ac:dyDescent="0.3">
      <c r="Q2354" s="13" t="str">
        <f>IF(OR(Dashboard!$C$4="All Customers",$E2354=Dashboard!$C$4),IF($E2354="","",$P2354+ROW()/10000000),"")</f>
        <v/>
      </c>
    </row>
    <row r="2355" spans="17:17" ht="14.25" customHeight="1" x14ac:dyDescent="0.3">
      <c r="Q2355" s="13" t="str">
        <f>IF(OR(Dashboard!$C$4="All Customers",$E2355=Dashboard!$C$4),IF($E2355="","",$P2355+ROW()/10000000),"")</f>
        <v/>
      </c>
    </row>
    <row r="2356" spans="17:17" ht="14.25" customHeight="1" x14ac:dyDescent="0.3">
      <c r="Q2356" s="13" t="str">
        <f>IF(OR(Dashboard!$C$4="All Customers",$E2356=Dashboard!$C$4),IF($E2356="","",$P2356+ROW()/10000000),"")</f>
        <v/>
      </c>
    </row>
    <row r="2357" spans="17:17" ht="14.25" customHeight="1" x14ac:dyDescent="0.3">
      <c r="Q2357" s="13" t="str">
        <f>IF(OR(Dashboard!$C$4="All Customers",$E2357=Dashboard!$C$4),IF($E2357="","",$P2357+ROW()/10000000),"")</f>
        <v/>
      </c>
    </row>
    <row r="2358" spans="17:17" ht="14.25" customHeight="1" x14ac:dyDescent="0.3">
      <c r="Q2358" s="13" t="str">
        <f>IF(OR(Dashboard!$C$4="All Customers",$E2358=Dashboard!$C$4),IF($E2358="","",$P2358+ROW()/10000000),"")</f>
        <v/>
      </c>
    </row>
    <row r="2359" spans="17:17" ht="14.25" customHeight="1" x14ac:dyDescent="0.3">
      <c r="Q2359" s="13" t="str">
        <f>IF(OR(Dashboard!$C$4="All Customers",$E2359=Dashboard!$C$4),IF($E2359="","",$P2359+ROW()/10000000),"")</f>
        <v/>
      </c>
    </row>
    <row r="2360" spans="17:17" ht="14.25" customHeight="1" x14ac:dyDescent="0.3">
      <c r="Q2360" s="13" t="str">
        <f>IF(OR(Dashboard!$C$4="All Customers",$E2360=Dashboard!$C$4),IF($E2360="","",$P2360+ROW()/10000000),"")</f>
        <v/>
      </c>
    </row>
    <row r="2361" spans="17:17" ht="14.25" customHeight="1" x14ac:dyDescent="0.3">
      <c r="Q2361" s="13" t="str">
        <f>IF(OR(Dashboard!$C$4="All Customers",$E2361=Dashboard!$C$4),IF($E2361="","",$P2361+ROW()/10000000),"")</f>
        <v/>
      </c>
    </row>
    <row r="2362" spans="17:17" ht="14.25" customHeight="1" x14ac:dyDescent="0.3">
      <c r="Q2362" s="13" t="str">
        <f>IF(OR(Dashboard!$C$4="All Customers",$E2362=Dashboard!$C$4),IF($E2362="","",$P2362+ROW()/10000000),"")</f>
        <v/>
      </c>
    </row>
    <row r="2363" spans="17:17" ht="14.25" customHeight="1" x14ac:dyDescent="0.3">
      <c r="Q2363" s="13" t="str">
        <f>IF(OR(Dashboard!$C$4="All Customers",$E2363=Dashboard!$C$4),IF($E2363="","",$P2363+ROW()/10000000),"")</f>
        <v/>
      </c>
    </row>
    <row r="2364" spans="17:17" ht="14.25" customHeight="1" x14ac:dyDescent="0.3">
      <c r="Q2364" s="13" t="str">
        <f>IF(OR(Dashboard!$C$4="All Customers",$E2364=Dashboard!$C$4),IF($E2364="","",$P2364+ROW()/10000000),"")</f>
        <v/>
      </c>
    </row>
    <row r="2365" spans="17:17" ht="14.25" customHeight="1" x14ac:dyDescent="0.3">
      <c r="Q2365" s="13" t="str">
        <f>IF(OR(Dashboard!$C$4="All Customers",$E2365=Dashboard!$C$4),IF($E2365="","",$P2365+ROW()/10000000),"")</f>
        <v/>
      </c>
    </row>
    <row r="2366" spans="17:17" ht="14.25" customHeight="1" x14ac:dyDescent="0.3">
      <c r="Q2366" s="13" t="str">
        <f>IF(OR(Dashboard!$C$4="All Customers",$E2366=Dashboard!$C$4),IF($E2366="","",$P2366+ROW()/10000000),"")</f>
        <v/>
      </c>
    </row>
    <row r="2367" spans="17:17" ht="14.25" customHeight="1" x14ac:dyDescent="0.3">
      <c r="Q2367" s="13" t="str">
        <f>IF(OR(Dashboard!$C$4="All Customers",$E2367=Dashboard!$C$4),IF($E2367="","",$P2367+ROW()/10000000),"")</f>
        <v/>
      </c>
    </row>
    <row r="2368" spans="17:17" ht="14.25" customHeight="1" x14ac:dyDescent="0.3">
      <c r="Q2368" s="13" t="str">
        <f>IF(OR(Dashboard!$C$4="All Customers",$E2368=Dashboard!$C$4),IF($E2368="","",$P2368+ROW()/10000000),"")</f>
        <v/>
      </c>
    </row>
    <row r="2369" spans="17:17" ht="14.25" customHeight="1" x14ac:dyDescent="0.3">
      <c r="Q2369" s="13" t="str">
        <f>IF(OR(Dashboard!$C$4="All Customers",$E2369=Dashboard!$C$4),IF($E2369="","",$P2369+ROW()/10000000),"")</f>
        <v/>
      </c>
    </row>
    <row r="2370" spans="17:17" ht="14.25" customHeight="1" x14ac:dyDescent="0.3">
      <c r="Q2370" s="13" t="str">
        <f>IF(OR(Dashboard!$C$4="All Customers",$E2370=Dashboard!$C$4),IF($E2370="","",$P2370+ROW()/10000000),"")</f>
        <v/>
      </c>
    </row>
    <row r="2371" spans="17:17" ht="14.25" customHeight="1" x14ac:dyDescent="0.3">
      <c r="Q2371" s="13" t="str">
        <f>IF(OR(Dashboard!$C$4="All Customers",$E2371=Dashboard!$C$4),IF($E2371="","",$P2371+ROW()/10000000),"")</f>
        <v/>
      </c>
    </row>
    <row r="2372" spans="17:17" ht="14.25" customHeight="1" x14ac:dyDescent="0.3">
      <c r="Q2372" s="13" t="str">
        <f>IF(OR(Dashboard!$C$4="All Customers",$E2372=Dashboard!$C$4),IF($E2372="","",$P2372+ROW()/10000000),"")</f>
        <v/>
      </c>
    </row>
    <row r="2373" spans="17:17" ht="14.25" customHeight="1" x14ac:dyDescent="0.3">
      <c r="Q2373" s="13" t="str">
        <f>IF(OR(Dashboard!$C$4="All Customers",$E2373=Dashboard!$C$4),IF($E2373="","",$P2373+ROW()/10000000),"")</f>
        <v/>
      </c>
    </row>
    <row r="2374" spans="17:17" ht="14.25" customHeight="1" x14ac:dyDescent="0.3">
      <c r="Q2374" s="13" t="str">
        <f>IF(OR(Dashboard!$C$4="All Customers",$E2374=Dashboard!$C$4),IF($E2374="","",$P2374+ROW()/10000000),"")</f>
        <v/>
      </c>
    </row>
    <row r="2375" spans="17:17" ht="14.25" customHeight="1" x14ac:dyDescent="0.3">
      <c r="Q2375" s="13" t="str">
        <f>IF(OR(Dashboard!$C$4="All Customers",$E2375=Dashboard!$C$4),IF($E2375="","",$P2375+ROW()/10000000),"")</f>
        <v/>
      </c>
    </row>
    <row r="2376" spans="17:17" ht="14.25" customHeight="1" x14ac:dyDescent="0.3">
      <c r="Q2376" s="13" t="str">
        <f>IF(OR(Dashboard!$C$4="All Customers",$E2376=Dashboard!$C$4),IF($E2376="","",$P2376+ROW()/10000000),"")</f>
        <v/>
      </c>
    </row>
    <row r="2377" spans="17:17" ht="14.25" customHeight="1" x14ac:dyDescent="0.3">
      <c r="Q2377" s="13" t="str">
        <f>IF(OR(Dashboard!$C$4="All Customers",$E2377=Dashboard!$C$4),IF($E2377="","",$P2377+ROW()/10000000),"")</f>
        <v/>
      </c>
    </row>
    <row r="2378" spans="17:17" ht="14.25" customHeight="1" x14ac:dyDescent="0.3">
      <c r="Q2378" s="13" t="str">
        <f>IF(OR(Dashboard!$C$4="All Customers",$E2378=Dashboard!$C$4),IF($E2378="","",$P2378+ROW()/10000000),"")</f>
        <v/>
      </c>
    </row>
    <row r="2379" spans="17:17" ht="14.25" customHeight="1" x14ac:dyDescent="0.3">
      <c r="Q2379" s="13" t="str">
        <f>IF(OR(Dashboard!$C$4="All Customers",$E2379=Dashboard!$C$4),IF($E2379="","",$P2379+ROW()/10000000),"")</f>
        <v/>
      </c>
    </row>
    <row r="2380" spans="17:17" ht="14.25" customHeight="1" x14ac:dyDescent="0.3">
      <c r="Q2380" s="13" t="str">
        <f>IF(OR(Dashboard!$C$4="All Customers",$E2380=Dashboard!$C$4),IF($E2380="","",$P2380+ROW()/10000000),"")</f>
        <v/>
      </c>
    </row>
    <row r="2381" spans="17:17" ht="14.25" customHeight="1" x14ac:dyDescent="0.3">
      <c r="Q2381" s="13" t="str">
        <f>IF(OR(Dashboard!$C$4="All Customers",$E2381=Dashboard!$C$4),IF($E2381="","",$P2381+ROW()/10000000),"")</f>
        <v/>
      </c>
    </row>
    <row r="2382" spans="17:17" ht="14.25" customHeight="1" x14ac:dyDescent="0.3">
      <c r="Q2382" s="13" t="str">
        <f>IF(OR(Dashboard!$C$4="All Customers",$E2382=Dashboard!$C$4),IF($E2382="","",$P2382+ROW()/10000000),"")</f>
        <v/>
      </c>
    </row>
    <row r="2383" spans="17:17" ht="14.25" customHeight="1" x14ac:dyDescent="0.3">
      <c r="Q2383" s="13" t="str">
        <f>IF(OR(Dashboard!$C$4="All Customers",$E2383=Dashboard!$C$4),IF($E2383="","",$P2383+ROW()/10000000),"")</f>
        <v/>
      </c>
    </row>
    <row r="2384" spans="17:17" ht="14.25" customHeight="1" x14ac:dyDescent="0.3">
      <c r="Q2384" s="13" t="str">
        <f>IF(OR(Dashboard!$C$4="All Customers",$E2384=Dashboard!$C$4),IF($E2384="","",$P2384+ROW()/10000000),"")</f>
        <v/>
      </c>
    </row>
    <row r="2385" spans="17:17" ht="14.25" customHeight="1" x14ac:dyDescent="0.3">
      <c r="Q2385" s="13" t="str">
        <f>IF(OR(Dashboard!$C$4="All Customers",$E2385=Dashboard!$C$4),IF($E2385="","",$P2385+ROW()/10000000),"")</f>
        <v/>
      </c>
    </row>
    <row r="2386" spans="17:17" ht="14.25" customHeight="1" x14ac:dyDescent="0.3">
      <c r="Q2386" s="13" t="str">
        <f>IF(OR(Dashboard!$C$4="All Customers",$E2386=Dashboard!$C$4),IF($E2386="","",$P2386+ROW()/10000000),"")</f>
        <v/>
      </c>
    </row>
    <row r="2387" spans="17:17" ht="14.25" customHeight="1" x14ac:dyDescent="0.3">
      <c r="Q2387" s="13" t="str">
        <f>IF(OR(Dashboard!$C$4="All Customers",$E2387=Dashboard!$C$4),IF($E2387="","",$P2387+ROW()/10000000),"")</f>
        <v/>
      </c>
    </row>
    <row r="2388" spans="17:17" ht="14.25" customHeight="1" x14ac:dyDescent="0.3">
      <c r="Q2388" s="13" t="str">
        <f>IF(OR(Dashboard!$C$4="All Customers",$E2388=Dashboard!$C$4),IF($E2388="","",$P2388+ROW()/10000000),"")</f>
        <v/>
      </c>
    </row>
    <row r="2389" spans="17:17" ht="14.25" customHeight="1" x14ac:dyDescent="0.3">
      <c r="Q2389" s="13" t="str">
        <f>IF(OR(Dashboard!$C$4="All Customers",$E2389=Dashboard!$C$4),IF($E2389="","",$P2389+ROW()/10000000),"")</f>
        <v/>
      </c>
    </row>
    <row r="2390" spans="17:17" ht="14.25" customHeight="1" x14ac:dyDescent="0.3">
      <c r="Q2390" s="13" t="str">
        <f>IF(OR(Dashboard!$C$4="All Customers",$E2390=Dashboard!$C$4),IF($E2390="","",$P2390+ROW()/10000000),"")</f>
        <v/>
      </c>
    </row>
    <row r="2391" spans="17:17" ht="14.25" customHeight="1" x14ac:dyDescent="0.3">
      <c r="Q2391" s="13" t="str">
        <f>IF(OR(Dashboard!$C$4="All Customers",$E2391=Dashboard!$C$4),IF($E2391="","",$P2391+ROW()/10000000),"")</f>
        <v/>
      </c>
    </row>
    <row r="2392" spans="17:17" ht="14.25" customHeight="1" x14ac:dyDescent="0.3">
      <c r="Q2392" s="13" t="str">
        <f>IF(OR(Dashboard!$C$4="All Customers",$E2392=Dashboard!$C$4),IF($E2392="","",$P2392+ROW()/10000000),"")</f>
        <v/>
      </c>
    </row>
    <row r="2393" spans="17:17" ht="14.25" customHeight="1" x14ac:dyDescent="0.3">
      <c r="Q2393" s="13" t="str">
        <f>IF(OR(Dashboard!$C$4="All Customers",$E2393=Dashboard!$C$4),IF($E2393="","",$P2393+ROW()/10000000),"")</f>
        <v/>
      </c>
    </row>
    <row r="2394" spans="17:17" ht="14.25" customHeight="1" x14ac:dyDescent="0.3">
      <c r="Q2394" s="13" t="str">
        <f>IF(OR(Dashboard!$C$4="All Customers",$E2394=Dashboard!$C$4),IF($E2394="","",$P2394+ROW()/10000000),"")</f>
        <v/>
      </c>
    </row>
    <row r="2395" spans="17:17" ht="14.25" customHeight="1" x14ac:dyDescent="0.3">
      <c r="Q2395" s="13" t="str">
        <f>IF(OR(Dashboard!$C$4="All Customers",$E2395=Dashboard!$C$4),IF($E2395="","",$P2395+ROW()/10000000),"")</f>
        <v/>
      </c>
    </row>
    <row r="2396" spans="17:17" ht="14.25" customHeight="1" x14ac:dyDescent="0.3">
      <c r="Q2396" s="13" t="str">
        <f>IF(OR(Dashboard!$C$4="All Customers",$E2396=Dashboard!$C$4),IF($E2396="","",$P2396+ROW()/10000000),"")</f>
        <v/>
      </c>
    </row>
    <row r="2397" spans="17:17" ht="14.25" customHeight="1" x14ac:dyDescent="0.3">
      <c r="Q2397" s="13" t="str">
        <f>IF(OR(Dashboard!$C$4="All Customers",$E2397=Dashboard!$C$4),IF($E2397="","",$P2397+ROW()/10000000),"")</f>
        <v/>
      </c>
    </row>
    <row r="2398" spans="17:17" ht="14.25" customHeight="1" x14ac:dyDescent="0.3">
      <c r="Q2398" s="13" t="str">
        <f>IF(OR(Dashboard!$C$4="All Customers",$E2398=Dashboard!$C$4),IF($E2398="","",$P2398+ROW()/10000000),"")</f>
        <v/>
      </c>
    </row>
    <row r="2399" spans="17:17" ht="14.25" customHeight="1" x14ac:dyDescent="0.3">
      <c r="Q2399" s="13" t="str">
        <f>IF(OR(Dashboard!$C$4="All Customers",$E2399=Dashboard!$C$4),IF($E2399="","",$P2399+ROW()/10000000),"")</f>
        <v/>
      </c>
    </row>
    <row r="2400" spans="17:17" ht="14.25" customHeight="1" x14ac:dyDescent="0.3">
      <c r="Q2400" s="13" t="str">
        <f>IF(OR(Dashboard!$C$4="All Customers",$E2400=Dashboard!$C$4),IF($E2400="","",$P2400+ROW()/10000000),"")</f>
        <v/>
      </c>
    </row>
    <row r="2401" spans="17:17" ht="14.25" customHeight="1" x14ac:dyDescent="0.3">
      <c r="Q2401" s="13" t="str">
        <f>IF(OR(Dashboard!$C$4="All Customers",$E2401=Dashboard!$C$4),IF($E2401="","",$P2401+ROW()/10000000),"")</f>
        <v/>
      </c>
    </row>
    <row r="2402" spans="17:17" ht="14.25" customHeight="1" x14ac:dyDescent="0.3">
      <c r="Q2402" s="13" t="str">
        <f>IF(OR(Dashboard!$C$4="All Customers",$E2402=Dashboard!$C$4),IF($E2402="","",$P2402+ROW()/10000000),"")</f>
        <v/>
      </c>
    </row>
    <row r="2403" spans="17:17" ht="14.25" customHeight="1" x14ac:dyDescent="0.3">
      <c r="Q2403" s="13" t="str">
        <f>IF(OR(Dashboard!$C$4="All Customers",$E2403=Dashboard!$C$4),IF($E2403="","",$P2403+ROW()/10000000),"")</f>
        <v/>
      </c>
    </row>
    <row r="2404" spans="17:17" ht="14.25" customHeight="1" x14ac:dyDescent="0.3">
      <c r="Q2404" s="13" t="str">
        <f>IF(OR(Dashboard!$C$4="All Customers",$E2404=Dashboard!$C$4),IF($E2404="","",$P2404+ROW()/10000000),"")</f>
        <v/>
      </c>
    </row>
    <row r="2405" spans="17:17" ht="14.25" customHeight="1" x14ac:dyDescent="0.3">
      <c r="Q2405" s="13" t="str">
        <f>IF(OR(Dashboard!$C$4="All Customers",$E2405=Dashboard!$C$4),IF($E2405="","",$P2405+ROW()/10000000),"")</f>
        <v/>
      </c>
    </row>
    <row r="2406" spans="17:17" ht="14.25" customHeight="1" x14ac:dyDescent="0.3">
      <c r="Q2406" s="13" t="str">
        <f>IF(OR(Dashboard!$C$4="All Customers",$E2406=Dashboard!$C$4),IF($E2406="","",$P2406+ROW()/10000000),"")</f>
        <v/>
      </c>
    </row>
    <row r="2407" spans="17:17" ht="14.25" customHeight="1" x14ac:dyDescent="0.3">
      <c r="Q2407" s="13" t="str">
        <f>IF(OR(Dashboard!$C$4="All Customers",$E2407=Dashboard!$C$4),IF($E2407="","",$P2407+ROW()/10000000),"")</f>
        <v/>
      </c>
    </row>
    <row r="2408" spans="17:17" ht="14.25" customHeight="1" x14ac:dyDescent="0.3">
      <c r="Q2408" s="13" t="str">
        <f>IF(OR(Dashboard!$C$4="All Customers",$E2408=Dashboard!$C$4),IF($E2408="","",$P2408+ROW()/10000000),"")</f>
        <v/>
      </c>
    </row>
    <row r="2409" spans="17:17" ht="14.25" customHeight="1" x14ac:dyDescent="0.3">
      <c r="Q2409" s="13" t="str">
        <f>IF(OR(Dashboard!$C$4="All Customers",$E2409=Dashboard!$C$4),IF($E2409="","",$P2409+ROW()/10000000),"")</f>
        <v/>
      </c>
    </row>
    <row r="2410" spans="17:17" ht="14.25" customHeight="1" x14ac:dyDescent="0.3">
      <c r="Q2410" s="13" t="str">
        <f>IF(OR(Dashboard!$C$4="All Customers",$E2410=Dashboard!$C$4),IF($E2410="","",$P2410+ROW()/10000000),"")</f>
        <v/>
      </c>
    </row>
    <row r="2411" spans="17:17" ht="14.25" customHeight="1" x14ac:dyDescent="0.3">
      <c r="Q2411" s="13" t="str">
        <f>IF(OR(Dashboard!$C$4="All Customers",$E2411=Dashboard!$C$4),IF($E2411="","",$P2411+ROW()/10000000),"")</f>
        <v/>
      </c>
    </row>
    <row r="2412" spans="17:17" ht="14.25" customHeight="1" x14ac:dyDescent="0.3">
      <c r="Q2412" s="13" t="str">
        <f>IF(OR(Dashboard!$C$4="All Customers",$E2412=Dashboard!$C$4),IF($E2412="","",$P2412+ROW()/10000000),"")</f>
        <v/>
      </c>
    </row>
    <row r="2413" spans="17:17" ht="14.25" customHeight="1" x14ac:dyDescent="0.3">
      <c r="Q2413" s="13" t="str">
        <f>IF(OR(Dashboard!$C$4="All Customers",$E2413=Dashboard!$C$4),IF($E2413="","",$P2413+ROW()/10000000),"")</f>
        <v/>
      </c>
    </row>
    <row r="2414" spans="17:17" ht="14.25" customHeight="1" x14ac:dyDescent="0.3">
      <c r="Q2414" s="13" t="str">
        <f>IF(OR(Dashboard!$C$4="All Customers",$E2414=Dashboard!$C$4),IF($E2414="","",$P2414+ROW()/10000000),"")</f>
        <v/>
      </c>
    </row>
    <row r="2415" spans="17:17" ht="14.25" customHeight="1" x14ac:dyDescent="0.3">
      <c r="Q2415" s="13" t="str">
        <f>IF(OR(Dashboard!$C$4="All Customers",$E2415=Dashboard!$C$4),IF($E2415="","",$P2415+ROW()/10000000),"")</f>
        <v/>
      </c>
    </row>
    <row r="2416" spans="17:17" ht="14.25" customHeight="1" x14ac:dyDescent="0.3">
      <c r="Q2416" s="13" t="str">
        <f>IF(OR(Dashboard!$C$4="All Customers",$E2416=Dashboard!$C$4),IF($E2416="","",$P2416+ROW()/10000000),"")</f>
        <v/>
      </c>
    </row>
    <row r="2417" spans="17:17" ht="14.25" customHeight="1" x14ac:dyDescent="0.3">
      <c r="Q2417" s="13" t="str">
        <f>IF(OR(Dashboard!$C$4="All Customers",$E2417=Dashboard!$C$4),IF($E2417="","",$P2417+ROW()/10000000),"")</f>
        <v/>
      </c>
    </row>
    <row r="2418" spans="17:17" ht="14.25" customHeight="1" x14ac:dyDescent="0.3">
      <c r="Q2418" s="13" t="str">
        <f>IF(OR(Dashboard!$C$4="All Customers",$E2418=Dashboard!$C$4),IF($E2418="","",$P2418+ROW()/10000000),"")</f>
        <v/>
      </c>
    </row>
    <row r="2419" spans="17:17" ht="14.25" customHeight="1" x14ac:dyDescent="0.3">
      <c r="Q2419" s="13" t="str">
        <f>IF(OR(Dashboard!$C$4="All Customers",$E2419=Dashboard!$C$4),IF($E2419="","",$P2419+ROW()/10000000),"")</f>
        <v/>
      </c>
    </row>
    <row r="2420" spans="17:17" ht="14.25" customHeight="1" x14ac:dyDescent="0.3">
      <c r="Q2420" s="13" t="str">
        <f>IF(OR(Dashboard!$C$4="All Customers",$E2420=Dashboard!$C$4),IF($E2420="","",$P2420+ROW()/10000000),"")</f>
        <v/>
      </c>
    </row>
    <row r="2421" spans="17:17" ht="14.25" customHeight="1" x14ac:dyDescent="0.3">
      <c r="Q2421" s="13" t="str">
        <f>IF(OR(Dashboard!$C$4="All Customers",$E2421=Dashboard!$C$4),IF($E2421="","",$P2421+ROW()/10000000),"")</f>
        <v/>
      </c>
    </row>
    <row r="2422" spans="17:17" ht="14.25" customHeight="1" x14ac:dyDescent="0.3">
      <c r="Q2422" s="13" t="str">
        <f>IF(OR(Dashboard!$C$4="All Customers",$E2422=Dashboard!$C$4),IF($E2422="","",$P2422+ROW()/10000000),"")</f>
        <v/>
      </c>
    </row>
    <row r="2423" spans="17:17" ht="14.25" customHeight="1" x14ac:dyDescent="0.3">
      <c r="Q2423" s="13" t="str">
        <f>IF(OR(Dashboard!$C$4="All Customers",$E2423=Dashboard!$C$4),IF($E2423="","",$P2423+ROW()/10000000),"")</f>
        <v/>
      </c>
    </row>
    <row r="2424" spans="17:17" ht="14.25" customHeight="1" x14ac:dyDescent="0.3">
      <c r="Q2424" s="13" t="str">
        <f>IF(OR(Dashboard!$C$4="All Customers",$E2424=Dashboard!$C$4),IF($E2424="","",$P2424+ROW()/10000000),"")</f>
        <v/>
      </c>
    </row>
    <row r="2425" spans="17:17" ht="14.25" customHeight="1" x14ac:dyDescent="0.3">
      <c r="Q2425" s="13" t="str">
        <f>IF(OR(Dashboard!$C$4="All Customers",$E2425=Dashboard!$C$4),IF($E2425="","",$P2425+ROW()/10000000),"")</f>
        <v/>
      </c>
    </row>
    <row r="2426" spans="17:17" ht="14.25" customHeight="1" x14ac:dyDescent="0.3">
      <c r="Q2426" s="13" t="str">
        <f>IF(OR(Dashboard!$C$4="All Customers",$E2426=Dashboard!$C$4),IF($E2426="","",$P2426+ROW()/10000000),"")</f>
        <v/>
      </c>
    </row>
    <row r="2427" spans="17:17" ht="14.25" customHeight="1" x14ac:dyDescent="0.3">
      <c r="Q2427" s="13" t="str">
        <f>IF(OR(Dashboard!$C$4="All Customers",$E2427=Dashboard!$C$4),IF($E2427="","",$P2427+ROW()/10000000),"")</f>
        <v/>
      </c>
    </row>
    <row r="2428" spans="17:17" ht="14.25" customHeight="1" x14ac:dyDescent="0.3">
      <c r="Q2428" s="13" t="str">
        <f>IF(OR(Dashboard!$C$4="All Customers",$E2428=Dashboard!$C$4),IF($E2428="","",$P2428+ROW()/10000000),"")</f>
        <v/>
      </c>
    </row>
    <row r="2429" spans="17:17" ht="14.25" customHeight="1" x14ac:dyDescent="0.3">
      <c r="Q2429" s="13" t="str">
        <f>IF(OR(Dashboard!$C$4="All Customers",$E2429=Dashboard!$C$4),IF($E2429="","",$P2429+ROW()/10000000),"")</f>
        <v/>
      </c>
    </row>
    <row r="2430" spans="17:17" ht="14.25" customHeight="1" x14ac:dyDescent="0.3">
      <c r="Q2430" s="13" t="str">
        <f>IF(OR(Dashboard!$C$4="All Customers",$E2430=Dashboard!$C$4),IF($E2430="","",$P2430+ROW()/10000000),"")</f>
        <v/>
      </c>
    </row>
    <row r="2431" spans="17:17" ht="14.25" customHeight="1" x14ac:dyDescent="0.3">
      <c r="Q2431" s="13" t="str">
        <f>IF(OR(Dashboard!$C$4="All Customers",$E2431=Dashboard!$C$4),IF($E2431="","",$P2431+ROW()/10000000),"")</f>
        <v/>
      </c>
    </row>
    <row r="2432" spans="17:17" ht="14.25" customHeight="1" x14ac:dyDescent="0.3">
      <c r="Q2432" s="13" t="str">
        <f>IF(OR(Dashboard!$C$4="All Customers",$E2432=Dashboard!$C$4),IF($E2432="","",$P2432+ROW()/10000000),"")</f>
        <v/>
      </c>
    </row>
    <row r="2433" spans="17:17" ht="14.25" customHeight="1" x14ac:dyDescent="0.3">
      <c r="Q2433" s="13" t="str">
        <f>IF(OR(Dashboard!$C$4="All Customers",$E2433=Dashboard!$C$4),IF($E2433="","",$P2433+ROW()/10000000),"")</f>
        <v/>
      </c>
    </row>
    <row r="2434" spans="17:17" ht="14.25" customHeight="1" x14ac:dyDescent="0.3">
      <c r="Q2434" s="13" t="str">
        <f>IF(OR(Dashboard!$C$4="All Customers",$E2434=Dashboard!$C$4),IF($E2434="","",$P2434+ROW()/10000000),"")</f>
        <v/>
      </c>
    </row>
    <row r="2435" spans="17:17" ht="14.25" customHeight="1" x14ac:dyDescent="0.3">
      <c r="Q2435" s="13" t="str">
        <f>IF(OR(Dashboard!$C$4="All Customers",$E2435=Dashboard!$C$4),IF($E2435="","",$P2435+ROW()/10000000),"")</f>
        <v/>
      </c>
    </row>
    <row r="2436" spans="17:17" ht="14.25" customHeight="1" x14ac:dyDescent="0.3">
      <c r="Q2436" s="13" t="str">
        <f>IF(OR(Dashboard!$C$4="All Customers",$E2436=Dashboard!$C$4),IF($E2436="","",$P2436+ROW()/10000000),"")</f>
        <v/>
      </c>
    </row>
    <row r="2437" spans="17:17" ht="14.25" customHeight="1" x14ac:dyDescent="0.3">
      <c r="Q2437" s="13" t="str">
        <f>IF(OR(Dashboard!$C$4="All Customers",$E2437=Dashboard!$C$4),IF($E2437="","",$P2437+ROW()/10000000),"")</f>
        <v/>
      </c>
    </row>
    <row r="2438" spans="17:17" ht="14.25" customHeight="1" x14ac:dyDescent="0.3">
      <c r="Q2438" s="13" t="str">
        <f>IF(OR(Dashboard!$C$4="All Customers",$E2438=Dashboard!$C$4),IF($E2438="","",$P2438+ROW()/10000000),"")</f>
        <v/>
      </c>
    </row>
    <row r="2439" spans="17:17" ht="14.25" customHeight="1" x14ac:dyDescent="0.3">
      <c r="Q2439" s="13" t="str">
        <f>IF(OR(Dashboard!$C$4="All Customers",$E2439=Dashboard!$C$4),IF($E2439="","",$P2439+ROW()/10000000),"")</f>
        <v/>
      </c>
    </row>
    <row r="2440" spans="17:17" ht="14.25" customHeight="1" x14ac:dyDescent="0.3">
      <c r="Q2440" s="13" t="str">
        <f>IF(OR(Dashboard!$C$4="All Customers",$E2440=Dashboard!$C$4),IF($E2440="","",$P2440+ROW()/10000000),"")</f>
        <v/>
      </c>
    </row>
    <row r="2441" spans="17:17" ht="14.25" customHeight="1" x14ac:dyDescent="0.3">
      <c r="Q2441" s="13" t="str">
        <f>IF(OR(Dashboard!$C$4="All Customers",$E2441=Dashboard!$C$4),IF($E2441="","",$P2441+ROW()/10000000),"")</f>
        <v/>
      </c>
    </row>
    <row r="2442" spans="17:17" ht="14.25" customHeight="1" x14ac:dyDescent="0.3">
      <c r="Q2442" s="13" t="str">
        <f>IF(OR(Dashboard!$C$4="All Customers",$E2442=Dashboard!$C$4),IF($E2442="","",$P2442+ROW()/10000000),"")</f>
        <v/>
      </c>
    </row>
    <row r="2443" spans="17:17" ht="14.25" customHeight="1" x14ac:dyDescent="0.3">
      <c r="Q2443" s="13" t="str">
        <f>IF(OR(Dashboard!$C$4="All Customers",$E2443=Dashboard!$C$4),IF($E2443="","",$P2443+ROW()/10000000),"")</f>
        <v/>
      </c>
    </row>
    <row r="2444" spans="17:17" ht="14.25" customHeight="1" x14ac:dyDescent="0.3">
      <c r="Q2444" s="13" t="str">
        <f>IF(OR(Dashboard!$C$4="All Customers",$E2444=Dashboard!$C$4),IF($E2444="","",$P2444+ROW()/10000000),"")</f>
        <v/>
      </c>
    </row>
    <row r="2445" spans="17:17" ht="14.25" customHeight="1" x14ac:dyDescent="0.3">
      <c r="Q2445" s="13" t="str">
        <f>IF(OR(Dashboard!$C$4="All Customers",$E2445=Dashboard!$C$4),IF($E2445="","",$P2445+ROW()/10000000),"")</f>
        <v/>
      </c>
    </row>
    <row r="2446" spans="17:17" ht="14.25" customHeight="1" x14ac:dyDescent="0.3">
      <c r="Q2446" s="13" t="str">
        <f>IF(OR(Dashboard!$C$4="All Customers",$E2446=Dashboard!$C$4),IF($E2446="","",$P2446+ROW()/10000000),"")</f>
        <v/>
      </c>
    </row>
    <row r="2447" spans="17:17" ht="14.25" customHeight="1" x14ac:dyDescent="0.3">
      <c r="Q2447" s="13" t="str">
        <f>IF(OR(Dashboard!$C$4="All Customers",$E2447=Dashboard!$C$4),IF($E2447="","",$P2447+ROW()/10000000),"")</f>
        <v/>
      </c>
    </row>
    <row r="2448" spans="17:17" ht="14.25" customHeight="1" x14ac:dyDescent="0.3">
      <c r="Q2448" s="13" t="str">
        <f>IF(OR(Dashboard!$C$4="All Customers",$E2448=Dashboard!$C$4),IF($E2448="","",$P2448+ROW()/10000000),"")</f>
        <v/>
      </c>
    </row>
    <row r="2449" spans="17:17" ht="14.25" customHeight="1" x14ac:dyDescent="0.3">
      <c r="Q2449" s="13" t="str">
        <f>IF(OR(Dashboard!$C$4="All Customers",$E2449=Dashboard!$C$4),IF($E2449="","",$P2449+ROW()/10000000),"")</f>
        <v/>
      </c>
    </row>
    <row r="2450" spans="17:17" ht="14.25" customHeight="1" x14ac:dyDescent="0.3">
      <c r="Q2450" s="13" t="str">
        <f>IF(OR(Dashboard!$C$4="All Customers",$E2450=Dashboard!$C$4),IF($E2450="","",$P2450+ROW()/10000000),"")</f>
        <v/>
      </c>
    </row>
    <row r="2451" spans="17:17" ht="14.25" customHeight="1" x14ac:dyDescent="0.3">
      <c r="Q2451" s="13" t="str">
        <f>IF(OR(Dashboard!$C$4="All Customers",$E2451=Dashboard!$C$4),IF($E2451="","",$P2451+ROW()/10000000),"")</f>
        <v/>
      </c>
    </row>
    <row r="2452" spans="17:17" ht="14.25" customHeight="1" x14ac:dyDescent="0.3">
      <c r="Q2452" s="13" t="str">
        <f>IF(OR(Dashboard!$C$4="All Customers",$E2452=Dashboard!$C$4),IF($E2452="","",$P2452+ROW()/10000000),"")</f>
        <v/>
      </c>
    </row>
    <row r="2453" spans="17:17" ht="14.25" customHeight="1" x14ac:dyDescent="0.3">
      <c r="Q2453" s="13" t="str">
        <f>IF(OR(Dashboard!$C$4="All Customers",$E2453=Dashboard!$C$4),IF($E2453="","",$P2453+ROW()/10000000),"")</f>
        <v/>
      </c>
    </row>
    <row r="2454" spans="17:17" ht="14.25" customHeight="1" x14ac:dyDescent="0.3">
      <c r="Q2454" s="13" t="str">
        <f>IF(OR(Dashboard!$C$4="All Customers",$E2454=Dashboard!$C$4),IF($E2454="","",$P2454+ROW()/10000000),"")</f>
        <v/>
      </c>
    </row>
    <row r="2455" spans="17:17" ht="14.25" customHeight="1" x14ac:dyDescent="0.3">
      <c r="Q2455" s="13" t="str">
        <f>IF(OR(Dashboard!$C$4="All Customers",$E2455=Dashboard!$C$4),IF($E2455="","",$P2455+ROW()/10000000),"")</f>
        <v/>
      </c>
    </row>
    <row r="2456" spans="17:17" ht="14.25" customHeight="1" x14ac:dyDescent="0.3">
      <c r="Q2456" s="13" t="str">
        <f>IF(OR(Dashboard!$C$4="All Customers",$E2456=Dashboard!$C$4),IF($E2456="","",$P2456+ROW()/10000000),"")</f>
        <v/>
      </c>
    </row>
    <row r="2457" spans="17:17" ht="14.25" customHeight="1" x14ac:dyDescent="0.3">
      <c r="Q2457" s="13" t="str">
        <f>IF(OR(Dashboard!$C$4="All Customers",$E2457=Dashboard!$C$4),IF($E2457="","",$P2457+ROW()/10000000),"")</f>
        <v/>
      </c>
    </row>
    <row r="2458" spans="17:17" ht="14.25" customHeight="1" x14ac:dyDescent="0.3">
      <c r="Q2458" s="13" t="str">
        <f>IF(OR(Dashboard!$C$4="All Customers",$E2458=Dashboard!$C$4),IF($E2458="","",$P2458+ROW()/10000000),"")</f>
        <v/>
      </c>
    </row>
    <row r="2459" spans="17:17" ht="14.25" customHeight="1" x14ac:dyDescent="0.3">
      <c r="Q2459" s="13" t="str">
        <f>IF(OR(Dashboard!$C$4="All Customers",$E2459=Dashboard!$C$4),IF($E2459="","",$P2459+ROW()/10000000),"")</f>
        <v/>
      </c>
    </row>
    <row r="2460" spans="17:17" ht="14.25" customHeight="1" x14ac:dyDescent="0.3">
      <c r="Q2460" s="13" t="str">
        <f>IF(OR(Dashboard!$C$4="All Customers",$E2460=Dashboard!$C$4),IF($E2460="","",$P2460+ROW()/10000000),"")</f>
        <v/>
      </c>
    </row>
    <row r="2461" spans="17:17" ht="14.25" customHeight="1" x14ac:dyDescent="0.3">
      <c r="Q2461" s="13" t="str">
        <f>IF(OR(Dashboard!$C$4="All Customers",$E2461=Dashboard!$C$4),IF($E2461="","",$P2461+ROW()/10000000),"")</f>
        <v/>
      </c>
    </row>
    <row r="2462" spans="17:17" ht="14.25" customHeight="1" x14ac:dyDescent="0.3">
      <c r="Q2462" s="13" t="str">
        <f>IF(OR(Dashboard!$C$4="All Customers",$E2462=Dashboard!$C$4),IF($E2462="","",$P2462+ROW()/10000000),"")</f>
        <v/>
      </c>
    </row>
    <row r="2463" spans="17:17" ht="14.25" customHeight="1" x14ac:dyDescent="0.3">
      <c r="Q2463" s="13" t="str">
        <f>IF(OR(Dashboard!$C$4="All Customers",$E2463=Dashboard!$C$4),IF($E2463="","",$P2463+ROW()/10000000),"")</f>
        <v/>
      </c>
    </row>
    <row r="2464" spans="17:17" ht="14.25" customHeight="1" x14ac:dyDescent="0.3">
      <c r="Q2464" s="13" t="str">
        <f>IF(OR(Dashboard!$C$4="All Customers",$E2464=Dashboard!$C$4),IF($E2464="","",$P2464+ROW()/10000000),"")</f>
        <v/>
      </c>
    </row>
    <row r="2465" spans="17:17" ht="14.25" customHeight="1" x14ac:dyDescent="0.3">
      <c r="Q2465" s="13" t="str">
        <f>IF(OR(Dashboard!$C$4="All Customers",$E2465=Dashboard!$C$4),IF($E2465="","",$P2465+ROW()/10000000),"")</f>
        <v/>
      </c>
    </row>
    <row r="2466" spans="17:17" ht="14.25" customHeight="1" x14ac:dyDescent="0.3">
      <c r="Q2466" s="13" t="str">
        <f>IF(OR(Dashboard!$C$4="All Customers",$E2466=Dashboard!$C$4),IF($E2466="","",$P2466+ROW()/10000000),"")</f>
        <v/>
      </c>
    </row>
    <row r="2467" spans="17:17" ht="14.25" customHeight="1" x14ac:dyDescent="0.3">
      <c r="Q2467" s="13" t="str">
        <f>IF(OR(Dashboard!$C$4="All Customers",$E2467=Dashboard!$C$4),IF($E2467="","",$P2467+ROW()/10000000),"")</f>
        <v/>
      </c>
    </row>
    <row r="2468" spans="17:17" ht="14.25" customHeight="1" x14ac:dyDescent="0.3">
      <c r="Q2468" s="13" t="str">
        <f>IF(OR(Dashboard!$C$4="All Customers",$E2468=Dashboard!$C$4),IF($E2468="","",$P2468+ROW()/10000000),"")</f>
        <v/>
      </c>
    </row>
    <row r="2469" spans="17:17" ht="14.25" customHeight="1" x14ac:dyDescent="0.3">
      <c r="Q2469" s="13" t="str">
        <f>IF(OR(Dashboard!$C$4="All Customers",$E2469=Dashboard!$C$4),IF($E2469="","",$P2469+ROW()/10000000),"")</f>
        <v/>
      </c>
    </row>
    <row r="2470" spans="17:17" ht="14.25" customHeight="1" x14ac:dyDescent="0.3">
      <c r="Q2470" s="13" t="str">
        <f>IF(OR(Dashboard!$C$4="All Customers",$E2470=Dashboard!$C$4),IF($E2470="","",$P2470+ROW()/10000000),"")</f>
        <v/>
      </c>
    </row>
    <row r="2471" spans="17:17" ht="14.25" customHeight="1" x14ac:dyDescent="0.3">
      <c r="Q2471" s="13" t="str">
        <f>IF(OR(Dashboard!$C$4="All Customers",$E2471=Dashboard!$C$4),IF($E2471="","",$P2471+ROW()/10000000),"")</f>
        <v/>
      </c>
    </row>
    <row r="2472" spans="17:17" ht="14.25" customHeight="1" x14ac:dyDescent="0.3">
      <c r="Q2472" s="13" t="str">
        <f>IF(OR(Dashboard!$C$4="All Customers",$E2472=Dashboard!$C$4),IF($E2472="","",$P2472+ROW()/10000000),"")</f>
        <v/>
      </c>
    </row>
    <row r="2473" spans="17:17" ht="14.25" customHeight="1" x14ac:dyDescent="0.3">
      <c r="Q2473" s="13" t="str">
        <f>IF(OR(Dashboard!$C$4="All Customers",$E2473=Dashboard!$C$4),IF($E2473="","",$P2473+ROW()/10000000),"")</f>
        <v/>
      </c>
    </row>
    <row r="2474" spans="17:17" ht="14.25" customHeight="1" x14ac:dyDescent="0.3">
      <c r="Q2474" s="13" t="str">
        <f>IF(OR(Dashboard!$C$4="All Customers",$E2474=Dashboard!$C$4),IF($E2474="","",$P2474+ROW()/10000000),"")</f>
        <v/>
      </c>
    </row>
    <row r="2475" spans="17:17" ht="14.25" customHeight="1" x14ac:dyDescent="0.3">
      <c r="Q2475" s="13" t="str">
        <f>IF(OR(Dashboard!$C$4="All Customers",$E2475=Dashboard!$C$4),IF($E2475="","",$P2475+ROW()/10000000),"")</f>
        <v/>
      </c>
    </row>
    <row r="2476" spans="17:17" ht="14.25" customHeight="1" x14ac:dyDescent="0.3">
      <c r="Q2476" s="13" t="str">
        <f>IF(OR(Dashboard!$C$4="All Customers",$E2476=Dashboard!$C$4),IF($E2476="","",$P2476+ROW()/10000000),"")</f>
        <v/>
      </c>
    </row>
    <row r="2477" spans="17:17" ht="14.25" customHeight="1" x14ac:dyDescent="0.3">
      <c r="Q2477" s="13" t="str">
        <f>IF(OR(Dashboard!$C$4="All Customers",$E2477=Dashboard!$C$4),IF($E2477="","",$P2477+ROW()/10000000),"")</f>
        <v/>
      </c>
    </row>
    <row r="2478" spans="17:17" ht="14.25" customHeight="1" x14ac:dyDescent="0.3">
      <c r="Q2478" s="13" t="str">
        <f>IF(OR(Dashboard!$C$4="All Customers",$E2478=Dashboard!$C$4),IF($E2478="","",$P2478+ROW()/10000000),"")</f>
        <v/>
      </c>
    </row>
    <row r="2479" spans="17:17" ht="14.25" customHeight="1" x14ac:dyDescent="0.3">
      <c r="Q2479" s="13" t="str">
        <f>IF(OR(Dashboard!$C$4="All Customers",$E2479=Dashboard!$C$4),IF($E2479="","",$P2479+ROW()/10000000),"")</f>
        <v/>
      </c>
    </row>
    <row r="2480" spans="17:17" ht="14.25" customHeight="1" x14ac:dyDescent="0.3">
      <c r="Q2480" s="13" t="str">
        <f>IF(OR(Dashboard!$C$4="All Customers",$E2480=Dashboard!$C$4),IF($E2480="","",$P2480+ROW()/10000000),"")</f>
        <v/>
      </c>
    </row>
    <row r="2481" spans="17:17" ht="14.25" customHeight="1" x14ac:dyDescent="0.3">
      <c r="Q2481" s="13" t="str">
        <f>IF(OR(Dashboard!$C$4="All Customers",$E2481=Dashboard!$C$4),IF($E2481="","",$P2481+ROW()/10000000),"")</f>
        <v/>
      </c>
    </row>
    <row r="2482" spans="17:17" ht="14.25" customHeight="1" x14ac:dyDescent="0.3">
      <c r="Q2482" s="13" t="str">
        <f>IF(OR(Dashboard!$C$4="All Customers",$E2482=Dashboard!$C$4),IF($E2482="","",$P2482+ROW()/10000000),"")</f>
        <v/>
      </c>
    </row>
    <row r="2483" spans="17:17" ht="14.25" customHeight="1" x14ac:dyDescent="0.3">
      <c r="Q2483" s="13" t="str">
        <f>IF(OR(Dashboard!$C$4="All Customers",$E2483=Dashboard!$C$4),IF($E2483="","",$P2483+ROW()/10000000),"")</f>
        <v/>
      </c>
    </row>
    <row r="2484" spans="17:17" ht="14.25" customHeight="1" x14ac:dyDescent="0.3">
      <c r="Q2484" s="13" t="str">
        <f>IF(OR(Dashboard!$C$4="All Customers",$E2484=Dashboard!$C$4),IF($E2484="","",$P2484+ROW()/10000000),"")</f>
        <v/>
      </c>
    </row>
    <row r="2485" spans="17:17" ht="14.25" customHeight="1" x14ac:dyDescent="0.3">
      <c r="Q2485" s="13" t="str">
        <f>IF(OR(Dashboard!$C$4="All Customers",$E2485=Dashboard!$C$4),IF($E2485="","",$P2485+ROW()/10000000),"")</f>
        <v/>
      </c>
    </row>
    <row r="2486" spans="17:17" ht="14.25" customHeight="1" x14ac:dyDescent="0.3">
      <c r="Q2486" s="13" t="str">
        <f>IF(OR(Dashboard!$C$4="All Customers",$E2486=Dashboard!$C$4),IF($E2486="","",$P2486+ROW()/10000000),"")</f>
        <v/>
      </c>
    </row>
    <row r="2487" spans="17:17" ht="14.25" customHeight="1" x14ac:dyDescent="0.3">
      <c r="Q2487" s="13" t="str">
        <f>IF(OR(Dashboard!$C$4="All Customers",$E2487=Dashboard!$C$4),IF($E2487="","",$P2487+ROW()/10000000),"")</f>
        <v/>
      </c>
    </row>
    <row r="2488" spans="17:17" ht="14.25" customHeight="1" x14ac:dyDescent="0.3">
      <c r="Q2488" s="13" t="str">
        <f>IF(OR(Dashboard!$C$4="All Customers",$E2488=Dashboard!$C$4),IF($E2488="","",$P2488+ROW()/10000000),"")</f>
        <v/>
      </c>
    </row>
    <row r="2489" spans="17:17" ht="14.25" customHeight="1" x14ac:dyDescent="0.3">
      <c r="Q2489" s="13" t="str">
        <f>IF(OR(Dashboard!$C$4="All Customers",$E2489=Dashboard!$C$4),IF($E2489="","",$P2489+ROW()/10000000),"")</f>
        <v/>
      </c>
    </row>
    <row r="2490" spans="17:17" ht="14.25" customHeight="1" x14ac:dyDescent="0.3">
      <c r="Q2490" s="13" t="str">
        <f>IF(OR(Dashboard!$C$4="All Customers",$E2490=Dashboard!$C$4),IF($E2490="","",$P2490+ROW()/10000000),"")</f>
        <v/>
      </c>
    </row>
    <row r="2491" spans="17:17" ht="14.25" customHeight="1" x14ac:dyDescent="0.3">
      <c r="Q2491" s="13" t="str">
        <f>IF(OR(Dashboard!$C$4="All Customers",$E2491=Dashboard!$C$4),IF($E2491="","",$P2491+ROW()/10000000),"")</f>
        <v/>
      </c>
    </row>
    <row r="2492" spans="17:17" ht="14.25" customHeight="1" x14ac:dyDescent="0.3">
      <c r="Q2492" s="13" t="str">
        <f>IF(OR(Dashboard!$C$4="All Customers",$E2492=Dashboard!$C$4),IF($E2492="","",$P2492+ROW()/10000000),"")</f>
        <v/>
      </c>
    </row>
    <row r="2493" spans="17:17" ht="14.25" customHeight="1" x14ac:dyDescent="0.3">
      <c r="Q2493" s="13" t="str">
        <f>IF(OR(Dashboard!$C$4="All Customers",$E2493=Dashboard!$C$4),IF($E2493="","",$P2493+ROW()/10000000),"")</f>
        <v/>
      </c>
    </row>
    <row r="2494" spans="17:17" ht="14.25" customHeight="1" x14ac:dyDescent="0.3">
      <c r="Q2494" s="13" t="str">
        <f>IF(OR(Dashboard!$C$4="All Customers",$E2494=Dashboard!$C$4),IF($E2494="","",$P2494+ROW()/10000000),"")</f>
        <v/>
      </c>
    </row>
    <row r="2495" spans="17:17" ht="14.25" customHeight="1" x14ac:dyDescent="0.3">
      <c r="Q2495" s="13" t="str">
        <f>IF(OR(Dashboard!$C$4="All Customers",$E2495=Dashboard!$C$4),IF($E2495="","",$P2495+ROW()/10000000),"")</f>
        <v/>
      </c>
    </row>
    <row r="2496" spans="17:17" ht="14.25" customHeight="1" x14ac:dyDescent="0.3">
      <c r="Q2496" s="13" t="str">
        <f>IF(OR(Dashboard!$C$4="All Customers",$E2496=Dashboard!$C$4),IF($E2496="","",$P2496+ROW()/10000000),"")</f>
        <v/>
      </c>
    </row>
    <row r="2497" spans="17:17" ht="14.25" customHeight="1" x14ac:dyDescent="0.3">
      <c r="Q2497" s="13" t="str">
        <f>IF(OR(Dashboard!$C$4="All Customers",$E2497=Dashboard!$C$4),IF($E2497="","",$P2497+ROW()/10000000),"")</f>
        <v/>
      </c>
    </row>
    <row r="2498" spans="17:17" ht="14.25" customHeight="1" x14ac:dyDescent="0.3">
      <c r="Q2498" s="13" t="str">
        <f>IF(OR(Dashboard!$C$4="All Customers",$E2498=Dashboard!$C$4),IF($E2498="","",$P2498+ROW()/10000000),"")</f>
        <v/>
      </c>
    </row>
    <row r="2499" spans="17:17" ht="14.25" customHeight="1" x14ac:dyDescent="0.3">
      <c r="Q2499" s="13" t="str">
        <f>IF(OR(Dashboard!$C$4="All Customers",$E2499=Dashboard!$C$4),IF($E2499="","",$P2499+ROW()/10000000),"")</f>
        <v/>
      </c>
    </row>
    <row r="2500" spans="17:17" ht="14.25" customHeight="1" x14ac:dyDescent="0.3">
      <c r="Q2500" s="13" t="str">
        <f>IF(OR(Dashboard!$C$4="All Customers",$E2500=Dashboard!$C$4),IF($E2500="","",$P2500+ROW()/10000000),"")</f>
        <v/>
      </c>
    </row>
    <row r="2501" spans="17:17" ht="14.25" customHeight="1" x14ac:dyDescent="0.3">
      <c r="Q2501" s="13" t="str">
        <f>IF(OR(Dashboard!$C$4="All Customers",$E2501=Dashboard!$C$4),IF($E2501="","",$P2501+ROW()/10000000),"")</f>
        <v/>
      </c>
    </row>
    <row r="2502" spans="17:17" ht="14.25" customHeight="1" x14ac:dyDescent="0.3">
      <c r="Q2502" s="13" t="str">
        <f>IF(OR(Dashboard!$C$4="All Customers",$E2502=Dashboard!$C$4),IF($E2502="","",$P2502+ROW()/10000000),"")</f>
        <v/>
      </c>
    </row>
    <row r="2503" spans="17:17" ht="14.25" customHeight="1" x14ac:dyDescent="0.3">
      <c r="Q2503" s="13" t="str">
        <f>IF(OR(Dashboard!$C$4="All Customers",$E2503=Dashboard!$C$4),IF($E2503="","",$P2503+ROW()/10000000),"")</f>
        <v/>
      </c>
    </row>
    <row r="2504" spans="17:17" ht="14.25" customHeight="1" x14ac:dyDescent="0.3">
      <c r="Q2504" s="13" t="str">
        <f>IF(OR(Dashboard!$C$4="All Customers",$E2504=Dashboard!$C$4),IF($E2504="","",$P2504+ROW()/10000000),"")</f>
        <v/>
      </c>
    </row>
    <row r="2505" spans="17:17" ht="14.25" customHeight="1" x14ac:dyDescent="0.3">
      <c r="Q2505" s="13" t="str">
        <f>IF(OR(Dashboard!$C$4="All Customers",$E2505=Dashboard!$C$4),IF($E2505="","",$P2505+ROW()/10000000),"")</f>
        <v/>
      </c>
    </row>
    <row r="2506" spans="17:17" ht="14.25" customHeight="1" x14ac:dyDescent="0.3">
      <c r="Q2506" s="13" t="str">
        <f>IF(OR(Dashboard!$C$4="All Customers",$E2506=Dashboard!$C$4),IF($E2506="","",$P2506+ROW()/10000000),"")</f>
        <v/>
      </c>
    </row>
    <row r="2507" spans="17:17" ht="14.25" customHeight="1" x14ac:dyDescent="0.3">
      <c r="Q2507" s="13" t="str">
        <f>IF(OR(Dashboard!$C$4="All Customers",$E2507=Dashboard!$C$4),IF($E2507="","",$P2507+ROW()/10000000),"")</f>
        <v/>
      </c>
    </row>
    <row r="2508" spans="17:17" ht="14.25" customHeight="1" x14ac:dyDescent="0.3">
      <c r="Q2508" s="13" t="str">
        <f>IF(OR(Dashboard!$C$4="All Customers",$E2508=Dashboard!$C$4),IF($E2508="","",$P2508+ROW()/10000000),"")</f>
        <v/>
      </c>
    </row>
    <row r="2509" spans="17:17" ht="14.25" customHeight="1" x14ac:dyDescent="0.3">
      <c r="Q2509" s="13" t="str">
        <f>IF(OR(Dashboard!$C$4="All Customers",$E2509=Dashboard!$C$4),IF($E2509="","",$P2509+ROW()/10000000),"")</f>
        <v/>
      </c>
    </row>
    <row r="2510" spans="17:17" ht="14.25" customHeight="1" x14ac:dyDescent="0.3">
      <c r="Q2510" s="13" t="str">
        <f>IF(OR(Dashboard!$C$4="All Customers",$E2510=Dashboard!$C$4),IF($E2510="","",$P2510+ROW()/10000000),"")</f>
        <v/>
      </c>
    </row>
    <row r="2511" spans="17:17" ht="14.25" customHeight="1" x14ac:dyDescent="0.3">
      <c r="Q2511" s="13" t="str">
        <f>IF(OR(Dashboard!$C$4="All Customers",$E2511=Dashboard!$C$4),IF($E2511="","",$P2511+ROW()/10000000),"")</f>
        <v/>
      </c>
    </row>
    <row r="2512" spans="17:17" ht="14.25" customHeight="1" x14ac:dyDescent="0.3">
      <c r="Q2512" s="13" t="str">
        <f>IF(OR(Dashboard!$C$4="All Customers",$E2512=Dashboard!$C$4),IF($E2512="","",$P2512+ROW()/10000000),"")</f>
        <v/>
      </c>
    </row>
    <row r="2513" spans="17:17" ht="14.25" customHeight="1" x14ac:dyDescent="0.3">
      <c r="Q2513" s="13" t="str">
        <f>IF(OR(Dashboard!$C$4="All Customers",$E2513=Dashboard!$C$4),IF($E2513="","",$P2513+ROW()/10000000),"")</f>
        <v/>
      </c>
    </row>
    <row r="2514" spans="17:17" ht="14.25" customHeight="1" x14ac:dyDescent="0.3">
      <c r="Q2514" s="13" t="str">
        <f>IF(OR(Dashboard!$C$4="All Customers",$E2514=Dashboard!$C$4),IF($E2514="","",$P2514+ROW()/10000000),"")</f>
        <v/>
      </c>
    </row>
    <row r="2515" spans="17:17" ht="14.25" customHeight="1" x14ac:dyDescent="0.3">
      <c r="Q2515" s="13" t="str">
        <f>IF(OR(Dashboard!$C$4="All Customers",$E2515=Dashboard!$C$4),IF($E2515="","",$P2515+ROW()/10000000),"")</f>
        <v/>
      </c>
    </row>
    <row r="2516" spans="17:17" ht="14.25" customHeight="1" x14ac:dyDescent="0.3">
      <c r="Q2516" s="13" t="str">
        <f>IF(OR(Dashboard!$C$4="All Customers",$E2516=Dashboard!$C$4),IF($E2516="","",$P2516+ROW()/10000000),"")</f>
        <v/>
      </c>
    </row>
    <row r="2517" spans="17:17" ht="14.25" customHeight="1" x14ac:dyDescent="0.3">
      <c r="Q2517" s="13" t="str">
        <f>IF(OR(Dashboard!$C$4="All Customers",$E2517=Dashboard!$C$4),IF($E2517="","",$P2517+ROW()/10000000),"")</f>
        <v/>
      </c>
    </row>
    <row r="2518" spans="17:17" ht="14.25" customHeight="1" x14ac:dyDescent="0.3">
      <c r="Q2518" s="13" t="str">
        <f>IF(OR(Dashboard!$C$4="All Customers",$E2518=Dashboard!$C$4),IF($E2518="","",$P2518+ROW()/10000000),"")</f>
        <v/>
      </c>
    </row>
    <row r="2519" spans="17:17" ht="14.25" customHeight="1" x14ac:dyDescent="0.3">
      <c r="Q2519" s="13" t="str">
        <f>IF(OR(Dashboard!$C$4="All Customers",$E2519=Dashboard!$C$4),IF($E2519="","",$P2519+ROW()/10000000),"")</f>
        <v/>
      </c>
    </row>
    <row r="2520" spans="17:17" ht="14.25" customHeight="1" x14ac:dyDescent="0.3">
      <c r="Q2520" s="13" t="str">
        <f>IF(OR(Dashboard!$C$4="All Customers",$E2520=Dashboard!$C$4),IF($E2520="","",$P2520+ROW()/10000000),"")</f>
        <v/>
      </c>
    </row>
    <row r="2521" spans="17:17" ht="14.25" customHeight="1" x14ac:dyDescent="0.3">
      <c r="Q2521" s="13" t="str">
        <f>IF(OR(Dashboard!$C$4="All Customers",$E2521=Dashboard!$C$4),IF($E2521="","",$P2521+ROW()/10000000),"")</f>
        <v/>
      </c>
    </row>
    <row r="2522" spans="17:17" ht="14.25" customHeight="1" x14ac:dyDescent="0.3">
      <c r="Q2522" s="13" t="str">
        <f>IF(OR(Dashboard!$C$4="All Customers",$E2522=Dashboard!$C$4),IF($E2522="","",$P2522+ROW()/10000000),"")</f>
        <v/>
      </c>
    </row>
    <row r="2523" spans="17:17" ht="14.25" customHeight="1" x14ac:dyDescent="0.3">
      <c r="Q2523" s="13" t="str">
        <f>IF(OR(Dashboard!$C$4="All Customers",$E2523=Dashboard!$C$4),IF($E2523="","",$P2523+ROW()/10000000),"")</f>
        <v/>
      </c>
    </row>
    <row r="2524" spans="17:17" ht="14.25" customHeight="1" x14ac:dyDescent="0.3">
      <c r="Q2524" s="13" t="str">
        <f>IF(OR(Dashboard!$C$4="All Customers",$E2524=Dashboard!$C$4),IF($E2524="","",$P2524+ROW()/10000000),"")</f>
        <v/>
      </c>
    </row>
    <row r="2525" spans="17:17" ht="14.25" customHeight="1" x14ac:dyDescent="0.3">
      <c r="Q2525" s="13" t="str">
        <f>IF(OR(Dashboard!$C$4="All Customers",$E2525=Dashboard!$C$4),IF($E2525="","",$P2525+ROW()/10000000),"")</f>
        <v/>
      </c>
    </row>
    <row r="2526" spans="17:17" ht="14.25" customHeight="1" x14ac:dyDescent="0.3">
      <c r="Q2526" s="13" t="str">
        <f>IF(OR(Dashboard!$C$4="All Customers",$E2526=Dashboard!$C$4),IF($E2526="","",$P2526+ROW()/10000000),"")</f>
        <v/>
      </c>
    </row>
    <row r="2527" spans="17:17" ht="14.25" customHeight="1" x14ac:dyDescent="0.3">
      <c r="Q2527" s="13" t="str">
        <f>IF(OR(Dashboard!$C$4="All Customers",$E2527=Dashboard!$C$4),IF($E2527="","",$P2527+ROW()/10000000),"")</f>
        <v/>
      </c>
    </row>
    <row r="2528" spans="17:17" ht="14.25" customHeight="1" x14ac:dyDescent="0.3">
      <c r="Q2528" s="13" t="str">
        <f>IF(OR(Dashboard!$C$4="All Customers",$E2528=Dashboard!$C$4),IF($E2528="","",$P2528+ROW()/10000000),"")</f>
        <v/>
      </c>
    </row>
    <row r="2529" spans="17:17" ht="14.25" customHeight="1" x14ac:dyDescent="0.3">
      <c r="Q2529" s="13" t="str">
        <f>IF(OR(Dashboard!$C$4="All Customers",$E2529=Dashboard!$C$4),IF($E2529="","",$P2529+ROW()/10000000),"")</f>
        <v/>
      </c>
    </row>
    <row r="2530" spans="17:17" ht="14.25" customHeight="1" x14ac:dyDescent="0.3">
      <c r="Q2530" s="13" t="str">
        <f>IF(OR(Dashboard!$C$4="All Customers",$E2530=Dashboard!$C$4),IF($E2530="","",$P2530+ROW()/10000000),"")</f>
        <v/>
      </c>
    </row>
    <row r="2531" spans="17:17" ht="14.25" customHeight="1" x14ac:dyDescent="0.3">
      <c r="Q2531" s="13" t="str">
        <f>IF(OR(Dashboard!$C$4="All Customers",$E2531=Dashboard!$C$4),IF($E2531="","",$P2531+ROW()/10000000),"")</f>
        <v/>
      </c>
    </row>
    <row r="2532" spans="17:17" ht="14.25" customHeight="1" x14ac:dyDescent="0.3">
      <c r="Q2532" s="13" t="str">
        <f>IF(OR(Dashboard!$C$4="All Customers",$E2532=Dashboard!$C$4),IF($E2532="","",$P2532+ROW()/10000000),"")</f>
        <v/>
      </c>
    </row>
    <row r="2533" spans="17:17" ht="14.25" customHeight="1" x14ac:dyDescent="0.3">
      <c r="Q2533" s="13" t="str">
        <f>IF(OR(Dashboard!$C$4="All Customers",$E2533=Dashboard!$C$4),IF($E2533="","",$P2533+ROW()/10000000),"")</f>
        <v/>
      </c>
    </row>
    <row r="2534" spans="17:17" ht="14.25" customHeight="1" x14ac:dyDescent="0.3">
      <c r="Q2534" s="13" t="str">
        <f>IF(OR(Dashboard!$C$4="All Customers",$E2534=Dashboard!$C$4),IF($E2534="","",$P2534+ROW()/10000000),"")</f>
        <v/>
      </c>
    </row>
    <row r="2535" spans="17:17" ht="14.25" customHeight="1" x14ac:dyDescent="0.3">
      <c r="Q2535" s="13" t="str">
        <f>IF(OR(Dashboard!$C$4="All Customers",$E2535=Dashboard!$C$4),IF($E2535="","",$P2535+ROW()/10000000),"")</f>
        <v/>
      </c>
    </row>
    <row r="2536" spans="17:17" ht="14.25" customHeight="1" x14ac:dyDescent="0.3">
      <c r="Q2536" s="13" t="str">
        <f>IF(OR(Dashboard!$C$4="All Customers",$E2536=Dashboard!$C$4),IF($E2536="","",$P2536+ROW()/10000000),"")</f>
        <v/>
      </c>
    </row>
    <row r="2537" spans="17:17" ht="14.25" customHeight="1" x14ac:dyDescent="0.3">
      <c r="Q2537" s="13" t="str">
        <f>IF(OR(Dashboard!$C$4="All Customers",$E2537=Dashboard!$C$4),IF($E2537="","",$P2537+ROW()/10000000),"")</f>
        <v/>
      </c>
    </row>
    <row r="2538" spans="17:17" ht="14.25" customHeight="1" x14ac:dyDescent="0.3">
      <c r="Q2538" s="13" t="str">
        <f>IF(OR(Dashboard!$C$4="All Customers",$E2538=Dashboard!$C$4),IF($E2538="","",$P2538+ROW()/10000000),"")</f>
        <v/>
      </c>
    </row>
    <row r="2539" spans="17:17" ht="14.25" customHeight="1" x14ac:dyDescent="0.3">
      <c r="Q2539" s="13" t="str">
        <f>IF(OR(Dashboard!$C$4="All Customers",$E2539=Dashboard!$C$4),IF($E2539="","",$P2539+ROW()/10000000),"")</f>
        <v/>
      </c>
    </row>
    <row r="2540" spans="17:17" ht="14.25" customHeight="1" x14ac:dyDescent="0.3">
      <c r="Q2540" s="13" t="str">
        <f>IF(OR(Dashboard!$C$4="All Customers",$E2540=Dashboard!$C$4),IF($E2540="","",$P2540+ROW()/10000000),"")</f>
        <v/>
      </c>
    </row>
    <row r="2541" spans="17:17" ht="14.25" customHeight="1" x14ac:dyDescent="0.3">
      <c r="Q2541" s="13" t="str">
        <f>IF(OR(Dashboard!$C$4="All Customers",$E2541=Dashboard!$C$4),IF($E2541="","",$P2541+ROW()/10000000),"")</f>
        <v/>
      </c>
    </row>
    <row r="2542" spans="17:17" ht="14.25" customHeight="1" x14ac:dyDescent="0.3">
      <c r="Q2542" s="13" t="str">
        <f>IF(OR(Dashboard!$C$4="All Customers",$E2542=Dashboard!$C$4),IF($E2542="","",$P2542+ROW()/10000000),"")</f>
        <v/>
      </c>
    </row>
    <row r="2543" spans="17:17" ht="14.25" customHeight="1" x14ac:dyDescent="0.3">
      <c r="Q2543" s="13" t="str">
        <f>IF(OR(Dashboard!$C$4="All Customers",$E2543=Dashboard!$C$4),IF($E2543="","",$P2543+ROW()/10000000),"")</f>
        <v/>
      </c>
    </row>
    <row r="2544" spans="17:17" ht="14.25" customHeight="1" x14ac:dyDescent="0.3">
      <c r="Q2544" s="13" t="str">
        <f>IF(OR(Dashboard!$C$4="All Customers",$E2544=Dashboard!$C$4),IF($E2544="","",$P2544+ROW()/10000000),"")</f>
        <v/>
      </c>
    </row>
    <row r="2545" spans="17:17" ht="14.25" customHeight="1" x14ac:dyDescent="0.3">
      <c r="Q2545" s="13" t="str">
        <f>IF(OR(Dashboard!$C$4="All Customers",$E2545=Dashboard!$C$4),IF($E2545="","",$P2545+ROW()/10000000),"")</f>
        <v/>
      </c>
    </row>
    <row r="2546" spans="17:17" ht="14.25" customHeight="1" x14ac:dyDescent="0.3">
      <c r="Q2546" s="13" t="str">
        <f>IF(OR(Dashboard!$C$4="All Customers",$E2546=Dashboard!$C$4),IF($E2546="","",$P2546+ROW()/10000000),"")</f>
        <v/>
      </c>
    </row>
    <row r="2547" spans="17:17" ht="14.25" customHeight="1" x14ac:dyDescent="0.3">
      <c r="Q2547" s="13" t="str">
        <f>IF(OR(Dashboard!$C$4="All Customers",$E2547=Dashboard!$C$4),IF($E2547="","",$P2547+ROW()/10000000),"")</f>
        <v/>
      </c>
    </row>
    <row r="2548" spans="17:17" ht="14.25" customHeight="1" x14ac:dyDescent="0.3">
      <c r="Q2548" s="13" t="str">
        <f>IF(OR(Dashboard!$C$4="All Customers",$E2548=Dashboard!$C$4),IF($E2548="","",$P2548+ROW()/10000000),"")</f>
        <v/>
      </c>
    </row>
    <row r="2549" spans="17:17" ht="14.25" customHeight="1" x14ac:dyDescent="0.3">
      <c r="Q2549" s="13" t="str">
        <f>IF(OR(Dashboard!$C$4="All Customers",$E2549=Dashboard!$C$4),IF($E2549="","",$P2549+ROW()/10000000),"")</f>
        <v/>
      </c>
    </row>
    <row r="2550" spans="17:17" ht="14.25" customHeight="1" x14ac:dyDescent="0.3">
      <c r="Q2550" s="13" t="str">
        <f>IF(OR(Dashboard!$C$4="All Customers",$E2550=Dashboard!$C$4),IF($E2550="","",$P2550+ROW()/10000000),"")</f>
        <v/>
      </c>
    </row>
    <row r="2551" spans="17:17" ht="14.25" customHeight="1" x14ac:dyDescent="0.3">
      <c r="Q2551" s="13" t="str">
        <f>IF(OR(Dashboard!$C$4="All Customers",$E2551=Dashboard!$C$4),IF($E2551="","",$P2551+ROW()/10000000),"")</f>
        <v/>
      </c>
    </row>
    <row r="2552" spans="17:17" ht="14.25" customHeight="1" x14ac:dyDescent="0.3">
      <c r="Q2552" s="13" t="str">
        <f>IF(OR(Dashboard!$C$4="All Customers",$E2552=Dashboard!$C$4),IF($E2552="","",$P2552+ROW()/10000000),"")</f>
        <v/>
      </c>
    </row>
    <row r="2553" spans="17:17" ht="14.25" customHeight="1" x14ac:dyDescent="0.3">
      <c r="Q2553" s="13" t="str">
        <f>IF(OR(Dashboard!$C$4="All Customers",$E2553=Dashboard!$C$4),IF($E2553="","",$P2553+ROW()/10000000),"")</f>
        <v/>
      </c>
    </row>
    <row r="2554" spans="17:17" ht="14.25" customHeight="1" x14ac:dyDescent="0.3">
      <c r="Q2554" s="13" t="str">
        <f>IF(OR(Dashboard!$C$4="All Customers",$E2554=Dashboard!$C$4),IF($E2554="","",$P2554+ROW()/10000000),"")</f>
        <v/>
      </c>
    </row>
    <row r="2555" spans="17:17" ht="14.25" customHeight="1" x14ac:dyDescent="0.3">
      <c r="Q2555" s="13" t="str">
        <f>IF(OR(Dashboard!$C$4="All Customers",$E2555=Dashboard!$C$4),IF($E2555="","",$P2555+ROW()/10000000),"")</f>
        <v/>
      </c>
    </row>
    <row r="2556" spans="17:17" ht="14.25" customHeight="1" x14ac:dyDescent="0.3">
      <c r="Q2556" s="13" t="str">
        <f>IF(OR(Dashboard!$C$4="All Customers",$E2556=Dashboard!$C$4),IF($E2556="","",$P2556+ROW()/10000000),"")</f>
        <v/>
      </c>
    </row>
    <row r="2557" spans="17:17" ht="14.25" customHeight="1" x14ac:dyDescent="0.3">
      <c r="Q2557" s="13" t="str">
        <f>IF(OR(Dashboard!$C$4="All Customers",$E2557=Dashboard!$C$4),IF($E2557="","",$P2557+ROW()/10000000),"")</f>
        <v/>
      </c>
    </row>
    <row r="2558" spans="17:17" ht="14.25" customHeight="1" x14ac:dyDescent="0.3">
      <c r="Q2558" s="13" t="str">
        <f>IF(OR(Dashboard!$C$4="All Customers",$E2558=Dashboard!$C$4),IF($E2558="","",$P2558+ROW()/10000000),"")</f>
        <v/>
      </c>
    </row>
    <row r="2559" spans="17:17" ht="14.25" customHeight="1" x14ac:dyDescent="0.3">
      <c r="Q2559" s="13" t="str">
        <f>IF(OR(Dashboard!$C$4="All Customers",$E2559=Dashboard!$C$4),IF($E2559="","",$P2559+ROW()/10000000),"")</f>
        <v/>
      </c>
    </row>
    <row r="2560" spans="17:17" ht="14.25" customHeight="1" x14ac:dyDescent="0.3">
      <c r="Q2560" s="13" t="str">
        <f>IF(OR(Dashboard!$C$4="All Customers",$E2560=Dashboard!$C$4),IF($E2560="","",$P2560+ROW()/10000000),"")</f>
        <v/>
      </c>
    </row>
    <row r="2561" spans="17:17" ht="14.25" customHeight="1" x14ac:dyDescent="0.3">
      <c r="Q2561" s="13" t="str">
        <f>IF(OR(Dashboard!$C$4="All Customers",$E2561=Dashboard!$C$4),IF($E2561="","",$P2561+ROW()/10000000),"")</f>
        <v/>
      </c>
    </row>
    <row r="2562" spans="17:17" ht="14.25" customHeight="1" x14ac:dyDescent="0.3">
      <c r="Q2562" s="13" t="str">
        <f>IF(OR(Dashboard!$C$4="All Customers",$E2562=Dashboard!$C$4),IF($E2562="","",$P2562+ROW()/10000000),"")</f>
        <v/>
      </c>
    </row>
    <row r="2563" spans="17:17" ht="14.25" customHeight="1" x14ac:dyDescent="0.3">
      <c r="Q2563" s="13" t="str">
        <f>IF(OR(Dashboard!$C$4="All Customers",$E2563=Dashboard!$C$4),IF($E2563="","",$P2563+ROW()/10000000),"")</f>
        <v/>
      </c>
    </row>
    <row r="2564" spans="17:17" ht="14.25" customHeight="1" x14ac:dyDescent="0.3">
      <c r="Q2564" s="13" t="str">
        <f>IF(OR(Dashboard!$C$4="All Customers",$E2564=Dashboard!$C$4),IF($E2564="","",$P2564+ROW()/10000000),"")</f>
        <v/>
      </c>
    </row>
    <row r="2565" spans="17:17" ht="14.25" customHeight="1" x14ac:dyDescent="0.3">
      <c r="Q2565" s="13" t="str">
        <f>IF(OR(Dashboard!$C$4="All Customers",$E2565=Dashboard!$C$4),IF($E2565="","",$P2565+ROW()/10000000),"")</f>
        <v/>
      </c>
    </row>
    <row r="2566" spans="17:17" ht="14.25" customHeight="1" x14ac:dyDescent="0.3">
      <c r="Q2566" s="13" t="str">
        <f>IF(OR(Dashboard!$C$4="All Customers",$E2566=Dashboard!$C$4),IF($E2566="","",$P2566+ROW()/10000000),"")</f>
        <v/>
      </c>
    </row>
    <row r="2567" spans="17:17" ht="14.25" customHeight="1" x14ac:dyDescent="0.3">
      <c r="Q2567" s="13" t="str">
        <f>IF(OR(Dashboard!$C$4="All Customers",$E2567=Dashboard!$C$4),IF($E2567="","",$P2567+ROW()/10000000),"")</f>
        <v/>
      </c>
    </row>
    <row r="2568" spans="17:17" ht="14.25" customHeight="1" x14ac:dyDescent="0.3">
      <c r="Q2568" s="13" t="str">
        <f>IF(OR(Dashboard!$C$4="All Customers",$E2568=Dashboard!$C$4),IF($E2568="","",$P2568+ROW()/10000000),"")</f>
        <v/>
      </c>
    </row>
    <row r="2569" spans="17:17" ht="14.25" customHeight="1" x14ac:dyDescent="0.3">
      <c r="Q2569" s="13" t="str">
        <f>IF(OR(Dashboard!$C$4="All Customers",$E2569=Dashboard!$C$4),IF($E2569="","",$P2569+ROW()/10000000),"")</f>
        <v/>
      </c>
    </row>
    <row r="2570" spans="17:17" ht="14.25" customHeight="1" x14ac:dyDescent="0.3">
      <c r="Q2570" s="13" t="str">
        <f>IF(OR(Dashboard!$C$4="All Customers",$E2570=Dashboard!$C$4),IF($E2570="","",$P2570+ROW()/10000000),"")</f>
        <v/>
      </c>
    </row>
    <row r="2571" spans="17:17" ht="14.25" customHeight="1" x14ac:dyDescent="0.3">
      <c r="Q2571" s="13" t="str">
        <f>IF(OR(Dashboard!$C$4="All Customers",$E2571=Dashboard!$C$4),IF($E2571="","",$P2571+ROW()/10000000),"")</f>
        <v/>
      </c>
    </row>
    <row r="2572" spans="17:17" ht="14.25" customHeight="1" x14ac:dyDescent="0.3">
      <c r="Q2572" s="13" t="str">
        <f>IF(OR(Dashboard!$C$4="All Customers",$E2572=Dashboard!$C$4),IF($E2572="","",$P2572+ROW()/10000000),"")</f>
        <v/>
      </c>
    </row>
    <row r="2573" spans="17:17" ht="14.25" customHeight="1" x14ac:dyDescent="0.3">
      <c r="Q2573" s="13" t="str">
        <f>IF(OR(Dashboard!$C$4="All Customers",$E2573=Dashboard!$C$4),IF($E2573="","",$P2573+ROW()/10000000),"")</f>
        <v/>
      </c>
    </row>
    <row r="2574" spans="17:17" ht="14.25" customHeight="1" x14ac:dyDescent="0.3">
      <c r="Q2574" s="13" t="str">
        <f>IF(OR(Dashboard!$C$4="All Customers",$E2574=Dashboard!$C$4),IF($E2574="","",$P2574+ROW()/10000000),"")</f>
        <v/>
      </c>
    </row>
    <row r="2575" spans="17:17" ht="14.25" customHeight="1" x14ac:dyDescent="0.3">
      <c r="Q2575" s="13" t="str">
        <f>IF(OR(Dashboard!$C$4="All Customers",$E2575=Dashboard!$C$4),IF($E2575="","",$P2575+ROW()/10000000),"")</f>
        <v/>
      </c>
    </row>
    <row r="2576" spans="17:17" ht="14.25" customHeight="1" x14ac:dyDescent="0.3">
      <c r="Q2576" s="13" t="str">
        <f>IF(OR(Dashboard!$C$4="All Customers",$E2576=Dashboard!$C$4),IF($E2576="","",$P2576+ROW()/10000000),"")</f>
        <v/>
      </c>
    </row>
    <row r="2577" spans="17:17" ht="14.25" customHeight="1" x14ac:dyDescent="0.3">
      <c r="Q2577" s="13" t="str">
        <f>IF(OR(Dashboard!$C$4="All Customers",$E2577=Dashboard!$C$4),IF($E2577="","",$P2577+ROW()/10000000),"")</f>
        <v/>
      </c>
    </row>
    <row r="2578" spans="17:17" ht="14.25" customHeight="1" x14ac:dyDescent="0.3">
      <c r="Q2578" s="13" t="str">
        <f>IF(OR(Dashboard!$C$4="All Customers",$E2578=Dashboard!$C$4),IF($E2578="","",$P2578+ROW()/10000000),"")</f>
        <v/>
      </c>
    </row>
    <row r="2579" spans="17:17" ht="14.25" customHeight="1" x14ac:dyDescent="0.3">
      <c r="Q2579" s="13" t="str">
        <f>IF(OR(Dashboard!$C$4="All Customers",$E2579=Dashboard!$C$4),IF($E2579="","",$P2579+ROW()/10000000),"")</f>
        <v/>
      </c>
    </row>
    <row r="2580" spans="17:17" ht="14.25" customHeight="1" x14ac:dyDescent="0.3">
      <c r="Q2580" s="13" t="str">
        <f>IF(OR(Dashboard!$C$4="All Customers",$E2580=Dashboard!$C$4),IF($E2580="","",$P2580+ROW()/10000000),"")</f>
        <v/>
      </c>
    </row>
    <row r="2581" spans="17:17" ht="14.25" customHeight="1" x14ac:dyDescent="0.3">
      <c r="Q2581" s="13" t="str">
        <f>IF(OR(Dashboard!$C$4="All Customers",$E2581=Dashboard!$C$4),IF($E2581="","",$P2581+ROW()/10000000),"")</f>
        <v/>
      </c>
    </row>
    <row r="2582" spans="17:17" ht="14.25" customHeight="1" x14ac:dyDescent="0.3">
      <c r="Q2582" s="13" t="str">
        <f>IF(OR(Dashboard!$C$4="All Customers",$E2582=Dashboard!$C$4),IF($E2582="","",$P2582+ROW()/10000000),"")</f>
        <v/>
      </c>
    </row>
    <row r="2583" spans="17:17" ht="14.25" customHeight="1" x14ac:dyDescent="0.3">
      <c r="Q2583" s="13" t="str">
        <f>IF(OR(Dashboard!$C$4="All Customers",$E2583=Dashboard!$C$4),IF($E2583="","",$P2583+ROW()/10000000),"")</f>
        <v/>
      </c>
    </row>
    <row r="2584" spans="17:17" ht="14.25" customHeight="1" x14ac:dyDescent="0.3">
      <c r="Q2584" s="13" t="str">
        <f>IF(OR(Dashboard!$C$4="All Customers",$E2584=Dashboard!$C$4),IF($E2584="","",$P2584+ROW()/10000000),"")</f>
        <v/>
      </c>
    </row>
    <row r="2585" spans="17:17" ht="14.25" customHeight="1" x14ac:dyDescent="0.3">
      <c r="Q2585" s="13" t="str">
        <f>IF(OR(Dashboard!$C$4="All Customers",$E2585=Dashboard!$C$4),IF($E2585="","",$P2585+ROW()/10000000),"")</f>
        <v/>
      </c>
    </row>
    <row r="2586" spans="17:17" ht="14.25" customHeight="1" x14ac:dyDescent="0.3">
      <c r="Q2586" s="13" t="str">
        <f>IF(OR(Dashboard!$C$4="All Customers",$E2586=Dashboard!$C$4),IF($E2586="","",$P2586+ROW()/10000000),"")</f>
        <v/>
      </c>
    </row>
    <row r="2587" spans="17:17" ht="14.25" customHeight="1" x14ac:dyDescent="0.3">
      <c r="Q2587" s="13" t="str">
        <f>IF(OR(Dashboard!$C$4="All Customers",$E2587=Dashboard!$C$4),IF($E2587="","",$P2587+ROW()/10000000),"")</f>
        <v/>
      </c>
    </row>
    <row r="2588" spans="17:17" ht="14.25" customHeight="1" x14ac:dyDescent="0.3">
      <c r="Q2588" s="13" t="str">
        <f>IF(OR(Dashboard!$C$4="All Customers",$E2588=Dashboard!$C$4),IF($E2588="","",$P2588+ROW()/10000000),"")</f>
        <v/>
      </c>
    </row>
    <row r="2589" spans="17:17" ht="14.25" customHeight="1" x14ac:dyDescent="0.3">
      <c r="Q2589" s="13" t="str">
        <f>IF(OR(Dashboard!$C$4="All Customers",$E2589=Dashboard!$C$4),IF($E2589="","",$P2589+ROW()/10000000),"")</f>
        <v/>
      </c>
    </row>
    <row r="2590" spans="17:17" ht="14.25" customHeight="1" x14ac:dyDescent="0.3">
      <c r="Q2590" s="13" t="str">
        <f>IF(OR(Dashboard!$C$4="All Customers",$E2590=Dashboard!$C$4),IF($E2590="","",$P2590+ROW()/10000000),"")</f>
        <v/>
      </c>
    </row>
    <row r="2591" spans="17:17" ht="14.25" customHeight="1" x14ac:dyDescent="0.3">
      <c r="Q2591" s="13" t="str">
        <f>IF(OR(Dashboard!$C$4="All Customers",$E2591=Dashboard!$C$4),IF($E2591="","",$P2591+ROW()/10000000),"")</f>
        <v/>
      </c>
    </row>
    <row r="2592" spans="17:17" ht="14.25" customHeight="1" x14ac:dyDescent="0.3">
      <c r="Q2592" s="13" t="str">
        <f>IF(OR(Dashboard!$C$4="All Customers",$E2592=Dashboard!$C$4),IF($E2592="","",$P2592+ROW()/10000000),"")</f>
        <v/>
      </c>
    </row>
    <row r="2593" spans="17:17" ht="14.25" customHeight="1" x14ac:dyDescent="0.3">
      <c r="Q2593" s="13" t="str">
        <f>IF(OR(Dashboard!$C$4="All Customers",$E2593=Dashboard!$C$4),IF($E2593="","",$P2593+ROW()/10000000),"")</f>
        <v/>
      </c>
    </row>
    <row r="2594" spans="17:17" ht="14.25" customHeight="1" x14ac:dyDescent="0.3">
      <c r="Q2594" s="13" t="str">
        <f>IF(OR(Dashboard!$C$4="All Customers",$E2594=Dashboard!$C$4),IF($E2594="","",$P2594+ROW()/10000000),"")</f>
        <v/>
      </c>
    </row>
    <row r="2595" spans="17:17" ht="14.25" customHeight="1" x14ac:dyDescent="0.3">
      <c r="Q2595" s="13" t="str">
        <f>IF(OR(Dashboard!$C$4="All Customers",$E2595=Dashboard!$C$4),IF($E2595="","",$P2595+ROW()/10000000),"")</f>
        <v/>
      </c>
    </row>
    <row r="2596" spans="17:17" ht="14.25" customHeight="1" x14ac:dyDescent="0.3">
      <c r="Q2596" s="13" t="str">
        <f>IF(OR(Dashboard!$C$4="All Customers",$E2596=Dashboard!$C$4),IF($E2596="","",$P2596+ROW()/10000000),"")</f>
        <v/>
      </c>
    </row>
    <row r="2597" spans="17:17" ht="14.25" customHeight="1" x14ac:dyDescent="0.3">
      <c r="Q2597" s="13" t="str">
        <f>IF(OR(Dashboard!$C$4="All Customers",$E2597=Dashboard!$C$4),IF($E2597="","",$P2597+ROW()/10000000),"")</f>
        <v/>
      </c>
    </row>
    <row r="2598" spans="17:17" ht="14.25" customHeight="1" x14ac:dyDescent="0.3">
      <c r="Q2598" s="13" t="str">
        <f>IF(OR(Dashboard!$C$4="All Customers",$E2598=Dashboard!$C$4),IF($E2598="","",$P2598+ROW()/10000000),"")</f>
        <v/>
      </c>
    </row>
    <row r="2599" spans="17:17" ht="14.25" customHeight="1" x14ac:dyDescent="0.3">
      <c r="Q2599" s="13" t="str">
        <f>IF(OR(Dashboard!$C$4="All Customers",$E2599=Dashboard!$C$4),IF($E2599="","",$P2599+ROW()/10000000),"")</f>
        <v/>
      </c>
    </row>
    <row r="2600" spans="17:17" ht="14.25" customHeight="1" x14ac:dyDescent="0.3">
      <c r="Q2600" s="13" t="str">
        <f>IF(OR(Dashboard!$C$4="All Customers",$E2600=Dashboard!$C$4),IF($E2600="","",$P2600+ROW()/10000000),"")</f>
        <v/>
      </c>
    </row>
    <row r="2601" spans="17:17" ht="14.25" customHeight="1" x14ac:dyDescent="0.3">
      <c r="Q2601" s="13" t="str">
        <f>IF(OR(Dashboard!$C$4="All Customers",$E2601=Dashboard!$C$4),IF($E2601="","",$P2601+ROW()/10000000),"")</f>
        <v/>
      </c>
    </row>
    <row r="2602" spans="17:17" ht="14.25" customHeight="1" x14ac:dyDescent="0.3">
      <c r="Q2602" s="13" t="str">
        <f>IF(OR(Dashboard!$C$4="All Customers",$E2602=Dashboard!$C$4),IF($E2602="","",$P2602+ROW()/10000000),"")</f>
        <v/>
      </c>
    </row>
    <row r="2603" spans="17:17" ht="14.25" customHeight="1" x14ac:dyDescent="0.3">
      <c r="Q2603" s="13" t="str">
        <f>IF(OR(Dashboard!$C$4="All Customers",$E2603=Dashboard!$C$4),IF($E2603="","",$P2603+ROW()/10000000),"")</f>
        <v/>
      </c>
    </row>
    <row r="2604" spans="17:17" ht="14.25" customHeight="1" x14ac:dyDescent="0.3">
      <c r="Q2604" s="13" t="str">
        <f>IF(OR(Dashboard!$C$4="All Customers",$E2604=Dashboard!$C$4),IF($E2604="","",$P2604+ROW()/10000000),"")</f>
        <v/>
      </c>
    </row>
    <row r="2605" spans="17:17" ht="14.25" customHeight="1" x14ac:dyDescent="0.3">
      <c r="Q2605" s="13" t="str">
        <f>IF(OR(Dashboard!$C$4="All Customers",$E2605=Dashboard!$C$4),IF($E2605="","",$P2605+ROW()/10000000),"")</f>
        <v/>
      </c>
    </row>
    <row r="2606" spans="17:17" ht="14.25" customHeight="1" x14ac:dyDescent="0.3">
      <c r="Q2606" s="13" t="str">
        <f>IF(OR(Dashboard!$C$4="All Customers",$E2606=Dashboard!$C$4),IF($E2606="","",$P2606+ROW()/10000000),"")</f>
        <v/>
      </c>
    </row>
    <row r="2607" spans="17:17" ht="14.25" customHeight="1" x14ac:dyDescent="0.3">
      <c r="Q2607" s="13" t="str">
        <f>IF(OR(Dashboard!$C$4="All Customers",$E2607=Dashboard!$C$4),IF($E2607="","",$P2607+ROW()/10000000),"")</f>
        <v/>
      </c>
    </row>
    <row r="2608" spans="17:17" ht="14.25" customHeight="1" x14ac:dyDescent="0.3">
      <c r="Q2608" s="13" t="str">
        <f>IF(OR(Dashboard!$C$4="All Customers",$E2608=Dashboard!$C$4),IF($E2608="","",$P2608+ROW()/10000000),"")</f>
        <v/>
      </c>
    </row>
    <row r="2609" spans="17:17" ht="14.25" customHeight="1" x14ac:dyDescent="0.3">
      <c r="Q2609" s="13" t="str">
        <f>IF(OR(Dashboard!$C$4="All Customers",$E2609=Dashboard!$C$4),IF($E2609="","",$P2609+ROW()/10000000),"")</f>
        <v/>
      </c>
    </row>
    <row r="2610" spans="17:17" ht="14.25" customHeight="1" x14ac:dyDescent="0.3">
      <c r="Q2610" s="13" t="str">
        <f>IF(OR(Dashboard!$C$4="All Customers",$E2610=Dashboard!$C$4),IF($E2610="","",$P2610+ROW()/10000000),"")</f>
        <v/>
      </c>
    </row>
    <row r="2611" spans="17:17" ht="14.25" customHeight="1" x14ac:dyDescent="0.3">
      <c r="Q2611" s="13" t="str">
        <f>IF(OR(Dashboard!$C$4="All Customers",$E2611=Dashboard!$C$4),IF($E2611="","",$P2611+ROW()/10000000),"")</f>
        <v/>
      </c>
    </row>
    <row r="2612" spans="17:17" ht="14.25" customHeight="1" x14ac:dyDescent="0.3">
      <c r="Q2612" s="13" t="str">
        <f>IF(OR(Dashboard!$C$4="All Customers",$E2612=Dashboard!$C$4),IF($E2612="","",$P2612+ROW()/10000000),"")</f>
        <v/>
      </c>
    </row>
    <row r="2613" spans="17:17" ht="14.25" customHeight="1" x14ac:dyDescent="0.3">
      <c r="Q2613" s="13" t="str">
        <f>IF(OR(Dashboard!$C$4="All Customers",$E2613=Dashboard!$C$4),IF($E2613="","",$P2613+ROW()/10000000),"")</f>
        <v/>
      </c>
    </row>
    <row r="2614" spans="17:17" ht="14.25" customHeight="1" x14ac:dyDescent="0.3">
      <c r="Q2614" s="13" t="str">
        <f>IF(OR(Dashboard!$C$4="All Customers",$E2614=Dashboard!$C$4),IF($E2614="","",$P2614+ROW()/10000000),"")</f>
        <v/>
      </c>
    </row>
    <row r="2615" spans="17:17" ht="14.25" customHeight="1" x14ac:dyDescent="0.3">
      <c r="Q2615" s="13" t="str">
        <f>IF(OR(Dashboard!$C$4="All Customers",$E2615=Dashboard!$C$4),IF($E2615="","",$P2615+ROW()/10000000),"")</f>
        <v/>
      </c>
    </row>
    <row r="2616" spans="17:17" ht="14.25" customHeight="1" x14ac:dyDescent="0.3">
      <c r="Q2616" s="13" t="str">
        <f>IF(OR(Dashboard!$C$4="All Customers",$E2616=Dashboard!$C$4),IF($E2616="","",$P2616+ROW()/10000000),"")</f>
        <v/>
      </c>
    </row>
    <row r="2617" spans="17:17" ht="14.25" customHeight="1" x14ac:dyDescent="0.3">
      <c r="Q2617" s="13" t="str">
        <f>IF(OR(Dashboard!$C$4="All Customers",$E2617=Dashboard!$C$4),IF($E2617="","",$P2617+ROW()/10000000),"")</f>
        <v/>
      </c>
    </row>
    <row r="2618" spans="17:17" ht="14.25" customHeight="1" x14ac:dyDescent="0.3">
      <c r="Q2618" s="13" t="str">
        <f>IF(OR(Dashboard!$C$4="All Customers",$E2618=Dashboard!$C$4),IF($E2618="","",$P2618+ROW()/10000000),"")</f>
        <v/>
      </c>
    </row>
    <row r="2619" spans="17:17" ht="14.25" customHeight="1" x14ac:dyDescent="0.3">
      <c r="Q2619" s="13" t="str">
        <f>IF(OR(Dashboard!$C$4="All Customers",$E2619=Dashboard!$C$4),IF($E2619="","",$P2619+ROW()/10000000),"")</f>
        <v/>
      </c>
    </row>
    <row r="2620" spans="17:17" ht="14.25" customHeight="1" x14ac:dyDescent="0.3">
      <c r="Q2620" s="13" t="str">
        <f>IF(OR(Dashboard!$C$4="All Customers",$E2620=Dashboard!$C$4),IF($E2620="","",$P2620+ROW()/10000000),"")</f>
        <v/>
      </c>
    </row>
    <row r="2621" spans="17:17" ht="14.25" customHeight="1" x14ac:dyDescent="0.3">
      <c r="Q2621" s="13" t="str">
        <f>IF(OR(Dashboard!$C$4="All Customers",$E2621=Dashboard!$C$4),IF($E2621="","",$P2621+ROW()/10000000),"")</f>
        <v/>
      </c>
    </row>
    <row r="2622" spans="17:17" ht="14.25" customHeight="1" x14ac:dyDescent="0.3">
      <c r="Q2622" s="13" t="str">
        <f>IF(OR(Dashboard!$C$4="All Customers",$E2622=Dashboard!$C$4),IF($E2622="","",$P2622+ROW()/10000000),"")</f>
        <v/>
      </c>
    </row>
    <row r="2623" spans="17:17" ht="14.25" customHeight="1" x14ac:dyDescent="0.3">
      <c r="Q2623" s="13" t="str">
        <f>IF(OR(Dashboard!$C$4="All Customers",$E2623=Dashboard!$C$4),IF($E2623="","",$P2623+ROW()/10000000),"")</f>
        <v/>
      </c>
    </row>
    <row r="2624" spans="17:17" ht="14.25" customHeight="1" x14ac:dyDescent="0.3">
      <c r="Q2624" s="13" t="str">
        <f>IF(OR(Dashboard!$C$4="All Customers",$E2624=Dashboard!$C$4),IF($E2624="","",$P2624+ROW()/10000000),"")</f>
        <v/>
      </c>
    </row>
    <row r="2625" spans="17:17" ht="14.25" customHeight="1" x14ac:dyDescent="0.3">
      <c r="Q2625" s="13" t="str">
        <f>IF(OR(Dashboard!$C$4="All Customers",$E2625=Dashboard!$C$4),IF($E2625="","",$P2625+ROW()/10000000),"")</f>
        <v/>
      </c>
    </row>
    <row r="2626" spans="17:17" ht="14.25" customHeight="1" x14ac:dyDescent="0.3">
      <c r="Q2626" s="13" t="str">
        <f>IF(OR(Dashboard!$C$4="All Customers",$E2626=Dashboard!$C$4),IF($E2626="","",$P2626+ROW()/10000000),"")</f>
        <v/>
      </c>
    </row>
    <row r="2627" spans="17:17" ht="14.25" customHeight="1" x14ac:dyDescent="0.3">
      <c r="Q2627" s="13" t="str">
        <f>IF(OR(Dashboard!$C$4="All Customers",$E2627=Dashboard!$C$4),IF($E2627="","",$P2627+ROW()/10000000),"")</f>
        <v/>
      </c>
    </row>
    <row r="2628" spans="17:17" ht="14.25" customHeight="1" x14ac:dyDescent="0.3">
      <c r="Q2628" s="13" t="str">
        <f>IF(OR(Dashboard!$C$4="All Customers",$E2628=Dashboard!$C$4),IF($E2628="","",$P2628+ROW()/10000000),"")</f>
        <v/>
      </c>
    </row>
  </sheetData>
  <autoFilter ref="A1:P628"/>
  <conditionalFormatting sqref="M99:M628">
    <cfRule type="duplicateValues" dxfId="0" priority="2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2"/>
  <sheetViews>
    <sheetView zoomScaleNormal="100" workbookViewId="0"/>
  </sheetViews>
  <sheetFormatPr defaultColWidth="8.6640625" defaultRowHeight="14.4" x14ac:dyDescent="0.3"/>
  <sheetData>
    <row r="1" spans="1:3" ht="15" customHeight="1" x14ac:dyDescent="0.3">
      <c r="A1" s="13" t="s">
        <v>65</v>
      </c>
    </row>
    <row r="2" spans="1:3" ht="15" customHeight="1" x14ac:dyDescent="0.3">
      <c r="A2" s="13" t="s">
        <v>1110</v>
      </c>
      <c r="B2" s="13">
        <f t="array" ref="B2">IFERROR(SMALL(IF(IF(Dashboard!$C$5="",TRUE(),ISNUMBER(SEARCH(Dashboard!$C$5,$A$2:$A$202))),ROW($A$2:$A$202)-ROW($A$2)+1),ROW()-ROW($B$2)+1),"")</f>
        <v>1</v>
      </c>
      <c r="C2" s="13" t="str">
        <f t="shared" ref="C2:C65" si="0">IFERROR(INDEX($A$2:$A$202,$B2),"")</f>
        <v>All Customers</v>
      </c>
    </row>
    <row r="3" spans="1:3" ht="15" customHeight="1" x14ac:dyDescent="0.3">
      <c r="A3" s="13" t="str">
        <f t="array" ref="A3">IFERROR(INDEX(Combination!$E$2:$E$2628,MATCH(0,COUNTIF($A$2:A2,Combination!$E$2:$E$2628)+IF(Combination!$E$2:$E$2628="",1,0),0)),"")</f>
        <v>Nahar Al Ajnas Auto Spre Prts Tradi, Dubai (In)</v>
      </c>
      <c r="B3" s="13">
        <f t="array" ref="B3">IFERROR(SMALL(IF(IF(Dashboard!$C$5="",TRUE(),ISNUMBER(SEARCH(Dashboard!$C$5,$A$2:$A$202))),ROW($A$2:$A$202)-ROW($A$2)+1),ROW()-ROW($B$2)+1),"")</f>
        <v>2</v>
      </c>
      <c r="C3" s="13" t="str">
        <f t="shared" si="0"/>
        <v>Nahar Al Ajnas Auto Spre Prts Tradi, Dubai (In)</v>
      </c>
    </row>
    <row r="4" spans="1:3" ht="15" customHeight="1" x14ac:dyDescent="0.3">
      <c r="A4" s="13" t="str">
        <f t="array" ref="A4">IFERROR(INDEX(Combination!$E$2:$E$2628,MATCH(0,COUNTIF($A$2:A3,Combination!$E$2:$E$2628)+IF(Combination!$E$2:$E$2628="",1,0),0)),"")</f>
        <v>SHOAIB FAISAL QALANDARI LTD</v>
      </c>
      <c r="B4" s="13">
        <f t="array" ref="B4">IFERROR(SMALL(IF(IF(Dashboard!$C$5="",TRUE(),ISNUMBER(SEARCH(Dashboard!$C$5,$A$2:$A$202))),ROW($A$2:$A$202)-ROW($A$2)+1),ROW()-ROW($B$2)+1),"")</f>
        <v>3</v>
      </c>
      <c r="C4" s="13" t="str">
        <f t="shared" si="0"/>
        <v>SHOAIB FAISAL QALANDARI LTD</v>
      </c>
    </row>
    <row r="5" spans="1:3" ht="15" customHeight="1" x14ac:dyDescent="0.3">
      <c r="A5" s="13" t="str">
        <f t="array" ref="A5">IFERROR(INDEX(Combination!$E$2:$E$2628,MATCH(0,COUNTIF($A$2:A4,Combination!$E$2:$E$2628)+IF(Combination!$E$2:$E$2628="",1,0),0)),"")</f>
        <v>MULTILLANTAS ZONA LIBRE S.A., Panama</v>
      </c>
      <c r="B5" s="13">
        <f t="array" ref="B5">IFERROR(SMALL(IF(IF(Dashboard!$C$5="",TRUE(),ISNUMBER(SEARCH(Dashboard!$C$5,$A$2:$A$202))),ROW($A$2:$A$202)-ROW($A$2)+1),ROW()-ROW($B$2)+1),"")</f>
        <v>4</v>
      </c>
      <c r="C5" s="13" t="str">
        <f t="shared" si="0"/>
        <v>MULTILLANTAS ZONA LIBRE S.A., Panama</v>
      </c>
    </row>
    <row r="6" spans="1:3" ht="15" customHeight="1" x14ac:dyDescent="0.3">
      <c r="A6" s="13" t="str">
        <f t="array" ref="A6">IFERROR(INDEX(Combination!$E$2:$E$2628,MATCH(0,COUNTIF($A$2:A5,Combination!$E$2:$E$2628)+IF(Combination!$E$2:$E$2628="",1,0),0)),"")</f>
        <v>BA Bush Tyres</v>
      </c>
      <c r="B6" s="13">
        <f t="array" ref="B6">IFERROR(SMALL(IF(IF(Dashboard!$C$5="",TRUE(),ISNUMBER(SEARCH(Dashboard!$C$5,$A$2:$A$202))),ROW($A$2:$A$202)-ROW($A$2)+1),ROW()-ROW($B$2)+1),"")</f>
        <v>5</v>
      </c>
      <c r="C6" s="13" t="str">
        <f t="shared" si="0"/>
        <v>BA Bush Tyres</v>
      </c>
    </row>
    <row r="7" spans="1:3" ht="15" customHeight="1" x14ac:dyDescent="0.3">
      <c r="A7" s="13" t="str">
        <f t="array" ref="A7">IFERROR(INDEX(Combination!$E$2:$E$2628,MATCH(0,COUNTIF($A$2:A6,Combination!$E$2:$E$2628)+IF(Combination!$E$2:$E$2628="",1,0),0)),"")</f>
        <v>TRADELUC FZE LLC, Spain</v>
      </c>
      <c r="B7" s="13">
        <f t="array" ref="B7">IFERROR(SMALL(IF(IF(Dashboard!$C$5="",TRUE(),ISNUMBER(SEARCH(Dashboard!$C$5,$A$2:$A$202))),ROW($A$2:$A$202)-ROW($A$2)+1),ROW()-ROW($B$2)+1),"")</f>
        <v>6</v>
      </c>
      <c r="C7" s="13" t="str">
        <f t="shared" si="0"/>
        <v>TRADELUC FZE LLC, Spain</v>
      </c>
    </row>
    <row r="8" spans="1:3" ht="15" customHeight="1" x14ac:dyDescent="0.3">
      <c r="A8" s="13" t="str">
        <f t="array" ref="A8">IFERROR(INDEX(Combination!$E$2:$E$2628,MATCH(0,COUNTIF($A$2:A7,Combination!$E$2:$E$2628)+IF(Combination!$E$2:$E$2628="",1,0),0)),"")</f>
        <v>Al Rabee - Sudan</v>
      </c>
      <c r="B8" s="13">
        <f t="array" ref="B8">IFERROR(SMALL(IF(IF(Dashboard!$C$5="",TRUE(),ISNUMBER(SEARCH(Dashboard!$C$5,$A$2:$A$202))),ROW($A$2:$A$202)-ROW($A$2)+1),ROW()-ROW($B$2)+1),"")</f>
        <v>7</v>
      </c>
      <c r="C8" s="13" t="str">
        <f t="shared" si="0"/>
        <v>Al Rabee - Sudan</v>
      </c>
    </row>
    <row r="9" spans="1:3" ht="15" customHeight="1" x14ac:dyDescent="0.3">
      <c r="A9" s="13" t="str">
        <f t="array" ref="A9">IFERROR(INDEX(Combination!$E$2:$E$2628,MATCH(0,COUNTIF($A$2:A8,Combination!$E$2:$E$2628)+IF(Combination!$E$2:$E$2628="",1,0),0)),"")</f>
        <v>CPX DISTRIBUIDORA S/A-Suape</v>
      </c>
      <c r="B9" s="13">
        <f t="array" ref="B9">IFERROR(SMALL(IF(IF(Dashboard!$C$5="",TRUE(),ISNUMBER(SEARCH(Dashboard!$C$5,$A$2:$A$202))),ROW($A$2:$A$202)-ROW($A$2)+1),ROW()-ROW($B$2)+1),"")</f>
        <v>8</v>
      </c>
      <c r="C9" s="13" t="str">
        <f t="shared" si="0"/>
        <v>CPX DISTRIBUIDORA S/A-Suape</v>
      </c>
    </row>
    <row r="10" spans="1:3" ht="15" customHeight="1" x14ac:dyDescent="0.3">
      <c r="A10" s="13" t="str">
        <f t="array" ref="A10">IFERROR(INDEX(Combination!$E$2:$E$2628,MATCH(0,COUNTIF($A$2:A9,Combination!$E$2:$E$2628)+IF(Combination!$E$2:$E$2628="",1,0),0)),"")</f>
        <v>CPX DISTRIBUIDORA S/A-Itajai</v>
      </c>
      <c r="B10" s="13">
        <f t="array" ref="B10">IFERROR(SMALL(IF(IF(Dashboard!$C$5="",TRUE(),ISNUMBER(SEARCH(Dashboard!$C$5,$A$2:$A$202))),ROW($A$2:$A$202)-ROW($A$2)+1),ROW()-ROW($B$2)+1),"")</f>
        <v>9</v>
      </c>
      <c r="C10" s="13" t="str">
        <f t="shared" si="0"/>
        <v>CPX DISTRIBUIDORA S/A-Itajai</v>
      </c>
    </row>
    <row r="11" spans="1:3" ht="15" customHeight="1" x14ac:dyDescent="0.3">
      <c r="A11" s="13" t="str">
        <f t="array" ref="A11">IFERROR(INDEX(Combination!$E$2:$E$2628,MATCH(0,COUNTIF($A$2:A10,Combination!$E$2:$E$2628)+IF(Combination!$E$2:$E$2628="",1,0),0)),"")</f>
        <v>Marco Lankes GmbH, Germany</v>
      </c>
      <c r="B11" s="13">
        <f t="array" ref="B11">IFERROR(SMALL(IF(IF(Dashboard!$C$5="",TRUE(),ISNUMBER(SEARCH(Dashboard!$C$5,$A$2:$A$202))),ROW($A$2:$A$202)-ROW($A$2)+1),ROW()-ROW($B$2)+1),"")</f>
        <v>10</v>
      </c>
      <c r="C11" s="13" t="str">
        <f t="shared" si="0"/>
        <v>Marco Lankes GmbH, Germany</v>
      </c>
    </row>
    <row r="12" spans="1:3" ht="15" customHeight="1" x14ac:dyDescent="0.3">
      <c r="A12" s="13" t="str">
        <f t="array" ref="A12">IFERROR(INDEX(Combination!$E$2:$E$2628,MATCH(0,COUNTIF($A$2:A11,Combination!$E$2:$E$2628)+IF(Combination!$E$2:$E$2628="",1,0),0)),"")</f>
        <v>AL-DYAR AL-KHADRAA TIRE AND BATTERY, Iraq</v>
      </c>
      <c r="B12" s="13">
        <f t="array" ref="B12">IFERROR(SMALL(IF(IF(Dashboard!$C$5="",TRUE(),ISNUMBER(SEARCH(Dashboard!$C$5,$A$2:$A$202))),ROW($A$2:$A$202)-ROW($A$2)+1),ROW()-ROW($B$2)+1),"")</f>
        <v>11</v>
      </c>
      <c r="C12" s="13" t="str">
        <f t="shared" si="0"/>
        <v>AL-DYAR AL-KHADRAA TIRE AND BATTERY, Iraq</v>
      </c>
    </row>
    <row r="13" spans="1:3" ht="15" customHeight="1" x14ac:dyDescent="0.3">
      <c r="A13" s="13" t="str">
        <f t="array" ref="A13">IFERROR(INDEX(Combination!$E$2:$E$2628,MATCH(0,COUNTIF($A$2:A12,Combination!$E$2:$E$2628)+IF(Combination!$E$2:$E$2628="",1,0),0)),"")</f>
        <v>Agrigear LTD, Ireland</v>
      </c>
      <c r="B13" s="13">
        <f t="array" ref="B13">IFERROR(SMALL(IF(IF(Dashboard!$C$5="",TRUE(),ISNUMBER(SEARCH(Dashboard!$C$5,$A$2:$A$202))),ROW($A$2:$A$202)-ROW($A$2)+1),ROW()-ROW($B$2)+1),"")</f>
        <v>12</v>
      </c>
      <c r="C13" s="13" t="str">
        <f t="shared" si="0"/>
        <v>Agrigear LTD, Ireland</v>
      </c>
    </row>
    <row r="14" spans="1:3" ht="15" customHeight="1" x14ac:dyDescent="0.3">
      <c r="A14" s="13" t="str">
        <f t="array" ref="A14">IFERROR(INDEX(Combination!$E$2:$E$2628,MATCH(0,COUNTIF($A$2:A13,Combination!$E$2:$E$2628)+IF(Combination!$E$2:$E$2628="",1,0),0)),"")</f>
        <v>Inter Cars S.A., Poland</v>
      </c>
      <c r="B14" s="13">
        <f t="array" ref="B14">IFERROR(SMALL(IF(IF(Dashboard!$C$5="",TRUE(),ISNUMBER(SEARCH(Dashboard!$C$5,$A$2:$A$202))),ROW($A$2:$A$202)-ROW($A$2)+1),ROW()-ROW($B$2)+1),"")</f>
        <v>13</v>
      </c>
      <c r="C14" s="13" t="str">
        <f t="shared" si="0"/>
        <v>Inter Cars S.A., Poland</v>
      </c>
    </row>
    <row r="15" spans="1:3" ht="15" customHeight="1" x14ac:dyDescent="0.3">
      <c r="A15" s="13" t="str">
        <f t="array" ref="A15">IFERROR(INDEX(Combination!$E$2:$E$2628,MATCH(0,COUNTIF($A$2:A14,Combination!$E$2:$E$2628)+IF(Combination!$E$2:$E$2628="",1,0),0)),"")</f>
        <v>Supergrip International (Pvt) Ltd</v>
      </c>
      <c r="B15" s="13">
        <f t="array" ref="B15">IFERROR(SMALL(IF(IF(Dashboard!$C$5="",TRUE(),ISNUMBER(SEARCH(Dashboard!$C$5,$A$2:$A$202))),ROW($A$2:$A$202)-ROW($A$2)+1),ROW()-ROW($B$2)+1),"")</f>
        <v>14</v>
      </c>
      <c r="C15" s="13" t="str">
        <f t="shared" si="0"/>
        <v>Supergrip International (Pvt) Ltd</v>
      </c>
    </row>
    <row r="16" spans="1:3" ht="15" customHeight="1" x14ac:dyDescent="0.3">
      <c r="A16" s="13" t="str">
        <f t="array" ref="A16">IFERROR(INDEX(Combination!$E$2:$E$2628,MATCH(0,COUNTIF($A$2:A15,Combination!$E$2:$E$2628)+IF(Combination!$E$2:$E$2628="",1,0),0)),"")</f>
        <v>UAB Inter Cars Lietuva, Lithuania</v>
      </c>
      <c r="B16" s="13">
        <f t="array" ref="B16">IFERROR(SMALL(IF(IF(Dashboard!$C$5="",TRUE(),ISNUMBER(SEARCH(Dashboard!$C$5,$A$2:$A$202))),ROW($A$2:$A$202)-ROW($A$2)+1),ROW()-ROW($B$2)+1),"")</f>
        <v>15</v>
      </c>
      <c r="C16" s="13" t="str">
        <f t="shared" si="0"/>
        <v>UAB Inter Cars Lietuva, Lithuania</v>
      </c>
    </row>
    <row r="17" spans="1:3" ht="15" customHeight="1" x14ac:dyDescent="0.3">
      <c r="A17" s="13" t="str">
        <f t="array" ref="A17">IFERROR(INDEX(Combination!$E$2:$E$2628,MATCH(0,COUNTIF($A$2:A16,Combination!$E$2:$E$2628)+IF(Combination!$E$2:$E$2628="",1,0),0)),"")</f>
        <v>Vaal Tyre Centre Holdings (Pty) Ltd-S.A</v>
      </c>
      <c r="B17" s="13">
        <f t="array" ref="B17">IFERROR(SMALL(IF(IF(Dashboard!$C$5="",TRUE(),ISNUMBER(SEARCH(Dashboard!$C$5,$A$2:$A$202))),ROW($A$2:$A$202)-ROW($A$2)+1),ROW()-ROW($B$2)+1),"")</f>
        <v>16</v>
      </c>
      <c r="C17" s="13" t="str">
        <f t="shared" si="0"/>
        <v>Vaal Tyre Centre Holdings (Pty) Ltd-S.A</v>
      </c>
    </row>
    <row r="18" spans="1:3" ht="15" customHeight="1" x14ac:dyDescent="0.3">
      <c r="A18" s="13" t="str">
        <f t="array" ref="A18">IFERROR(INDEX(Combination!$E$2:$E$2628,MATCH(0,COUNTIF($A$2:A17,Combination!$E$2:$E$2628)+IF(Combination!$E$2:$E$2628="",1,0),0)),"")</f>
        <v>Intercars, Germany</v>
      </c>
      <c r="B18" s="13">
        <f t="array" ref="B18">IFERROR(SMALL(IF(IF(Dashboard!$C$5="",TRUE(),ISNUMBER(SEARCH(Dashboard!$C$5,$A$2:$A$202))),ROW($A$2:$A$202)-ROW($A$2)+1),ROW()-ROW($B$2)+1),"")</f>
        <v>17</v>
      </c>
      <c r="C18" s="13" t="str">
        <f t="shared" si="0"/>
        <v>Intercars, Germany</v>
      </c>
    </row>
    <row r="19" spans="1:3" ht="15" customHeight="1" x14ac:dyDescent="0.3">
      <c r="A19" s="13" t="str">
        <f t="array" ref="A19">IFERROR(INDEX(Combination!$E$2:$E$2628,MATCH(0,COUNTIF($A$2:A18,Combination!$E$2:$E$2628)+IF(Combination!$E$2:$E$2628="",1,0),0)),"")</f>
        <v>Inter Cars Bulgaria EOOD</v>
      </c>
      <c r="B19" s="13">
        <f t="array" ref="B19">IFERROR(SMALL(IF(IF(Dashboard!$C$5="",TRUE(),ISNUMBER(SEARCH(Dashboard!$C$5,$A$2:$A$202))),ROW($A$2:$A$202)-ROW($A$2)+1),ROW()-ROW($B$2)+1),"")</f>
        <v>18</v>
      </c>
      <c r="C19" s="13" t="str">
        <f t="shared" si="0"/>
        <v>Inter Cars Bulgaria EOOD</v>
      </c>
    </row>
    <row r="20" spans="1:3" ht="15" customHeight="1" x14ac:dyDescent="0.3">
      <c r="A20" s="13" t="str">
        <f t="array" ref="A20">IFERROR(INDEX(Combination!$E$2:$E$2628,MATCH(0,COUNTIF($A$2:A19,Combination!$E$2:$E$2628)+IF(Combination!$E$2:$E$2628="",1,0),0)),"")</f>
        <v>Acostallantas S.A, Colombia</v>
      </c>
      <c r="B20" s="13">
        <f t="array" ref="B20">IFERROR(SMALL(IF(IF(Dashboard!$C$5="",TRUE(),ISNUMBER(SEARCH(Dashboard!$C$5,$A$2:$A$202))),ROW($A$2:$A$202)-ROW($A$2)+1),ROW()-ROW($B$2)+1),"")</f>
        <v>19</v>
      </c>
      <c r="C20" s="13" t="str">
        <f t="shared" si="0"/>
        <v>Acostallantas S.A, Colombia</v>
      </c>
    </row>
    <row r="21" spans="1:3" ht="15" customHeight="1" x14ac:dyDescent="0.3">
      <c r="A21" s="13" t="str">
        <f t="array" ref="A21">IFERROR(INDEX(Combination!$E$2:$E$2628,MATCH(0,COUNTIF($A$2:A20,Combination!$E$2:$E$2628)+IF(Combination!$E$2:$E$2628="",1,0),0)),"")</f>
        <v>REDLLANTAS S.A</v>
      </c>
      <c r="B21" s="13">
        <f t="array" ref="B21">IFERROR(SMALL(IF(IF(Dashboard!$C$5="",TRUE(),ISNUMBER(SEARCH(Dashboard!$C$5,$A$2:$A$202))),ROW($A$2:$A$202)-ROW($A$2)+1),ROW()-ROW($B$2)+1),"")</f>
        <v>20</v>
      </c>
      <c r="C21" s="13" t="str">
        <f t="shared" si="0"/>
        <v>REDLLANTAS S.A</v>
      </c>
    </row>
    <row r="22" spans="1:3" ht="15" customHeight="1" x14ac:dyDescent="0.3">
      <c r="A22" s="13" t="str">
        <f t="array" ref="A22">IFERROR(INDEX(Combination!$E$2:$E$2628,MATCH(0,COUNTIF($A$2:A21,Combination!$E$2:$E$2628)+IF(Combination!$E$2:$E$2628="",1,0),0)),"")</f>
        <v>Nonime Enterprises, Srilanka</v>
      </c>
      <c r="B22" s="13">
        <f t="array" ref="B22">IFERROR(SMALL(IF(IF(Dashboard!$C$5="",TRUE(),ISNUMBER(SEARCH(Dashboard!$C$5,$A$2:$A$202))),ROW($A$2:$A$202)-ROW($A$2)+1),ROW()-ROW($B$2)+1),"")</f>
        <v>21</v>
      </c>
      <c r="C22" s="13" t="str">
        <f t="shared" si="0"/>
        <v>Nonime Enterprises, Srilanka</v>
      </c>
    </row>
    <row r="23" spans="1:3" ht="15" customHeight="1" x14ac:dyDescent="0.3">
      <c r="A23" s="13" t="str">
        <f t="array" ref="A23">IFERROR(INDEX(Combination!$E$2:$E$2628,MATCH(0,COUNTIF($A$2:A22,Combination!$E$2:$E$2628)+IF(Combination!$E$2:$E$2628="",1,0),0)),"")</f>
        <v>Tuncay Güç Mansa Kallpa External, Turkey</v>
      </c>
      <c r="B23" s="13">
        <f t="array" ref="B23">IFERROR(SMALL(IF(IF(Dashboard!$C$5="",TRUE(),ISNUMBER(SEARCH(Dashboard!$C$5,$A$2:$A$202))),ROW($A$2:$A$202)-ROW($A$2)+1),ROW()-ROW($B$2)+1),"")</f>
        <v>22</v>
      </c>
      <c r="C23" s="13" t="str">
        <f t="shared" si="0"/>
        <v>Tuncay Güç Mansa Kallpa External, Turkey</v>
      </c>
    </row>
    <row r="24" spans="1:3" ht="15" customHeight="1" x14ac:dyDescent="0.3">
      <c r="A24" s="13" t="str">
        <f t="array" ref="A24">IFERROR(INDEX(Combination!$E$2:$E$2628,MATCH(0,COUNTIF($A$2:A23,Combination!$E$2:$E$2628)+IF(Combination!$E$2:$E$2628="",1,0),0)),"")</f>
        <v>Inter Cars d.o.o., Croatia</v>
      </c>
      <c r="B24" s="13">
        <f t="array" ref="B24">IFERROR(SMALL(IF(IF(Dashboard!$C$5="",TRUE(),ISNUMBER(SEARCH(Dashboard!$C$5,$A$2:$A$202))),ROW($A$2:$A$202)-ROW($A$2)+1),ROW()-ROW($B$2)+1),"")</f>
        <v>23</v>
      </c>
      <c r="C24" s="13" t="str">
        <f t="shared" si="0"/>
        <v>Inter Cars d.o.o., Croatia</v>
      </c>
    </row>
    <row r="25" spans="1:3" ht="15" customHeight="1" x14ac:dyDescent="0.3">
      <c r="A25" s="13" t="str">
        <f t="array" ref="A25">IFERROR(INDEX(Combination!$E$2:$E$2628,MATCH(0,COUNTIF($A$2:A24,Combination!$E$2:$E$2628)+IF(Combination!$E$2:$E$2628="",1,0),0)),"")</f>
        <v>Inter Cars Romania Srl</v>
      </c>
      <c r="B25" s="13">
        <f t="array" ref="B25">IFERROR(SMALL(IF(IF(Dashboard!$C$5="",TRUE(),ISNUMBER(SEARCH(Dashboard!$C$5,$A$2:$A$202))),ROW($A$2:$A$202)-ROW($A$2)+1),ROW()-ROW($B$2)+1),"")</f>
        <v>24</v>
      </c>
      <c r="C25" s="13" t="str">
        <f t="shared" si="0"/>
        <v>Inter Cars Romania Srl</v>
      </c>
    </row>
    <row r="26" spans="1:3" ht="15" customHeight="1" x14ac:dyDescent="0.3">
      <c r="A26" s="13" t="str">
        <f t="array" ref="A26">IFERROR(INDEX(Combination!$E$2:$E$2628,MATCH(0,COUNTIF($A$2:A25,Combination!$E$2:$E$2628)+IF(Combination!$E$2:$E$2628="",1,0),0)),"")</f>
        <v>Inter Cars Greece Ltd</v>
      </c>
      <c r="B26" s="13">
        <f t="array" ref="B26">IFERROR(SMALL(IF(IF(Dashboard!$C$5="",TRUE(),ISNUMBER(SEARCH(Dashboard!$C$5,$A$2:$A$202))),ROW($A$2:$A$202)-ROW($A$2)+1),ROW()-ROW($B$2)+1),"")</f>
        <v>25</v>
      </c>
      <c r="C26" s="13" t="str">
        <f t="shared" si="0"/>
        <v>Inter Cars Greece Ltd</v>
      </c>
    </row>
    <row r="27" spans="1:3" ht="15" customHeight="1" x14ac:dyDescent="0.3">
      <c r="A27" s="13" t="str">
        <f t="array" ref="A27">IFERROR(INDEX(Combination!$E$2:$E$2628,MATCH(0,COUNTIF($A$2:A26,Combination!$E$2:$E$2628)+IF(Combination!$E$2:$E$2628="",1,0),0)),"")</f>
        <v>ROAD FORCE AUTO SPARE PARTS-Sharjah</v>
      </c>
      <c r="B27" s="13">
        <f t="array" ref="B27">IFERROR(SMALL(IF(IF(Dashboard!$C$5="",TRUE(),ISNUMBER(SEARCH(Dashboard!$C$5,$A$2:$A$202))),ROW($A$2:$A$202)-ROW($A$2)+1),ROW()-ROW($B$2)+1),"")</f>
        <v>26</v>
      </c>
      <c r="C27" s="13" t="str">
        <f t="shared" si="0"/>
        <v>ROAD FORCE AUTO SPARE PARTS-Sharjah</v>
      </c>
    </row>
    <row r="28" spans="1:3" ht="15" customHeight="1" x14ac:dyDescent="0.3">
      <c r="A28" s="13" t="str">
        <f t="array" ref="A28">IFERROR(INDEX(Combination!$E$2:$E$2628,MATCH(0,COUNTIF($A$2:A27,Combination!$E$2:$E$2628)+IF(Combination!$E$2:$E$2628="",1,0),0)),"")</f>
        <v>AHMED YOUSIF ABDULHADI ALMAILEM &amp; B, Kuwait</v>
      </c>
      <c r="B28" s="13">
        <f t="array" ref="B28">IFERROR(SMALL(IF(IF(Dashboard!$C$5="",TRUE(),ISNUMBER(SEARCH(Dashboard!$C$5,$A$2:$A$202))),ROW($A$2:$A$202)-ROW($A$2)+1),ROW()-ROW($B$2)+1),"")</f>
        <v>27</v>
      </c>
      <c r="C28" s="13" t="str">
        <f t="shared" si="0"/>
        <v>AHMED YOUSIF ABDULHADI ALMAILEM &amp; B, Kuwait</v>
      </c>
    </row>
    <row r="29" spans="1:3" ht="15" customHeight="1" x14ac:dyDescent="0.3">
      <c r="A29" s="13" t="str">
        <f t="array" ref="A29">IFERROR(INDEX(Combination!$E$2:$E$2628,MATCH(0,COUNTIF($A$2:A28,Combination!$E$2:$E$2628)+IF(Combination!$E$2:$E$2628="",1,0),0)),"")</f>
        <v>Rappazzo Neumaticos S.A, Argentina</v>
      </c>
      <c r="B29" s="13">
        <f t="array" ref="B29">IFERROR(SMALL(IF(IF(Dashboard!$C$5="",TRUE(),ISNUMBER(SEARCH(Dashboard!$C$5,$A$2:$A$202))),ROW($A$2:$A$202)-ROW($A$2)+1),ROW()-ROW($B$2)+1),"")</f>
        <v>28</v>
      </c>
      <c r="C29" s="13" t="str">
        <f t="shared" si="0"/>
        <v>Rappazzo Neumaticos S.A, Argentina</v>
      </c>
    </row>
    <row r="30" spans="1:3" ht="15" customHeight="1" x14ac:dyDescent="0.3">
      <c r="A30" s="13" t="str">
        <f t="array" ref="A30">IFERROR(INDEX(Combination!$E$2:$E$2628,MATCH(0,COUNTIF($A$2:A29,Combination!$E$2:$E$2628)+IF(Combination!$E$2:$E$2628="",1,0),0)),"")</f>
        <v>Correa Tire Distributor Inc, Puerte Rico</v>
      </c>
      <c r="B30" s="13">
        <f t="array" ref="B30">IFERROR(SMALL(IF(IF(Dashboard!$C$5="",TRUE(),ISNUMBER(SEARCH(Dashboard!$C$5,$A$2:$A$202))),ROW($A$2:$A$202)-ROW($A$2)+1),ROW()-ROW($B$2)+1),"")</f>
        <v>29</v>
      </c>
      <c r="C30" s="13" t="str">
        <f t="shared" si="0"/>
        <v>Correa Tire Distributor Inc, Puerte Rico</v>
      </c>
    </row>
    <row r="31" spans="1:3" ht="15" customHeight="1" x14ac:dyDescent="0.3">
      <c r="A31" s="13" t="str">
        <f t="array" ref="A31">IFERROR(INDEX(Combination!$E$2:$E$2628,MATCH(0,COUNTIF($A$2:A30,Combination!$E$2:$E$2628)+IF(Combination!$E$2:$E$2628="",1,0),0)),"")</f>
        <v>CPX DISTRIBUIDORA S/A-Navegantes</v>
      </c>
      <c r="B31" s="13">
        <f t="array" ref="B31">IFERROR(SMALL(IF(IF(Dashboard!$C$5="",TRUE(),ISNUMBER(SEARCH(Dashboard!$C$5,$A$2:$A$202))),ROW($A$2:$A$202)-ROW($A$2)+1),ROW()-ROW($B$2)+1),"")</f>
        <v>30</v>
      </c>
      <c r="C31" s="13" t="str">
        <f t="shared" si="0"/>
        <v>CPX DISTRIBUIDORA S/A-Navegantes</v>
      </c>
    </row>
    <row r="32" spans="1:3" ht="15" customHeight="1" x14ac:dyDescent="0.3">
      <c r="A32" s="13" t="str">
        <f t="array" ref="A32">IFERROR(INDEX(Combination!$E$2:$E$2628,MATCH(0,COUNTIF($A$2:A31,Combination!$E$2:$E$2628)+IF(Combination!$E$2:$E$2628="",1,0),0)),"")</f>
        <v>SIA Inter Cars Latvija</v>
      </c>
      <c r="B32" s="13">
        <f t="array" ref="B32">IFERROR(SMALL(IF(IF(Dashboard!$C$5="",TRUE(),ISNUMBER(SEARCH(Dashboard!$C$5,$A$2:$A$202))),ROW($A$2:$A$202)-ROW($A$2)+1),ROW()-ROW($B$2)+1),"")</f>
        <v>31</v>
      </c>
      <c r="C32" s="13" t="str">
        <f t="shared" si="0"/>
        <v>SIA Inter Cars Latvija</v>
      </c>
    </row>
    <row r="33" spans="1:3" ht="15" customHeight="1" x14ac:dyDescent="0.3">
      <c r="A33" s="13" t="str">
        <f t="array" ref="A33">IFERROR(INDEX(Combination!$E$2:$E$2628,MATCH(0,COUNTIF($A$2:A32,Combination!$E$2:$E$2628)+IF(Combination!$E$2:$E$2628="",1,0),0)),"")</f>
        <v>LLANTAS NARINO SAS, Columbia</v>
      </c>
      <c r="B33" s="13">
        <f t="array" ref="B33">IFERROR(SMALL(IF(IF(Dashboard!$C$5="",TRUE(),ISNUMBER(SEARCH(Dashboard!$C$5,$A$2:$A$202))),ROW($A$2:$A$202)-ROW($A$2)+1),ROW()-ROW($B$2)+1),"")</f>
        <v>32</v>
      </c>
      <c r="C33" s="13" t="str">
        <f t="shared" si="0"/>
        <v>LLANTAS NARINO SAS, Columbia</v>
      </c>
    </row>
    <row r="34" spans="1:3" ht="15" customHeight="1" x14ac:dyDescent="0.3">
      <c r="A34" s="13" t="str">
        <f t="array" ref="A34">IFERROR(INDEX(Combination!$E$2:$E$2628,MATCH(0,COUNTIF($A$2:A33,Combination!$E$2:$E$2628)+IF(Combination!$E$2:$E$2628="",1,0),0)),"")</f>
        <v>PC Tyres, Mexico</v>
      </c>
      <c r="B34" s="13">
        <f t="array" ref="B34">IFERROR(SMALL(IF(IF(Dashboard!$C$5="",TRUE(),ISNUMBER(SEARCH(Dashboard!$C$5,$A$2:$A$202))),ROW($A$2:$A$202)-ROW($A$2)+1),ROW()-ROW($B$2)+1),"")</f>
        <v>33</v>
      </c>
      <c r="C34" s="13" t="str">
        <f t="shared" si="0"/>
        <v>PC Tyres, Mexico</v>
      </c>
    </row>
    <row r="35" spans="1:3" ht="15" customHeight="1" x14ac:dyDescent="0.3">
      <c r="A35" s="13" t="str">
        <f t="array" ref="A35">IFERROR(INDEX(Combination!$E$2:$E$2628,MATCH(0,COUNTIF($A$2:A34,Combination!$E$2:$E$2628)+IF(Combination!$E$2:$E$2628="",1,0),0)),"")</f>
        <v>Sharma International, Kuwait</v>
      </c>
      <c r="B35" s="13">
        <f t="array" ref="B35">IFERROR(SMALL(IF(IF(Dashboard!$C$5="",TRUE(),ISNUMBER(SEARCH(Dashboard!$C$5,$A$2:$A$202))),ROW($A$2:$A$202)-ROW($A$2)+1),ROW()-ROW($B$2)+1),"")</f>
        <v>34</v>
      </c>
      <c r="C35" s="13" t="str">
        <f t="shared" si="0"/>
        <v>Sharma International, Kuwait</v>
      </c>
    </row>
    <row r="36" spans="1:3" ht="15" customHeight="1" x14ac:dyDescent="0.3">
      <c r="A36" s="13" t="str">
        <f t="array" ref="A36">IFERROR(INDEX(Combination!$E$2:$E$2628,MATCH(0,COUNTIF($A$2:A35,Combination!$E$2:$E$2628)+IF(Combination!$E$2:$E$2628="",1,0),0)),"")</f>
        <v>BAHWAN MOTORS AUTO ACCESSORIES TRAD</v>
      </c>
      <c r="B36" s="13">
        <f t="array" ref="B36">IFERROR(SMALL(IF(IF(Dashboard!$C$5="",TRUE(),ISNUMBER(SEARCH(Dashboard!$C$5,$A$2:$A$202))),ROW($A$2:$A$202)-ROW($A$2)+1),ROW()-ROW($B$2)+1),"")</f>
        <v>35</v>
      </c>
      <c r="C36" s="13" t="str">
        <f t="shared" si="0"/>
        <v>BAHWAN MOTORS AUTO ACCESSORIES TRAD</v>
      </c>
    </row>
    <row r="37" spans="1:3" ht="15" customHeight="1" x14ac:dyDescent="0.3">
      <c r="A37" s="13" t="str">
        <f t="array" ref="A37">IFERROR(INDEX(Combination!$E$2:$E$2628,MATCH(0,COUNTIF($A$2:A36,Combination!$E$2:$E$2628)+IF(Combination!$E$2:$E$2628="",1,0),0)),"")</f>
        <v>West Lake Russia Co. Ltd.</v>
      </c>
      <c r="B37" s="13">
        <f t="array" ref="B37">IFERROR(SMALL(IF(IF(Dashboard!$C$5="",TRUE(),ISNUMBER(SEARCH(Dashboard!$C$5,$A$2:$A$202))),ROW($A$2:$A$202)-ROW($A$2)+1),ROW()-ROW($B$2)+1),"")</f>
        <v>36</v>
      </c>
      <c r="C37" s="13" t="str">
        <f t="shared" si="0"/>
        <v>West Lake Russia Co. Ltd.</v>
      </c>
    </row>
    <row r="38" spans="1:3" ht="15" customHeight="1" x14ac:dyDescent="0.3">
      <c r="A38" s="13" t="str">
        <f t="array" ref="A38">IFERROR(INDEX(Combination!$E$2:$E$2628,MATCH(0,COUNTIF($A$2:A37,Combination!$E$2:$E$2628)+IF(Combination!$E$2:$E$2628="",1,0),0)),"")</f>
        <v>Fintyre Spa, Italy</v>
      </c>
      <c r="B38" s="13">
        <f t="array" ref="B38">IFERROR(SMALL(IF(IF(Dashboard!$C$5="",TRUE(),ISNUMBER(SEARCH(Dashboard!$C$5,$A$2:$A$202))),ROW($A$2:$A$202)-ROW($A$2)+1),ROW()-ROW($B$2)+1),"")</f>
        <v>37</v>
      </c>
      <c r="C38" s="13" t="str">
        <f t="shared" si="0"/>
        <v>Fintyre Spa, Italy</v>
      </c>
    </row>
    <row r="39" spans="1:3" ht="15" customHeight="1" x14ac:dyDescent="0.3">
      <c r="A39" s="13" t="str">
        <f t="array" ref="A39">IFERROR(INDEX(Combination!$E$2:$E$2628,MATCH(0,COUNTIF($A$2:A38,Combination!$E$2:$E$2628)+IF(Combination!$E$2:$E$2628="",1,0),0)),"")</f>
        <v>INVERSIONES Y SERVICIOS BRIFABR  I E.</v>
      </c>
      <c r="B39" s="13">
        <f t="array" ref="B39">IFERROR(SMALL(IF(IF(Dashboard!$C$5="",TRUE(),ISNUMBER(SEARCH(Dashboard!$C$5,$A$2:$A$202))),ROW($A$2:$A$202)-ROW($A$2)+1),ROW()-ROW($B$2)+1),"")</f>
        <v>38</v>
      </c>
      <c r="C39" s="13" t="str">
        <f t="shared" si="0"/>
        <v>INVERSIONES Y SERVICIOS BRIFABR  I E.</v>
      </c>
    </row>
    <row r="40" spans="1:3" ht="15" customHeight="1" x14ac:dyDescent="0.3">
      <c r="A40" s="13" t="str">
        <f t="array" ref="A40">IFERROR(INDEX(Combination!$E$2:$E$2628,MATCH(0,COUNTIF($A$2:A39,Combination!$E$2:$E$2628)+IF(Combination!$E$2:$E$2628="",1,0),0)),"")</f>
        <v>INVERSIONES Y SERVICIOS BRIFABRI E.</v>
      </c>
      <c r="B40" s="13">
        <f t="array" ref="B40">IFERROR(SMALL(IF(IF(Dashboard!$C$5="",TRUE(),ISNUMBER(SEARCH(Dashboard!$C$5,$A$2:$A$202))),ROW($A$2:$A$202)-ROW($A$2)+1),ROW()-ROW($B$2)+1),"")</f>
        <v>39</v>
      </c>
      <c r="C40" s="13" t="str">
        <f t="shared" si="0"/>
        <v>INVERSIONES Y SERVICIOS BRIFABRI E.</v>
      </c>
    </row>
    <row r="41" spans="1:3" ht="15" customHeight="1" x14ac:dyDescent="0.3">
      <c r="A41" s="13" t="str">
        <f t="array" ref="A41">IFERROR(INDEX(Combination!$E$2:$E$2628,MATCH(0,COUNTIF($A$2:A40,Combination!$E$2:$E$2628)+IF(Combination!$E$2:$E$2628="",1,0),0)),"")</f>
        <v>MSK Egypt For Import and Export</v>
      </c>
      <c r="B41" s="13">
        <f t="array" ref="B41">IFERROR(SMALL(IF(IF(Dashboard!$C$5="",TRUE(),ISNUMBER(SEARCH(Dashboard!$C$5,$A$2:$A$202))),ROW($A$2:$A$202)-ROW($A$2)+1),ROW()-ROW($B$2)+1),"")</f>
        <v>40</v>
      </c>
      <c r="C41" s="13" t="str">
        <f t="shared" si="0"/>
        <v>MSK Egypt For Import and Export</v>
      </c>
    </row>
    <row r="42" spans="1:3" ht="15" customHeight="1" x14ac:dyDescent="0.3">
      <c r="A42" s="13" t="str">
        <f t="array" ref="A42">IFERROR(INDEX(Combination!$E$2:$E$2628,MATCH(0,COUNTIF($A$2:A41,Combination!$E$2:$E$2628)+IF(Combination!$E$2:$E$2628="",1,0),0)),"")</f>
        <v>Intess International, Brazil</v>
      </c>
      <c r="B42" s="13">
        <f t="array" ref="B42">IFERROR(SMALL(IF(IF(Dashboard!$C$5="",TRUE(),ISNUMBER(SEARCH(Dashboard!$C$5,$A$2:$A$202))),ROW($A$2:$A$202)-ROW($A$2)+1),ROW()-ROW($B$2)+1),"")</f>
        <v>41</v>
      </c>
      <c r="C42" s="13" t="str">
        <f t="shared" si="0"/>
        <v>Intess International, Brazil</v>
      </c>
    </row>
    <row r="43" spans="1:3" ht="15" customHeight="1" x14ac:dyDescent="0.3">
      <c r="A43" s="13" t="str">
        <f t="array" ref="A43">IFERROR(INDEX(Combination!$E$2:$E$2628,MATCH(0,COUNTIF($A$2:A42,Combination!$E$2:$E$2628)+IF(Combination!$E$2:$E$2628="",1,0),0)),"")</f>
        <v>Unus Holding Ltda., Brazil</v>
      </c>
      <c r="B43" s="13">
        <f t="array" ref="B43">IFERROR(SMALL(IF(IF(Dashboard!$C$5="",TRUE(),ISNUMBER(SEARCH(Dashboard!$C$5,$A$2:$A$202))),ROW($A$2:$A$202)-ROW($A$2)+1),ROW()-ROW($B$2)+1),"")</f>
        <v>42</v>
      </c>
      <c r="C43" s="13" t="str">
        <f t="shared" si="0"/>
        <v>Unus Holding Ltda., Brazil</v>
      </c>
    </row>
    <row r="44" spans="1:3" ht="15" customHeight="1" x14ac:dyDescent="0.3">
      <c r="A44" s="13" t="str">
        <f t="array" ref="A44">IFERROR(INDEX(Combination!$E$2:$E$2628,MATCH(0,COUNTIF($A$2:A43,Combination!$E$2:$E$2628)+IF(Combination!$E$2:$E$2628="",1,0),0)),"")</f>
        <v>Inter Cars Hungaria Kft</v>
      </c>
      <c r="B44" s="13">
        <f t="array" ref="B44">IFERROR(SMALL(IF(IF(Dashboard!$C$5="",TRUE(),ISNUMBER(SEARCH(Dashboard!$C$5,$A$2:$A$202))),ROW($A$2:$A$202)-ROW($A$2)+1),ROW()-ROW($B$2)+1),"")</f>
        <v>43</v>
      </c>
      <c r="C44" s="13" t="str">
        <f t="shared" si="0"/>
        <v>Inter Cars Hungaria Kft</v>
      </c>
    </row>
    <row r="45" spans="1:3" ht="15" customHeight="1" x14ac:dyDescent="0.3">
      <c r="A45" s="13" t="str">
        <f t="array" ref="A45">IFERROR(INDEX(Combination!$E$2:$E$2628,MATCH(0,COUNTIF($A$2:A44,Combination!$E$2:$E$2628)+IF(Combination!$E$2:$E$2628="",1,0),0)),"")</f>
        <v>GRUPO IAL E.I.R.L.</v>
      </c>
      <c r="B45" s="13">
        <f t="array" ref="B45">IFERROR(SMALL(IF(IF(Dashboard!$C$5="",TRUE(),ISNUMBER(SEARCH(Dashboard!$C$5,$A$2:$A$202))),ROW($A$2:$A$202)-ROW($A$2)+1),ROW()-ROW($B$2)+1),"")</f>
        <v>44</v>
      </c>
      <c r="C45" s="13" t="str">
        <f t="shared" si="0"/>
        <v>GRUPO IAL E.I.R.L.</v>
      </c>
    </row>
    <row r="46" spans="1:3" ht="15" customHeight="1" x14ac:dyDescent="0.3">
      <c r="A46" s="13" t="str">
        <f t="array" ref="A46">IFERROR(INDEX(Combination!$E$2:$E$2628,MATCH(0,COUNTIF($A$2:A45,Combination!$E$2:$E$2628)+IF(Combination!$E$2:$E$2628="",1,0),0)),"")</f>
        <v>Inter Cars INT d.o.o. Slovenia</v>
      </c>
      <c r="B46" s="13">
        <f t="array" ref="B46">IFERROR(SMALL(IF(IF(Dashboard!$C$5="",TRUE(),ISNUMBER(SEARCH(Dashboard!$C$5,$A$2:$A$202))),ROW($A$2:$A$202)-ROW($A$2)+1),ROW()-ROW($B$2)+1),"")</f>
        <v>45</v>
      </c>
      <c r="C46" s="13" t="str">
        <f t="shared" si="0"/>
        <v>Inter Cars INT d.o.o. Slovenia</v>
      </c>
    </row>
    <row r="47" spans="1:3" ht="15" customHeight="1" x14ac:dyDescent="0.3">
      <c r="A47" s="13" t="str">
        <f t="array" ref="A47">IFERROR(INDEX(Combination!$E$2:$E$2628,MATCH(0,COUNTIF($A$2:A46,Combination!$E$2:$E$2628)+IF(Combination!$E$2:$E$2628="",1,0),0)),"")</f>
        <v>Suministros y Exportaciones Primor</v>
      </c>
      <c r="B47" s="13">
        <f t="array" ref="B47">IFERROR(SMALL(IF(IF(Dashboard!$C$5="",TRUE(),ISNUMBER(SEARCH(Dashboard!$C$5,$A$2:$A$202))),ROW($A$2:$A$202)-ROW($A$2)+1),ROW()-ROW($B$2)+1),"")</f>
        <v>46</v>
      </c>
      <c r="C47" s="13" t="str">
        <f t="shared" si="0"/>
        <v>Suministros y Exportaciones Primor</v>
      </c>
    </row>
    <row r="48" spans="1:3" ht="15" customHeight="1" x14ac:dyDescent="0.3">
      <c r="A48" s="13" t="str">
        <f t="array" ref="A48">IFERROR(INDEX(Combination!$E$2:$E$2628,MATCH(0,COUNTIF($A$2:A47,Combination!$E$2:$E$2628)+IF(Combination!$E$2:$E$2628="",1,0),0)),"")</f>
        <v>Get A Grip Tyres Pty Ltd, Australia</v>
      </c>
      <c r="B48" s="13">
        <f t="array" ref="B48">IFERROR(SMALL(IF(IF(Dashboard!$C$5="",TRUE(),ISNUMBER(SEARCH(Dashboard!$C$5,$A$2:$A$202))),ROW($A$2:$A$202)-ROW($A$2)+1),ROW()-ROW($B$2)+1),"")</f>
        <v>47</v>
      </c>
      <c r="C48" s="13" t="str">
        <f t="shared" si="0"/>
        <v>Get A Grip Tyres Pty Ltd, Australia</v>
      </c>
    </row>
    <row r="49" spans="1:3" ht="15" customHeight="1" x14ac:dyDescent="0.3">
      <c r="A49" s="13" t="str">
        <f t="array" ref="A49">IFERROR(INDEX(Combination!$E$2:$E$2628,MATCH(0,COUNTIF($A$2:A48,Combination!$E$2:$E$2628)+IF(Combination!$E$2:$E$2628="",1,0),0)),"")</f>
        <v>UBTS Pte Ltd-Singapore</v>
      </c>
      <c r="B49" s="13">
        <f t="array" ref="B49">IFERROR(SMALL(IF(IF(Dashboard!$C$5="",TRUE(),ISNUMBER(SEARCH(Dashboard!$C$5,$A$2:$A$202))),ROW($A$2:$A$202)-ROW($A$2)+1),ROW()-ROW($B$2)+1),"")</f>
        <v>48</v>
      </c>
      <c r="C49" s="13" t="str">
        <f t="shared" si="0"/>
        <v>UBTS Pte Ltd-Singapore</v>
      </c>
    </row>
    <row r="50" spans="1:3" ht="15" customHeight="1" x14ac:dyDescent="0.3">
      <c r="A50" s="13" t="str">
        <f t="array" ref="A50">IFERROR(INDEX(Combination!$E$2:$E$2628,MATCH(0,COUNTIF($A$2:A49,Combination!$E$2:$E$2628)+IF(Combination!$E$2:$E$2628="",1,0),0)),"")</f>
        <v>Autopiezas Comercial E Industrial</v>
      </c>
      <c r="B50" s="13">
        <f t="array" ref="B50">IFERROR(SMALL(IF(IF(Dashboard!$C$5="",TRUE(),ISNUMBER(SEARCH(Dashboard!$C$5,$A$2:$A$202))),ROW($A$2:$A$202)-ROW($A$2)+1),ROW()-ROW($B$2)+1),"")</f>
        <v>49</v>
      </c>
      <c r="C50" s="13" t="str">
        <f t="shared" si="0"/>
        <v>Autopiezas Comercial E Industrial</v>
      </c>
    </row>
    <row r="51" spans="1:3" ht="15" customHeight="1" x14ac:dyDescent="0.3">
      <c r="A51" s="13" t="str">
        <f t="array" ref="A51">IFERROR(INDEX(Combination!$E$2:$E$2628,MATCH(0,COUNTIF($A$2:A50,Combination!$E$2:$E$2628)+IF(Combination!$E$2:$E$2628="",1,0),0)),"")</f>
        <v>Transcar Vladi EOOD</v>
      </c>
      <c r="B51" s="13">
        <f t="array" ref="B51">IFERROR(SMALL(IF(IF(Dashboard!$C$5="",TRUE(),ISNUMBER(SEARCH(Dashboard!$C$5,$A$2:$A$202))),ROW($A$2:$A$202)-ROW($A$2)+1),ROW()-ROW($B$2)+1),"")</f>
        <v>50</v>
      </c>
      <c r="C51" s="13" t="str">
        <f t="shared" si="0"/>
        <v>Transcar Vladi EOOD</v>
      </c>
    </row>
    <row r="52" spans="1:3" ht="15" customHeight="1" x14ac:dyDescent="0.3">
      <c r="A52" s="13" t="str">
        <f t="array" ref="A52">IFERROR(INDEX(Combination!$E$2:$E$2628,MATCH(0,COUNTIF($A$2:A51,Combination!$E$2:$E$2628)+IF(Combination!$E$2:$E$2628="",1,0),0)),"")</f>
        <v>Gastaldi Gomme SNC di Gastaldi</v>
      </c>
      <c r="B52" s="13">
        <f t="array" ref="B52">IFERROR(SMALL(IF(IF(Dashboard!$C$5="",TRUE(),ISNUMBER(SEARCH(Dashboard!$C$5,$A$2:$A$202))),ROW($A$2:$A$202)-ROW($A$2)+1),ROW()-ROW($B$2)+1),"")</f>
        <v>51</v>
      </c>
      <c r="C52" s="13" t="str">
        <f t="shared" si="0"/>
        <v>Gastaldi Gomme SNC di Gastaldi</v>
      </c>
    </row>
    <row r="53" spans="1:3" ht="15" customHeight="1" x14ac:dyDescent="0.3">
      <c r="A53" s="13" t="str">
        <f t="array" ref="A53">IFERROR(INDEX(Combination!$E$2:$E$2628,MATCH(0,COUNTIF($A$2:A52,Combination!$E$2:$E$2628)+IF(Combination!$E$2:$E$2628="",1,0),0)),"")</f>
        <v>ROYAL TYRES COMMERCIAL (PTY) LTD</v>
      </c>
      <c r="B53" s="13">
        <f t="array" ref="B53">IFERROR(SMALL(IF(IF(Dashboard!$C$5="",TRUE(),ISNUMBER(SEARCH(Dashboard!$C$5,$A$2:$A$202))),ROW($A$2:$A$202)-ROW($A$2)+1),ROW()-ROW($B$2)+1),"")</f>
        <v>52</v>
      </c>
      <c r="C53" s="13" t="str">
        <f t="shared" si="0"/>
        <v>ROYAL TYRES COMMERCIAL (PTY) LTD</v>
      </c>
    </row>
    <row r="54" spans="1:3" ht="15" customHeight="1" x14ac:dyDescent="0.3">
      <c r="A54" s="13" t="str">
        <f t="array" ref="A54">IFERROR(INDEX(Combination!$E$2:$E$2628,MATCH(0,COUNTIF($A$2:A53,Combination!$E$2:$E$2628)+IF(Combination!$E$2:$E$2628="",1,0),0)),"")</f>
        <v>Bodegas, Mexico</v>
      </c>
      <c r="B54" s="13">
        <f t="array" ref="B54">IFERROR(SMALL(IF(IF(Dashboard!$C$5="",TRUE(),ISNUMBER(SEARCH(Dashboard!$C$5,$A$2:$A$202))),ROW($A$2:$A$202)-ROW($A$2)+1),ROW()-ROW($B$2)+1),"")</f>
        <v>53</v>
      </c>
      <c r="C54" s="13" t="str">
        <f t="shared" si="0"/>
        <v>Bodegas, Mexico</v>
      </c>
    </row>
    <row r="55" spans="1:3" ht="15" customHeight="1" x14ac:dyDescent="0.3">
      <c r="A55" s="13" t="str">
        <f t="array" ref="A55">IFERROR(INDEX(Combination!$E$2:$E$2628,MATCH(0,COUNTIF($A$2:A54,Combination!$E$2:$E$2628)+IF(Combination!$E$2:$E$2628="",1,0),0)),"")</f>
        <v>Copadex, France</v>
      </c>
      <c r="B55" s="13">
        <f t="array" ref="B55">IFERROR(SMALL(IF(IF(Dashboard!$C$5="",TRUE(),ISNUMBER(SEARCH(Dashboard!$C$5,$A$2:$A$202))),ROW($A$2:$A$202)-ROW($A$2)+1),ROW()-ROW($B$2)+1),"")</f>
        <v>54</v>
      </c>
      <c r="C55" s="13" t="str">
        <f t="shared" si="0"/>
        <v>Copadex, France</v>
      </c>
    </row>
    <row r="56" spans="1:3" ht="15" customHeight="1" x14ac:dyDescent="0.3">
      <c r="A56" s="13" t="str">
        <f t="array" ref="A56">IFERROR(INDEX(Combination!$E$2:$E$2628,MATCH(0,COUNTIF($A$2:A55,Combination!$E$2:$E$2628)+IF(Combination!$E$2:$E$2628="",1,0),0)),"")</f>
        <v>EASA SALEH AL GURG TYRES BATTERIES</v>
      </c>
      <c r="B56" s="13">
        <f t="array" ref="B56">IFERROR(SMALL(IF(IF(Dashboard!$C$5="",TRUE(),ISNUMBER(SEARCH(Dashboard!$C$5,$A$2:$A$202))),ROW($A$2:$A$202)-ROW($A$2)+1),ROW()-ROW($B$2)+1),"")</f>
        <v>55</v>
      </c>
      <c r="C56" s="13" t="str">
        <f t="shared" si="0"/>
        <v>EASA SALEH AL GURG TYRES BATTERIES</v>
      </c>
    </row>
    <row r="57" spans="1:3" ht="15" customHeight="1" x14ac:dyDescent="0.3">
      <c r="A57" s="13" t="str">
        <f t="array" ref="A57">IFERROR(INDEX(Combination!$E$2:$E$2628,MATCH(0,COUNTIF($A$2:A56,Combination!$E$2:$E$2628)+IF(Combination!$E$2:$E$2628="",1,0),0)),"")</f>
        <v>Primex EOOD</v>
      </c>
      <c r="B57" s="13">
        <f t="array" ref="B57">IFERROR(SMALL(IF(IF(Dashboard!$C$5="",TRUE(),ISNUMBER(SEARCH(Dashboard!$C$5,$A$2:$A$202))),ROW($A$2:$A$202)-ROW($A$2)+1),ROW()-ROW($B$2)+1),"")</f>
        <v>56</v>
      </c>
      <c r="C57" s="13" t="str">
        <f t="shared" si="0"/>
        <v>Primex EOOD</v>
      </c>
    </row>
    <row r="58" spans="1:3" ht="15" customHeight="1" x14ac:dyDescent="0.3">
      <c r="A58" s="13" t="str">
        <f t="array" ref="A58">IFERROR(INDEX(Combination!$E$2:$E$2628,MATCH(0,COUNTIF($A$2:A57,Combination!$E$2:$E$2628)+IF(Combination!$E$2:$E$2628="",1,0),0)),"")</f>
        <v>SUMERU GLOBAL DMCC, Tanzania</v>
      </c>
      <c r="B58" s="13">
        <f t="array" ref="B58">IFERROR(SMALL(IF(IF(Dashboard!$C$5="",TRUE(),ISNUMBER(SEARCH(Dashboard!$C$5,$A$2:$A$202))),ROW($A$2:$A$202)-ROW($A$2)+1),ROW()-ROW($B$2)+1),"")</f>
        <v>57</v>
      </c>
      <c r="C58" s="13" t="str">
        <f t="shared" si="0"/>
        <v>SUMERU GLOBAL DMCC, Tanzania</v>
      </c>
    </row>
    <row r="59" spans="1:3" ht="15" customHeight="1" x14ac:dyDescent="0.3">
      <c r="A59" s="13" t="str">
        <f t="array" ref="A59">IFERROR(INDEX(Combination!$E$2:$E$2628,MATCH(0,COUNTIF($A$2:A58,Combination!$E$2:$E$2628)+IF(Combination!$E$2:$E$2628="",1,0),0)),"")</f>
        <v>UNITED MOTORS AND HEAVY EQUIPMENT</v>
      </c>
      <c r="B59" s="13">
        <f t="array" ref="B59">IFERROR(SMALL(IF(IF(Dashboard!$C$5="",TRUE(),ISNUMBER(SEARCH(Dashboard!$C$5,$A$2:$A$202))),ROW($A$2:$A$202)-ROW($A$2)+1),ROW()-ROW($B$2)+1),"")</f>
        <v>58</v>
      </c>
      <c r="C59" s="13" t="str">
        <f t="shared" si="0"/>
        <v>UNITED MOTORS AND HEAVY EQUIPMENT</v>
      </c>
    </row>
    <row r="60" spans="1:3" ht="15" customHeight="1" x14ac:dyDescent="0.3">
      <c r="A60" s="13" t="str">
        <f t="array" ref="A60">IFERROR(INDEX(Combination!$E$2:$E$2628,MATCH(0,COUNTIF($A$2:A59,Combination!$E$2:$E$2628)+IF(Combination!$E$2:$E$2628="",1,0),0)),"")</f>
        <v>CPX DISTRIBUIDORA S/A</v>
      </c>
      <c r="B60" s="13">
        <f t="array" ref="B60">IFERROR(SMALL(IF(IF(Dashboard!$C$5="",TRUE(),ISNUMBER(SEARCH(Dashboard!$C$5,$A$2:$A$202))),ROW($A$2:$A$202)-ROW($A$2)+1),ROW()-ROW($B$2)+1),"")</f>
        <v>59</v>
      </c>
      <c r="C60" s="13" t="str">
        <f t="shared" si="0"/>
        <v>CPX DISTRIBUIDORA S/A</v>
      </c>
    </row>
    <row r="61" spans="1:3" ht="15" customHeight="1" x14ac:dyDescent="0.3">
      <c r="A61" s="13" t="str">
        <f t="array" ref="A61">IFERROR(INDEX(Combination!$E$2:$E$2628,MATCH(0,COUNTIF($A$2:A60,Combination!$E$2:$E$2628)+IF(Combination!$E$2:$E$2628="",1,0),0)),"")</f>
        <v>ABDUL HADI TRADING CO LLC</v>
      </c>
      <c r="B61" s="13">
        <f t="array" ref="B61">IFERROR(SMALL(IF(IF(Dashboard!$C$5="",TRUE(),ISNUMBER(SEARCH(Dashboard!$C$5,$A$2:$A$202))),ROW($A$2:$A$202)-ROW($A$2)+1),ROW()-ROW($B$2)+1),"")</f>
        <v>60</v>
      </c>
      <c r="C61" s="13" t="str">
        <f t="shared" si="0"/>
        <v>ABDUL HADI TRADING CO LLC</v>
      </c>
    </row>
    <row r="62" spans="1:3" ht="15" customHeight="1" x14ac:dyDescent="0.3">
      <c r="A62" s="13" t="str">
        <f t="array" ref="A62">IFERROR(INDEX(Combination!$E$2:$E$2628,MATCH(0,COUNTIF($A$2:A61,Combination!$E$2:$E$2628)+IF(Combination!$E$2:$E$2628="",1,0),0)),"")</f>
        <v>ULTIMATE TYRE SERVICES PTY LTD</v>
      </c>
      <c r="B62" s="13">
        <f t="array" ref="B62">IFERROR(SMALL(IF(IF(Dashboard!$C$5="",TRUE(),ISNUMBER(SEARCH(Dashboard!$C$5,$A$2:$A$202))),ROW($A$2:$A$202)-ROW($A$2)+1),ROW()-ROW($B$2)+1),"")</f>
        <v>61</v>
      </c>
      <c r="C62" s="13" t="str">
        <f t="shared" si="0"/>
        <v>ULTIMATE TYRE SERVICES PTY LTD</v>
      </c>
    </row>
    <row r="63" spans="1:3" ht="15" customHeight="1" x14ac:dyDescent="0.3">
      <c r="A63" s="13" t="str">
        <f t="array" ref="A63">IFERROR(INDEX(Combination!$E$2:$E$2628,MATCH(0,COUNTIF($A$2:A62,Combination!$E$2:$E$2628)+IF(Combination!$E$2:$E$2628="",1,0),0)),"")</f>
        <v>Sipradi Autoparts Pvt Ltd</v>
      </c>
      <c r="B63" s="13">
        <f t="array" ref="B63">IFERROR(SMALL(IF(IF(Dashboard!$C$5="",TRUE(),ISNUMBER(SEARCH(Dashboard!$C$5,$A$2:$A$202))),ROW($A$2:$A$202)-ROW($A$2)+1),ROW()-ROW($B$2)+1),"")</f>
        <v>62</v>
      </c>
      <c r="C63" s="13" t="str">
        <f t="shared" si="0"/>
        <v>Sipradi Autoparts Pvt Ltd</v>
      </c>
    </row>
    <row r="64" spans="1:3" ht="15" customHeight="1" x14ac:dyDescent="0.3">
      <c r="A64" s="13" t="str">
        <f t="array" ref="A64">IFERROR(INDEX(Combination!$E$2:$E$2628,MATCH(0,COUNTIF($A$2:A63,Combination!$E$2:$E$2628)+IF(Combination!$E$2:$E$2628="",1,0),0)),"")</f>
        <v>STALKER LTD, Russia</v>
      </c>
      <c r="B64" s="13">
        <f t="array" ref="B64">IFERROR(SMALL(IF(IF(Dashboard!$C$5="",TRUE(),ISNUMBER(SEARCH(Dashboard!$C$5,$A$2:$A$202))),ROW($A$2:$A$202)-ROW($A$2)+1),ROW()-ROW($B$2)+1),"")</f>
        <v>63</v>
      </c>
      <c r="C64" s="13" t="str">
        <f t="shared" si="0"/>
        <v>STALKER LTD, Russia</v>
      </c>
    </row>
    <row r="65" spans="1:3" ht="15" customHeight="1" x14ac:dyDescent="0.3">
      <c r="A65" s="13" t="str">
        <f t="array" ref="A65">IFERROR(INDEX(Combination!$E$2:$E$2628,MATCH(0,COUNTIF($A$2:A64,Combination!$E$2:$E$2628)+IF(Combination!$E$2:$E$2628="",1,0),0)),"")</f>
        <v>ABDUL ZAHIR BASHIR Automotive Trading</v>
      </c>
      <c r="B65" s="13">
        <f t="array" ref="B65">IFERROR(SMALL(IF(IF(Dashboard!$C$5="",TRUE(),ISNUMBER(SEARCH(Dashboard!$C$5,$A$2:$A$202))),ROW($A$2:$A$202)-ROW($A$2)+1),ROW()-ROW($B$2)+1),"")</f>
        <v>64</v>
      </c>
      <c r="C65" s="13" t="str">
        <f t="shared" si="0"/>
        <v>ABDUL ZAHIR BASHIR Automotive Trading</v>
      </c>
    </row>
    <row r="66" spans="1:3" ht="15" customHeight="1" x14ac:dyDescent="0.3">
      <c r="A66" s="13" t="str">
        <f t="array" ref="A66">IFERROR(INDEX(Combination!$E$2:$E$2628,MATCH(0,COUNTIF($A$2:A65,Combination!$E$2:$E$2628)+IF(Combination!$E$2:$E$2628="",1,0),0)),"")</f>
        <v>RELIANT OVERSEAS FZE</v>
      </c>
      <c r="B66" s="13">
        <f t="array" ref="B66">IFERROR(SMALL(IF(IF(Dashboard!$C$5="",TRUE(),ISNUMBER(SEARCH(Dashboard!$C$5,$A$2:$A$202))),ROW($A$2:$A$202)-ROW($A$2)+1),ROW()-ROW($B$2)+1),"")</f>
        <v>65</v>
      </c>
      <c r="C66" s="13" t="str">
        <f t="shared" ref="C66:C129" si="1">IFERROR(INDEX($A$2:$A$202,$B66),"")</f>
        <v>RELIANT OVERSEAS FZE</v>
      </c>
    </row>
    <row r="67" spans="1:3" ht="15" customHeight="1" x14ac:dyDescent="0.3">
      <c r="A67" s="13" t="str">
        <f t="array" ref="A67">IFERROR(INDEX(Combination!$E$2:$E$2628,MATCH(0,COUNTIF($A$2:A66,Combination!$E$2:$E$2628)+IF(Combination!$E$2:$E$2628="",1,0),0)),"")</f>
        <v>Thomas Tyres, South Africa</v>
      </c>
      <c r="B67" s="13">
        <f t="array" ref="B67">IFERROR(SMALL(IF(IF(Dashboard!$C$5="",TRUE(),ISNUMBER(SEARCH(Dashboard!$C$5,$A$2:$A$202))),ROW($A$2:$A$202)-ROW($A$2)+1),ROW()-ROW($B$2)+1),"")</f>
        <v>66</v>
      </c>
      <c r="C67" s="13" t="str">
        <f t="shared" si="1"/>
        <v>Thomas Tyres, South Africa</v>
      </c>
    </row>
    <row r="68" spans="1:3" ht="15" customHeight="1" x14ac:dyDescent="0.3">
      <c r="A68" s="13" t="str">
        <f t="array" ref="A68">IFERROR(INDEX(Combination!$E$2:$E$2628,MATCH(0,COUNTIF($A$2:A67,Combination!$E$2:$E$2628)+IF(Combination!$E$2:$E$2628="",1,0),0)),"")</f>
        <v xml:space="preserve">SUPERGRIP INTERNATIONAL (PVT) LTD </v>
      </c>
      <c r="B68" s="13">
        <f t="array" ref="B68">IFERROR(SMALL(IF(IF(Dashboard!$C$5="",TRUE(),ISNUMBER(SEARCH(Dashboard!$C$5,$A$2:$A$202))),ROW($A$2:$A$202)-ROW($A$2)+1),ROW()-ROW($B$2)+1),"")</f>
        <v>67</v>
      </c>
      <c r="C68" s="13" t="str">
        <f t="shared" si="1"/>
        <v xml:space="preserve">SUPERGRIP INTERNATIONAL (PVT) LTD </v>
      </c>
    </row>
    <row r="69" spans="1:3" ht="15" customHeight="1" x14ac:dyDescent="0.3">
      <c r="A69" s="13" t="str">
        <f t="array" ref="A69">IFERROR(INDEX(Combination!$E$2:$E$2628,MATCH(0,COUNTIF($A$2:A68,Combination!$E$2:$E$2628)+IF(Combination!$E$2:$E$2628="",1,0),0)),"")</f>
        <v>Inter Cars</v>
      </c>
      <c r="B69" s="13">
        <f t="array" ref="B69">IFERROR(SMALL(IF(IF(Dashboard!$C$5="",TRUE(),ISNUMBER(SEARCH(Dashboard!$C$5,$A$2:$A$202))),ROW($A$2:$A$202)-ROW($A$2)+1),ROW()-ROW($B$2)+1),"")</f>
        <v>68</v>
      </c>
      <c r="C69" s="13" t="str">
        <f t="shared" si="1"/>
        <v>Inter Cars</v>
      </c>
    </row>
    <row r="70" spans="1:3" ht="15" customHeight="1" x14ac:dyDescent="0.3">
      <c r="A70" s="13" t="str">
        <f t="array" ref="A70">IFERROR(INDEX(Combination!$E$2:$E$2628,MATCH(0,COUNTIF($A$2:A69,Combination!$E$2:$E$2628)+IF(Combination!$E$2:$E$2628="",1,0),0)),"")</f>
        <v>Joint Limited Liability Company</v>
      </c>
      <c r="B70" s="13">
        <f t="array" ref="B70">IFERROR(SMALL(IF(IF(Dashboard!$C$5="",TRUE(),ISNUMBER(SEARCH(Dashboard!$C$5,$A$2:$A$202))),ROW($A$2:$A$202)-ROW($A$2)+1),ROW()-ROW($B$2)+1),"")</f>
        <v>69</v>
      </c>
      <c r="C70" s="13" t="str">
        <f t="shared" si="1"/>
        <v>Joint Limited Liability Company</v>
      </c>
    </row>
    <row r="71" spans="1:3" ht="15" customHeight="1" x14ac:dyDescent="0.3">
      <c r="A71" s="13" t="str">
        <f t="array" ref="A71">IFERROR(INDEX(Combination!$E$2:$E$2628,MATCH(0,COUNTIF($A$2:A70,Combination!$E$2:$E$2628)+IF(Combination!$E$2:$E$2628="",1,0),0)),"")</f>
        <v>Vaal Tyre, South Africa</v>
      </c>
      <c r="B71" s="13">
        <f t="array" ref="B71">IFERROR(SMALL(IF(IF(Dashboard!$C$5="",TRUE(),ISNUMBER(SEARCH(Dashboard!$C$5,$A$2:$A$202))),ROW($A$2:$A$202)-ROW($A$2)+1),ROW()-ROW($B$2)+1),"")</f>
        <v>70</v>
      </c>
      <c r="C71" s="13" t="str">
        <f t="shared" si="1"/>
        <v>Vaal Tyre, South Africa</v>
      </c>
    </row>
    <row r="72" spans="1:3" ht="15" customHeight="1" x14ac:dyDescent="0.3">
      <c r="A72" s="13" t="str">
        <f t="array" ref="A72">IFERROR(INDEX(Combination!$E$2:$E$2628,MATCH(0,COUNTIF($A$2:A71,Combination!$E$2:$E$2628)+IF(Combination!$E$2:$E$2628="",1,0),0)),"")</f>
        <v>ACOSTALLANTAS S.A</v>
      </c>
      <c r="B72" s="13">
        <f t="array" ref="B72">IFERROR(SMALL(IF(IF(Dashboard!$C$5="",TRUE(),ISNUMBER(SEARCH(Dashboard!$C$5,$A$2:$A$202))),ROW($A$2:$A$202)-ROW($A$2)+1),ROW()-ROW($B$2)+1),"")</f>
        <v>71</v>
      </c>
      <c r="C72" s="13" t="str">
        <f t="shared" si="1"/>
        <v>ACOSTALLANTAS S.A</v>
      </c>
    </row>
    <row r="73" spans="1:3" ht="15" customHeight="1" x14ac:dyDescent="0.3">
      <c r="A73" s="13" t="str">
        <f t="array" ref="A73">IFERROR(INDEX(Combination!$E$2:$E$2628,MATCH(0,COUNTIF($A$2:A72,Combination!$E$2:$E$2628)+IF(Combination!$E$2:$E$2628="",1,0),0)),"")</f>
        <v>LLANTAS NARINO SAS</v>
      </c>
      <c r="B73" s="13">
        <f t="array" ref="B73">IFERROR(SMALL(IF(IF(Dashboard!$C$5="",TRUE(),ISNUMBER(SEARCH(Dashboard!$C$5,$A$2:$A$202))),ROW($A$2:$A$202)-ROW($A$2)+1),ROW()-ROW($B$2)+1),"")</f>
        <v>72</v>
      </c>
      <c r="C73" s="13" t="str">
        <f t="shared" si="1"/>
        <v>LLANTAS NARINO SAS</v>
      </c>
    </row>
    <row r="74" spans="1:3" ht="15" customHeight="1" x14ac:dyDescent="0.3">
      <c r="A74" s="13" t="str">
        <f t="array" ref="A74">IFERROR(INDEX(Combination!$E$2:$E$2628,MATCH(0,COUNTIF($A$2:A73,Combination!$E$2:$E$2628)+IF(Combination!$E$2:$E$2628="",1,0),0)),"")</f>
        <v>SUMERU GLOBAL DMCC-Tanzania</v>
      </c>
      <c r="B74" s="13">
        <f t="array" ref="B74">IFERROR(SMALL(IF(IF(Dashboard!$C$5="",TRUE(),ISNUMBER(SEARCH(Dashboard!$C$5,$A$2:$A$202))),ROW($A$2:$A$202)-ROW($A$2)+1),ROW()-ROW($B$2)+1),"")</f>
        <v>73</v>
      </c>
      <c r="C74" s="13" t="str">
        <f t="shared" si="1"/>
        <v>SUMERU GLOBAL DMCC-Tanzania</v>
      </c>
    </row>
    <row r="75" spans="1:3" ht="15" customHeight="1" x14ac:dyDescent="0.3">
      <c r="A75" s="13" t="str">
        <f t="array" ref="A75">IFERROR(INDEX(Combination!$E$2:$E$2628,MATCH(0,COUNTIF($A$2:A74,Combination!$E$2:$E$2628)+IF(Combination!$E$2:$E$2628="",1,0),0)),"")</f>
        <v>SUMERU GLOBAL DMCC-Rwanda</v>
      </c>
      <c r="B75" s="13">
        <f t="array" ref="B75">IFERROR(SMALL(IF(IF(Dashboard!$C$5="",TRUE(),ISNUMBER(SEARCH(Dashboard!$C$5,$A$2:$A$202))),ROW($A$2:$A$202)-ROW($A$2)+1),ROW()-ROW($B$2)+1),"")</f>
        <v>74</v>
      </c>
      <c r="C75" s="13" t="str">
        <f t="shared" si="1"/>
        <v>SUMERU GLOBAL DMCC-Rwanda</v>
      </c>
    </row>
    <row r="76" spans="1:3" ht="15" customHeight="1" x14ac:dyDescent="0.3">
      <c r="A76" s="13" t="str">
        <f t="array" ref="A76">IFERROR(INDEX(Combination!$E$2:$E$2628,MATCH(0,COUNTIF($A$2:A75,Combination!$E$2:$E$2628)+IF(Combination!$E$2:$E$2628="",1,0),0)),"")</f>
        <v>SUMERU GLOBAL DMCC-Zambia</v>
      </c>
      <c r="B76" s="13">
        <f t="array" ref="B76">IFERROR(SMALL(IF(IF(Dashboard!$C$5="",TRUE(),ISNUMBER(SEARCH(Dashboard!$C$5,$A$2:$A$202))),ROW($A$2:$A$202)-ROW($A$2)+1),ROW()-ROW($B$2)+1),"")</f>
        <v>75</v>
      </c>
      <c r="C76" s="13" t="str">
        <f t="shared" si="1"/>
        <v>SUMERU GLOBAL DMCC-Zambia</v>
      </c>
    </row>
    <row r="77" spans="1:3" ht="15" customHeight="1" x14ac:dyDescent="0.3">
      <c r="A77" s="13" t="str">
        <f t="array" ref="A77">IFERROR(INDEX(Combination!$E$2:$E$2628,MATCH(0,COUNTIF($A$2:A76,Combination!$E$2:$E$2628)+IF(Combination!$E$2:$E$2628="",1,0),0)),"")</f>
        <v>Transcar Vladi, Bulgaria</v>
      </c>
      <c r="B77" s="13">
        <f t="array" ref="B77">IFERROR(SMALL(IF(IF(Dashboard!$C$5="",TRUE(),ISNUMBER(SEARCH(Dashboard!$C$5,$A$2:$A$202))),ROW($A$2:$A$202)-ROW($A$2)+1),ROW()-ROW($B$2)+1),"")</f>
        <v>76</v>
      </c>
      <c r="C77" s="13" t="str">
        <f t="shared" si="1"/>
        <v>Transcar Vladi, Bulgaria</v>
      </c>
    </row>
    <row r="78" spans="1:3" ht="15" customHeight="1" x14ac:dyDescent="0.3">
      <c r="A78" s="13" t="str">
        <f t="array" ref="A78">IFERROR(INDEX(Combination!$E$2:$E$2628,MATCH(0,COUNTIF($A$2:A77,Combination!$E$2:$E$2628)+IF(Combination!$E$2:$E$2628="",1,0),0)),"")</f>
        <v>CPX Distribuidora, Brazil</v>
      </c>
      <c r="B78" s="13">
        <f t="array" ref="B78">IFERROR(SMALL(IF(IF(Dashboard!$C$5="",TRUE(),ISNUMBER(SEARCH(Dashboard!$C$5,$A$2:$A$202))),ROW($A$2:$A$202)-ROW($A$2)+1),ROW()-ROW($B$2)+1),"")</f>
        <v>77</v>
      </c>
      <c r="C78" s="13" t="str">
        <f t="shared" si="1"/>
        <v>CPX Distribuidora, Brazil</v>
      </c>
    </row>
    <row r="79" spans="1:3" ht="15" customHeight="1" x14ac:dyDescent="0.3">
      <c r="A79" s="13" t="str">
        <f t="array" ref="A79">IFERROR(INDEX(Combination!$E$2:$E$2628,MATCH(0,COUNTIF($A$2:A78,Combination!$E$2:$E$2628)+IF(Combination!$E$2:$E$2628="",1,0),0)),"")</f>
        <v>Fintyre Spa</v>
      </c>
      <c r="B79" s="13">
        <f t="array" ref="B79">IFERROR(SMALL(IF(IF(Dashboard!$C$5="",TRUE(),ISNUMBER(SEARCH(Dashboard!$C$5,$A$2:$A$202))),ROW($A$2:$A$202)-ROW($A$2)+1),ROW()-ROW($B$2)+1),"")</f>
        <v>78</v>
      </c>
      <c r="C79" s="13" t="str">
        <f t="shared" si="1"/>
        <v>Fintyre Spa</v>
      </c>
    </row>
    <row r="80" spans="1:3" ht="15" customHeight="1" x14ac:dyDescent="0.3">
      <c r="A80" s="13" t="str">
        <f t="array" ref="A80">IFERROR(INDEX(Combination!$E$2:$E$2628,MATCH(0,COUNTIF($A$2:A79,Combination!$E$2:$E$2628)+IF(Combination!$E$2:$E$2628="",1,0),0)),"")</f>
        <v>Inter Cars S.A.</v>
      </c>
      <c r="B80" s="13">
        <f t="array" ref="B80">IFERROR(SMALL(IF(IF(Dashboard!$C$5="",TRUE(),ISNUMBER(SEARCH(Dashboard!$C$5,$A$2:$A$202))),ROW($A$2:$A$202)-ROW($A$2)+1),ROW()-ROW($B$2)+1),"")</f>
        <v>79</v>
      </c>
      <c r="C80" s="13" t="str">
        <f t="shared" si="1"/>
        <v>Inter Cars S.A.</v>
      </c>
    </row>
    <row r="81" spans="1:3" ht="15" customHeight="1" x14ac:dyDescent="0.3">
      <c r="A81" s="13" t="str">
        <f t="array" ref="A81">IFERROR(INDEX(Combination!$E$2:$E$2628,MATCH(0,COUNTIF($A$2:A80,Combination!$E$2:$E$2628)+IF(Combination!$E$2:$E$2628="",1,0),0)),"")</f>
        <v>Royal Tires, South Africa</v>
      </c>
      <c r="B81" s="13">
        <f t="array" ref="B81">IFERROR(SMALL(IF(IF(Dashboard!$C$5="",TRUE(),ISNUMBER(SEARCH(Dashboard!$C$5,$A$2:$A$202))),ROW($A$2:$A$202)-ROW($A$2)+1),ROW()-ROW($B$2)+1),"")</f>
        <v>80</v>
      </c>
      <c r="C81" s="13" t="str">
        <f t="shared" si="1"/>
        <v>Royal Tires, South Africa</v>
      </c>
    </row>
    <row r="82" spans="1:3" ht="15" customHeight="1" x14ac:dyDescent="0.3">
      <c r="A82" s="13" t="str">
        <f t="array" ref="A82">IFERROR(INDEX(Combination!$E$2:$E$2628,MATCH(0,COUNTIF($A$2:A81,Combination!$E$2:$E$2628)+IF(Combination!$E$2:$E$2628="",1,0),0)),"")</f>
        <v>Autopiezas comercial, Paraguay</v>
      </c>
      <c r="B82" s="13">
        <f t="array" ref="B82">IFERROR(SMALL(IF(IF(Dashboard!$C$5="",TRUE(),ISNUMBER(SEARCH(Dashboard!$C$5,$A$2:$A$202))),ROW($A$2:$A$202)-ROW($A$2)+1),ROW()-ROW($B$2)+1),"")</f>
        <v>81</v>
      </c>
      <c r="C82" s="13" t="str">
        <f t="shared" si="1"/>
        <v>Autopiezas comercial, Paraguay</v>
      </c>
    </row>
    <row r="83" spans="1:3" ht="15" customHeight="1" x14ac:dyDescent="0.3">
      <c r="A83" s="13" t="str">
        <f t="array" ref="A83">IFERROR(INDEX(Combination!$E$2:$E$2628,MATCH(0,COUNTIF($A$2:A82,Combination!$E$2:$E$2628)+IF(Combination!$E$2:$E$2628="",1,0),0)),"")</f>
        <v>PC TYRES SA DE CV</v>
      </c>
      <c r="B83" s="13">
        <f t="array" ref="B83">IFERROR(SMALL(IF(IF(Dashboard!$C$5="",TRUE(),ISNUMBER(SEARCH(Dashboard!$C$5,$A$2:$A$202))),ROW($A$2:$A$202)-ROW($A$2)+1),ROW()-ROW($B$2)+1),"")</f>
        <v>82</v>
      </c>
      <c r="C83" s="13" t="str">
        <f t="shared" si="1"/>
        <v>PC TYRES SA DE CV</v>
      </c>
    </row>
    <row r="84" spans="1:3" ht="15" customHeight="1" x14ac:dyDescent="0.3">
      <c r="A84" s="13" t="str">
        <f t="array" ref="A84">IFERROR(INDEX(Combination!$E$2:$E$2628,MATCH(0,COUNTIF($A$2:A83,Combination!$E$2:$E$2628)+IF(Combination!$E$2:$E$2628="",1,0),0)),"")</f>
        <v>Inter Cars, Latvia</v>
      </c>
      <c r="B84" s="13">
        <f t="array" ref="B84">IFERROR(SMALL(IF(IF(Dashboard!$C$5="",TRUE(),ISNUMBER(SEARCH(Dashboard!$C$5,$A$2:$A$202))),ROW($A$2:$A$202)-ROW($A$2)+1),ROW()-ROW($B$2)+1),"")</f>
        <v>83</v>
      </c>
      <c r="C84" s="13" t="str">
        <f t="shared" si="1"/>
        <v>Inter Cars, Latvia</v>
      </c>
    </row>
    <row r="85" spans="1:3" ht="15" customHeight="1" x14ac:dyDescent="0.3">
      <c r="A85" s="13" t="str">
        <f t="array" ref="A85">IFERROR(INDEX(Combination!$E$2:$E$2628,MATCH(0,COUNTIF($A$2:A84,Combination!$E$2:$E$2628)+IF(Combination!$E$2:$E$2628="",1,0),0)),"")</f>
        <v>Supergrip International, Srilanka</v>
      </c>
      <c r="B85" s="13">
        <f t="array" ref="B85">IFERROR(SMALL(IF(IF(Dashboard!$C$5="",TRUE(),ISNUMBER(SEARCH(Dashboard!$C$5,$A$2:$A$202))),ROW($A$2:$A$202)-ROW($A$2)+1),ROW()-ROW($B$2)+1),"")</f>
        <v>84</v>
      </c>
      <c r="C85" s="13" t="str">
        <f t="shared" si="1"/>
        <v>Supergrip International, Srilanka</v>
      </c>
    </row>
    <row r="86" spans="1:3" ht="15" customHeight="1" x14ac:dyDescent="0.3">
      <c r="A86" s="13" t="str">
        <f t="array" ref="A86">IFERROR(INDEX(Combination!$E$2:$E$2628,MATCH(0,COUNTIF($A$2:A85,Combination!$E$2:$E$2628)+IF(Combination!$E$2:$E$2628="",1,0),0)),"")</f>
        <v>Obnova Doo Kraljevo</v>
      </c>
      <c r="B86" s="13">
        <f t="array" ref="B86">IFERROR(SMALL(IF(IF(Dashboard!$C$5="",TRUE(),ISNUMBER(SEARCH(Dashboard!$C$5,$A$2:$A$202))),ROW($A$2:$A$202)-ROW($A$2)+1),ROW()-ROW($B$2)+1),"")</f>
        <v>85</v>
      </c>
      <c r="C86" s="13" t="str">
        <f t="shared" si="1"/>
        <v>Obnova Doo Kraljevo</v>
      </c>
    </row>
    <row r="87" spans="1:3" ht="15" customHeight="1" x14ac:dyDescent="0.3">
      <c r="A87" s="13" t="str">
        <f t="array" ref="A87">IFERROR(INDEX(Combination!$E$2:$E$2628,MATCH(0,COUNTIF($A$2:A86,Combination!$E$2:$E$2628)+IF(Combination!$E$2:$E$2628="",1,0),0)),"")</f>
        <v>Intercars, Lithuania</v>
      </c>
      <c r="B87" s="13">
        <f t="array" ref="B87">IFERROR(SMALL(IF(IF(Dashboard!$C$5="",TRUE(),ISNUMBER(SEARCH(Dashboard!$C$5,$A$2:$A$202))),ROW($A$2:$A$202)-ROW($A$2)+1),ROW()-ROW($B$2)+1),"")</f>
        <v>86</v>
      </c>
      <c r="C87" s="13" t="str">
        <f t="shared" si="1"/>
        <v>Intercars, Lithuania</v>
      </c>
    </row>
    <row r="88" spans="1:3" ht="15" customHeight="1" x14ac:dyDescent="0.3">
      <c r="A88" s="13" t="str">
        <f t="array" ref="A88">IFERROR(INDEX(Combination!$E$2:$E$2628,MATCH(0,COUNTIF($A$2:A87,Combination!$E$2:$E$2628)+IF(Combination!$E$2:$E$2628="",1,0),0)),"")</f>
        <v>Bahwan, Saudi</v>
      </c>
      <c r="B88" s="13">
        <f t="array" ref="B88">IFERROR(SMALL(IF(IF(Dashboard!$C$5="",TRUE(),ISNUMBER(SEARCH(Dashboard!$C$5,$A$2:$A$202))),ROW($A$2:$A$202)-ROW($A$2)+1),ROW()-ROW($B$2)+1),"")</f>
        <v>87</v>
      </c>
      <c r="C88" s="13" t="str">
        <f t="shared" si="1"/>
        <v>Bahwan, Saudi</v>
      </c>
    </row>
    <row r="89" spans="1:3" ht="15" customHeight="1" x14ac:dyDescent="0.3">
      <c r="A89" s="13" t="str">
        <f t="array" ref="A89">IFERROR(INDEX(Combination!$E$2:$E$2628,MATCH(0,COUNTIF($A$2:A88,Combination!$E$2:$E$2628)+IF(Combination!$E$2:$E$2628="",1,0),0)),"")</f>
        <v>Inter Cars, Romania</v>
      </c>
      <c r="B89" s="13">
        <f t="array" ref="B89">IFERROR(SMALL(IF(IF(Dashboard!$C$5="",TRUE(),ISNUMBER(SEARCH(Dashboard!$C$5,$A$2:$A$202))),ROW($A$2:$A$202)-ROW($A$2)+1),ROW()-ROW($B$2)+1),"")</f>
        <v>88</v>
      </c>
      <c r="C89" s="13" t="str">
        <f t="shared" si="1"/>
        <v>Inter Cars, Romania</v>
      </c>
    </row>
    <row r="90" spans="1:3" ht="15" customHeight="1" x14ac:dyDescent="0.3">
      <c r="A90" s="13" t="str">
        <f t="array" ref="A90">IFERROR(INDEX(Combination!$E$2:$E$2628,MATCH(0,COUNTIF($A$2:A89,Combination!$E$2:$E$2628)+IF(Combination!$E$2:$E$2628="",1,0),0)),"")</f>
        <v>Inter Cars, Croatia</v>
      </c>
      <c r="B90" s="13">
        <f t="array" ref="B90">IFERROR(SMALL(IF(IF(Dashboard!$C$5="",TRUE(),ISNUMBER(SEARCH(Dashboard!$C$5,$A$2:$A$202))),ROW($A$2:$A$202)-ROW($A$2)+1),ROW()-ROW($B$2)+1),"")</f>
        <v>89</v>
      </c>
      <c r="C90" s="13" t="str">
        <f t="shared" si="1"/>
        <v>Inter Cars, Croatia</v>
      </c>
    </row>
    <row r="91" spans="1:3" ht="15" customHeight="1" x14ac:dyDescent="0.3">
      <c r="A91" s="13" t="str">
        <f t="array" ref="A91">IFERROR(INDEX(Combination!$E$2:$E$2628,MATCH(0,COUNTIF($A$2:A90,Combination!$E$2:$E$2628)+IF(Combination!$E$2:$E$2628="",1,0),0)),"")</f>
        <v>West Lake, Russia</v>
      </c>
      <c r="B91" s="13">
        <f t="array" ref="B91">IFERROR(SMALL(IF(IF(Dashboard!$C$5="",TRUE(),ISNUMBER(SEARCH(Dashboard!$C$5,$A$2:$A$202))),ROW($A$2:$A$202)-ROW($A$2)+1),ROW()-ROW($B$2)+1),"")</f>
        <v>90</v>
      </c>
      <c r="C91" s="13" t="str">
        <f t="shared" si="1"/>
        <v>West Lake, Russia</v>
      </c>
    </row>
    <row r="92" spans="1:3" ht="15" customHeight="1" x14ac:dyDescent="0.3">
      <c r="A92" s="13" t="str">
        <f t="array" ref="A92">IFERROR(INDEX(Combination!$E$2:$E$2628,MATCH(0,COUNTIF($A$2:A91,Combination!$E$2:$E$2628)+IF(Combination!$E$2:$E$2628="",1,0),0)),"")</f>
        <v>SUMERU GLOBAL DMCC-Uganda</v>
      </c>
      <c r="B92" s="13">
        <f t="array" ref="B92">IFERROR(SMALL(IF(IF(Dashboard!$C$5="",TRUE(),ISNUMBER(SEARCH(Dashboard!$C$5,$A$2:$A$202))),ROW($A$2:$A$202)-ROW($A$2)+1),ROW()-ROW($B$2)+1),"")</f>
        <v>91</v>
      </c>
      <c r="C92" s="13" t="str">
        <f t="shared" si="1"/>
        <v>SUMERU GLOBAL DMCC-Uganda</v>
      </c>
    </row>
    <row r="93" spans="1:3" ht="15" customHeight="1" x14ac:dyDescent="0.3">
      <c r="A93" s="13" t="str">
        <f t="array" ref="A93">IFERROR(INDEX(Combination!$E$2:$E$2628,MATCH(0,COUNTIF($A$2:A92,Combination!$E$2:$E$2628)+IF(Combination!$E$2:$E$2628="",1,0),0)),"")</f>
        <v>Inter Cars, Greece</v>
      </c>
      <c r="B93" s="13">
        <f t="array" ref="B93">IFERROR(SMALL(IF(IF(Dashboard!$C$5="",TRUE(),ISNUMBER(SEARCH(Dashboard!$C$5,$A$2:$A$202))),ROW($A$2:$A$202)-ROW($A$2)+1),ROW()-ROW($B$2)+1),"")</f>
        <v>92</v>
      </c>
      <c r="C93" s="13" t="str">
        <f t="shared" si="1"/>
        <v>Inter Cars, Greece</v>
      </c>
    </row>
    <row r="94" spans="1:3" ht="15" customHeight="1" x14ac:dyDescent="0.3">
      <c r="A94" s="13" t="str">
        <f t="array" ref="A94">IFERROR(INDEX(Combination!$E$2:$E$2628,MATCH(0,COUNTIF($A$2:A93,Combination!$E$2:$E$2628)+IF(Combination!$E$2:$E$2628="",1,0),0)),"")</f>
        <v>BAHWAN COMMERCIAL COMPANY</v>
      </c>
      <c r="B94" s="13">
        <f t="array" ref="B94">IFERROR(SMALL(IF(IF(Dashboard!$C$5="",TRUE(),ISNUMBER(SEARCH(Dashboard!$C$5,$A$2:$A$202))),ROW($A$2:$A$202)-ROW($A$2)+1),ROW()-ROW($B$2)+1),"")</f>
        <v>93</v>
      </c>
      <c r="C94" s="13" t="str">
        <f t="shared" si="1"/>
        <v>BAHWAN COMMERCIAL COMPANY</v>
      </c>
    </row>
    <row r="95" spans="1:3" ht="15" customHeight="1" x14ac:dyDescent="0.3">
      <c r="A95" s="13" t="str">
        <f t="array" ref="A95">IFERROR(INDEX(Combination!$E$2:$E$2628,MATCH(0,COUNTIF($A$2:A94,Combination!$E$2:$E$2628)+IF(Combination!$E$2:$E$2628="",1,0),0)),"")</f>
        <v>Sumeru Global, Mozambique</v>
      </c>
      <c r="B95" s="13">
        <f t="array" ref="B95">IFERROR(SMALL(IF(IF(Dashboard!$C$5="",TRUE(),ISNUMBER(SEARCH(Dashboard!$C$5,$A$2:$A$202))),ROW($A$2:$A$202)-ROW($A$2)+1),ROW()-ROW($B$2)+1),"")</f>
        <v>94</v>
      </c>
      <c r="C95" s="13" t="str">
        <f t="shared" si="1"/>
        <v>Sumeru Global, Mozambique</v>
      </c>
    </row>
    <row r="96" spans="1:3" ht="15" customHeight="1" x14ac:dyDescent="0.3">
      <c r="A96" s="13" t="str">
        <f t="array" ref="A96">IFERROR(INDEX(Combination!$E$2:$E$2628,MATCH(0,COUNTIF($A$2:A95,Combination!$E$2:$E$2628)+IF(Combination!$E$2:$E$2628="",1,0),0)),"")</f>
        <v>Redllantas, Colombia</v>
      </c>
      <c r="B96" s="13">
        <f t="array" ref="B96">IFERROR(SMALL(IF(IF(Dashboard!$C$5="",TRUE(),ISNUMBER(SEARCH(Dashboard!$C$5,$A$2:$A$202))),ROW($A$2:$A$202)-ROW($A$2)+1),ROW()-ROW($B$2)+1),"")</f>
        <v>95</v>
      </c>
      <c r="C96" s="13" t="str">
        <f t="shared" si="1"/>
        <v>Redllantas, Colombia</v>
      </c>
    </row>
    <row r="97" spans="1:3" ht="15" customHeight="1" x14ac:dyDescent="0.3">
      <c r="A97" s="13" t="str">
        <f t="array" ref="A97">IFERROR(INDEX(Combination!$E$2:$E$2628,MATCH(0,COUNTIF($A$2:A96,Combination!$E$2:$E$2628)+IF(Combination!$E$2:$E$2628="",1,0),0)),"")</f>
        <v>United Motors, Oman</v>
      </c>
      <c r="B97" s="13">
        <f t="array" ref="B97">IFERROR(SMALL(IF(IF(Dashboard!$C$5="",TRUE(),ISNUMBER(SEARCH(Dashboard!$C$5,$A$2:$A$202))),ROW($A$2:$A$202)-ROW($A$2)+1),ROW()-ROW($B$2)+1),"")</f>
        <v>96</v>
      </c>
      <c r="C97" s="13" t="str">
        <f t="shared" si="1"/>
        <v>United Motors, Oman</v>
      </c>
    </row>
    <row r="98" spans="1:3" ht="15" customHeight="1" x14ac:dyDescent="0.3">
      <c r="A98" s="13" t="str">
        <f t="array" ref="A98">IFERROR(INDEX(Combination!$E$2:$E$2628,MATCH(0,COUNTIF($A$2:A97,Combination!$E$2:$E$2628)+IF(Combination!$E$2:$E$2628="",1,0),0)),"")</f>
        <v>Easa Saleh Al Gurg,  UAE</v>
      </c>
      <c r="B98" s="13">
        <f t="array" ref="B98">IFERROR(SMALL(IF(IF(Dashboard!$C$5="",TRUE(),ISNUMBER(SEARCH(Dashboard!$C$5,$A$2:$A$202))),ROW($A$2:$A$202)-ROW($A$2)+1),ROW()-ROW($B$2)+1),"")</f>
        <v>97</v>
      </c>
      <c r="C98" s="13" t="str">
        <f t="shared" si="1"/>
        <v>Easa Saleh Al Gurg,  UAE</v>
      </c>
    </row>
    <row r="99" spans="1:3" ht="15" customHeight="1" x14ac:dyDescent="0.3">
      <c r="A99" s="13" t="str">
        <f t="array" ref="A99">IFERROR(INDEX(Combination!$E$2:$E$2628,MATCH(0,COUNTIF($A$2:A98,Combination!$E$2:$E$2628)+IF(Combination!$E$2:$E$2628="",1,0),0)),"")</f>
        <v>PREXX Comercio, Brazil</v>
      </c>
      <c r="B99" s="13">
        <f t="array" ref="B99">IFERROR(SMALL(IF(IF(Dashboard!$C$5="",TRUE(),ISNUMBER(SEARCH(Dashboard!$C$5,$A$2:$A$202))),ROW($A$2:$A$202)-ROW($A$2)+1),ROW()-ROW($B$2)+1),"")</f>
        <v>98</v>
      </c>
      <c r="C99" s="13" t="str">
        <f t="shared" si="1"/>
        <v>PREXX Comercio, Brazil</v>
      </c>
    </row>
    <row r="100" spans="1:3" ht="15" customHeight="1" x14ac:dyDescent="0.3">
      <c r="A100" s="13" t="str">
        <f t="array" ref="A100">IFERROR(INDEX(Combination!$E$2:$E$2628,MATCH(0,COUNTIF($A$2:A99,Combination!$E$2:$E$2628)+IF(Combination!$E$2:$E$2628="",1,0),0)),"")</f>
        <v>Grupo IAL, Peru.</v>
      </c>
      <c r="B100" s="13">
        <f t="array" ref="B100">IFERROR(SMALL(IF(IF(Dashboard!$C$5="",TRUE(),ISNUMBER(SEARCH(Dashboard!$C$5,$A$2:$A$202))),ROW($A$2:$A$202)-ROW($A$2)+1),ROW()-ROW($B$2)+1),"")</f>
        <v>99</v>
      </c>
      <c r="C100" s="13" t="str">
        <f t="shared" si="1"/>
        <v>Grupo IAL, Peru.</v>
      </c>
    </row>
    <row r="101" spans="1:3" ht="15" customHeight="1" x14ac:dyDescent="0.3">
      <c r="A101" s="13" t="str">
        <f t="array" ref="A101">IFERROR(INDEX(Combination!$E$2:$E$2628,MATCH(0,COUNTIF($A$2:A100,Combination!$E$2:$E$2628)+IF(Combination!$E$2:$E$2628="",1,0),0)),"")</f>
        <v>Dheera Auto Tyres, Bahrain</v>
      </c>
      <c r="B101" s="13">
        <f t="array" ref="B101">IFERROR(SMALL(IF(IF(Dashboard!$C$5="",TRUE(),ISNUMBER(SEARCH(Dashboard!$C$5,$A$2:$A$202))),ROW($A$2:$A$202)-ROW($A$2)+1),ROW()-ROW($B$2)+1),"")</f>
        <v>100</v>
      </c>
      <c r="C101" s="13" t="str">
        <f t="shared" si="1"/>
        <v>Dheera Auto Tyres, Bahrain</v>
      </c>
    </row>
    <row r="102" spans="1:3" ht="15" customHeight="1" x14ac:dyDescent="0.3">
      <c r="A102" s="13" t="str">
        <f t="array" ref="A102">IFERROR(INDEX(Combination!$E$2:$E$2628,MATCH(0,COUNTIF($A$2:A101,Combination!$E$2:$E$2628)+IF(Combination!$E$2:$E$2628="",1,0),0)),"")</f>
        <v>Primex, Bulgaria</v>
      </c>
      <c r="B102" s="13">
        <f t="array" ref="B102">IFERROR(SMALL(IF(IF(Dashboard!$C$5="",TRUE(),ISNUMBER(SEARCH(Dashboard!$C$5,$A$2:$A$202))),ROW($A$2:$A$202)-ROW($A$2)+1),ROW()-ROW($B$2)+1),"")</f>
        <v>101</v>
      </c>
      <c r="C102" s="13" t="str">
        <f t="shared" si="1"/>
        <v>Primex, Bulgaria</v>
      </c>
    </row>
    <row r="103" spans="1:3" ht="15" customHeight="1" x14ac:dyDescent="0.3">
      <c r="A103" s="13" t="str">
        <f t="array" ref="A103">IFERROR(INDEX(Combination!$E$2:$E$2628,MATCH(0,COUNTIF($A$2:A102,Combination!$E$2:$E$2628)+IF(Combination!$E$2:$E$2628="",1,0),0)),"")</f>
        <v>Sipradi Autoparts, Nepal</v>
      </c>
      <c r="B103" s="13">
        <f t="array" ref="B103">IFERROR(SMALL(IF(IF(Dashboard!$C$5="",TRUE(),ISNUMBER(SEARCH(Dashboard!$C$5,$A$2:$A$202))),ROW($A$2:$A$202)-ROW($A$2)+1),ROW()-ROW($B$2)+1),"")</f>
        <v>102</v>
      </c>
      <c r="C103" s="13" t="str">
        <f t="shared" si="1"/>
        <v>Sipradi Autoparts, Nepal</v>
      </c>
    </row>
    <row r="104" spans="1:3" ht="15" customHeight="1" x14ac:dyDescent="0.3">
      <c r="A104" s="13" t="str">
        <f t="array" ref="A104">IFERROR(INDEX(Combination!$E$2:$E$2628,MATCH(0,COUNTIF($A$2:A103,Combination!$E$2:$E$2628)+IF(Combination!$E$2:$E$2628="",1,0),0)),"")</f>
        <v/>
      </c>
      <c r="B104" s="13">
        <f t="array" ref="B104">IFERROR(SMALL(IF(IF(Dashboard!$C$5="",TRUE(),ISNUMBER(SEARCH(Dashboard!$C$5,$A$2:$A$202))),ROW($A$2:$A$202)-ROW($A$2)+1),ROW()-ROW($B$2)+1),"")</f>
        <v>103</v>
      </c>
      <c r="C104" s="13" t="str">
        <f t="shared" si="1"/>
        <v/>
      </c>
    </row>
    <row r="105" spans="1:3" ht="15" customHeight="1" x14ac:dyDescent="0.3">
      <c r="A105" s="13" t="str">
        <f t="array" ref="A105">IFERROR(INDEX(Combination!$E$2:$E$2628,MATCH(0,COUNTIF($A$2:A104,Combination!$E$2:$E$2628)+IF(Combination!$E$2:$E$2628="",1,0),0)),"")</f>
        <v/>
      </c>
      <c r="B105" s="13">
        <f t="array" ref="B105">IFERROR(SMALL(IF(IF(Dashboard!$C$5="",TRUE(),ISNUMBER(SEARCH(Dashboard!$C$5,$A$2:$A$202))),ROW($A$2:$A$202)-ROW($A$2)+1),ROW()-ROW($B$2)+1),"")</f>
        <v>104</v>
      </c>
      <c r="C105" s="13" t="str">
        <f t="shared" si="1"/>
        <v/>
      </c>
    </row>
    <row r="106" spans="1:3" ht="15" customHeight="1" x14ac:dyDescent="0.3">
      <c r="A106" s="13" t="str">
        <f t="array" ref="A106">IFERROR(INDEX(Combination!$E$2:$E$2628,MATCH(0,COUNTIF($A$2:A105,Combination!$E$2:$E$2628)+IF(Combination!$E$2:$E$2628="",1,0),0)),"")</f>
        <v/>
      </c>
      <c r="B106" s="13">
        <f t="array" ref="B106">IFERROR(SMALL(IF(IF(Dashboard!$C$5="",TRUE(),ISNUMBER(SEARCH(Dashboard!$C$5,$A$2:$A$202))),ROW($A$2:$A$202)-ROW($A$2)+1),ROW()-ROW($B$2)+1),"")</f>
        <v>105</v>
      </c>
      <c r="C106" s="13" t="str">
        <f t="shared" si="1"/>
        <v/>
      </c>
    </row>
    <row r="107" spans="1:3" ht="15" customHeight="1" x14ac:dyDescent="0.3">
      <c r="A107" s="13" t="str">
        <f t="array" ref="A107">IFERROR(INDEX(Combination!$E$2:$E$2628,MATCH(0,COUNTIF($A$2:A106,Combination!$E$2:$E$2628)+IF(Combination!$E$2:$E$2628="",1,0),0)),"")</f>
        <v/>
      </c>
      <c r="B107" s="13">
        <f t="array" ref="B107">IFERROR(SMALL(IF(IF(Dashboard!$C$5="",TRUE(),ISNUMBER(SEARCH(Dashboard!$C$5,$A$2:$A$202))),ROW($A$2:$A$202)-ROW($A$2)+1),ROW()-ROW($B$2)+1),"")</f>
        <v>106</v>
      </c>
      <c r="C107" s="13" t="str">
        <f t="shared" si="1"/>
        <v/>
      </c>
    </row>
    <row r="108" spans="1:3" ht="15" customHeight="1" x14ac:dyDescent="0.3">
      <c r="A108" s="13" t="str">
        <f t="array" ref="A108">IFERROR(INDEX(Combination!$E$2:$E$2628,MATCH(0,COUNTIF($A$2:A107,Combination!$E$2:$E$2628)+IF(Combination!$E$2:$E$2628="",1,0),0)),"")</f>
        <v/>
      </c>
      <c r="B108" s="13">
        <f t="array" ref="B108">IFERROR(SMALL(IF(IF(Dashboard!$C$5="",TRUE(),ISNUMBER(SEARCH(Dashboard!$C$5,$A$2:$A$202))),ROW($A$2:$A$202)-ROW($A$2)+1),ROW()-ROW($B$2)+1),"")</f>
        <v>107</v>
      </c>
      <c r="C108" s="13" t="str">
        <f t="shared" si="1"/>
        <v/>
      </c>
    </row>
    <row r="109" spans="1:3" ht="15" customHeight="1" x14ac:dyDescent="0.3">
      <c r="A109" s="13" t="str">
        <f t="array" ref="A109">IFERROR(INDEX(Combination!$E$2:$E$2628,MATCH(0,COUNTIF($A$2:A108,Combination!$E$2:$E$2628)+IF(Combination!$E$2:$E$2628="",1,0),0)),"")</f>
        <v/>
      </c>
      <c r="B109" s="13">
        <f t="array" ref="B109">IFERROR(SMALL(IF(IF(Dashboard!$C$5="",TRUE(),ISNUMBER(SEARCH(Dashboard!$C$5,$A$2:$A$202))),ROW($A$2:$A$202)-ROW($A$2)+1),ROW()-ROW($B$2)+1),"")</f>
        <v>108</v>
      </c>
      <c r="C109" s="13" t="str">
        <f t="shared" si="1"/>
        <v/>
      </c>
    </row>
    <row r="110" spans="1:3" ht="15" customHeight="1" x14ac:dyDescent="0.3">
      <c r="A110" s="13" t="str">
        <f t="array" ref="A110">IFERROR(INDEX(Combination!$E$2:$E$2628,MATCH(0,COUNTIF($A$2:A109,Combination!$E$2:$E$2628)+IF(Combination!$E$2:$E$2628="",1,0),0)),"")</f>
        <v/>
      </c>
      <c r="B110" s="13">
        <f t="array" ref="B110">IFERROR(SMALL(IF(IF(Dashboard!$C$5="",TRUE(),ISNUMBER(SEARCH(Dashboard!$C$5,$A$2:$A$202))),ROW($A$2:$A$202)-ROW($A$2)+1),ROW()-ROW($B$2)+1),"")</f>
        <v>109</v>
      </c>
      <c r="C110" s="13" t="str">
        <f t="shared" si="1"/>
        <v/>
      </c>
    </row>
    <row r="111" spans="1:3" ht="15" customHeight="1" x14ac:dyDescent="0.3">
      <c r="A111" s="13" t="str">
        <f t="array" ref="A111">IFERROR(INDEX(Combination!$E$2:$E$2628,MATCH(0,COUNTIF($A$2:A110,Combination!$E$2:$E$2628)+IF(Combination!$E$2:$E$2628="",1,0),0)),"")</f>
        <v/>
      </c>
      <c r="B111" s="13">
        <f t="array" ref="B111">IFERROR(SMALL(IF(IF(Dashboard!$C$5="",TRUE(),ISNUMBER(SEARCH(Dashboard!$C$5,$A$2:$A$202))),ROW($A$2:$A$202)-ROW($A$2)+1),ROW()-ROW($B$2)+1),"")</f>
        <v>110</v>
      </c>
      <c r="C111" s="13" t="str">
        <f t="shared" si="1"/>
        <v/>
      </c>
    </row>
    <row r="112" spans="1:3" ht="15" customHeight="1" x14ac:dyDescent="0.3">
      <c r="A112" s="13" t="str">
        <f t="array" ref="A112">IFERROR(INDEX(Combination!$E$2:$E$2628,MATCH(0,COUNTIF($A$2:A111,Combination!$E$2:$E$2628)+IF(Combination!$E$2:$E$2628="",1,0),0)),"")</f>
        <v/>
      </c>
      <c r="B112" s="13">
        <f t="array" ref="B112">IFERROR(SMALL(IF(IF(Dashboard!$C$5="",TRUE(),ISNUMBER(SEARCH(Dashboard!$C$5,$A$2:$A$202))),ROW($A$2:$A$202)-ROW($A$2)+1),ROW()-ROW($B$2)+1),"")</f>
        <v>111</v>
      </c>
      <c r="C112" s="13" t="str">
        <f t="shared" si="1"/>
        <v/>
      </c>
    </row>
    <row r="113" spans="1:3" ht="15" customHeight="1" x14ac:dyDescent="0.3">
      <c r="A113" s="13" t="str">
        <f t="array" ref="A113">IFERROR(INDEX(Combination!$E$2:$E$2628,MATCH(0,COUNTIF($A$2:A112,Combination!$E$2:$E$2628)+IF(Combination!$E$2:$E$2628="",1,0),0)),"")</f>
        <v/>
      </c>
      <c r="B113" s="13">
        <f t="array" ref="B113">IFERROR(SMALL(IF(IF(Dashboard!$C$5="",TRUE(),ISNUMBER(SEARCH(Dashboard!$C$5,$A$2:$A$202))),ROW($A$2:$A$202)-ROW($A$2)+1),ROW()-ROW($B$2)+1),"")</f>
        <v>112</v>
      </c>
      <c r="C113" s="13" t="str">
        <f t="shared" si="1"/>
        <v/>
      </c>
    </row>
    <row r="114" spans="1:3" ht="15" customHeight="1" x14ac:dyDescent="0.3">
      <c r="A114" s="13" t="str">
        <f t="array" ref="A114">IFERROR(INDEX(Combination!$E$2:$E$2628,MATCH(0,COUNTIF($A$2:A113,Combination!$E$2:$E$2628)+IF(Combination!$E$2:$E$2628="",1,0),0)),"")</f>
        <v/>
      </c>
      <c r="B114" s="13">
        <f t="array" ref="B114">IFERROR(SMALL(IF(IF(Dashboard!$C$5="",TRUE(),ISNUMBER(SEARCH(Dashboard!$C$5,$A$2:$A$202))),ROW($A$2:$A$202)-ROW($A$2)+1),ROW()-ROW($B$2)+1),"")</f>
        <v>113</v>
      </c>
      <c r="C114" s="13" t="str">
        <f t="shared" si="1"/>
        <v/>
      </c>
    </row>
    <row r="115" spans="1:3" ht="15" customHeight="1" x14ac:dyDescent="0.3">
      <c r="A115" s="13" t="str">
        <f t="array" ref="A115">IFERROR(INDEX(Combination!$E$2:$E$2628,MATCH(0,COUNTIF($A$2:A114,Combination!$E$2:$E$2628)+IF(Combination!$E$2:$E$2628="",1,0),0)),"")</f>
        <v/>
      </c>
      <c r="B115" s="13">
        <f t="array" ref="B115">IFERROR(SMALL(IF(IF(Dashboard!$C$5="",TRUE(),ISNUMBER(SEARCH(Dashboard!$C$5,$A$2:$A$202))),ROW($A$2:$A$202)-ROW($A$2)+1),ROW()-ROW($B$2)+1),"")</f>
        <v>114</v>
      </c>
      <c r="C115" s="13" t="str">
        <f t="shared" si="1"/>
        <v/>
      </c>
    </row>
    <row r="116" spans="1:3" ht="15" customHeight="1" x14ac:dyDescent="0.3">
      <c r="A116" s="13" t="str">
        <f t="array" ref="A116">IFERROR(INDEX(Combination!$E$2:$E$2628,MATCH(0,COUNTIF($A$2:A115,Combination!$E$2:$E$2628)+IF(Combination!$E$2:$E$2628="",1,0),0)),"")</f>
        <v/>
      </c>
      <c r="B116" s="13">
        <f t="array" ref="B116">IFERROR(SMALL(IF(IF(Dashboard!$C$5="",TRUE(),ISNUMBER(SEARCH(Dashboard!$C$5,$A$2:$A$202))),ROW($A$2:$A$202)-ROW($A$2)+1),ROW()-ROW($B$2)+1),"")</f>
        <v>115</v>
      </c>
      <c r="C116" s="13" t="str">
        <f t="shared" si="1"/>
        <v/>
      </c>
    </row>
    <row r="117" spans="1:3" ht="15" customHeight="1" x14ac:dyDescent="0.3">
      <c r="A117" s="13" t="str">
        <f t="array" ref="A117">IFERROR(INDEX(Combination!$E$2:$E$2628,MATCH(0,COUNTIF($A$2:A116,Combination!$E$2:$E$2628)+IF(Combination!$E$2:$E$2628="",1,0),0)),"")</f>
        <v/>
      </c>
      <c r="B117" s="13">
        <f t="array" ref="B117">IFERROR(SMALL(IF(IF(Dashboard!$C$5="",TRUE(),ISNUMBER(SEARCH(Dashboard!$C$5,$A$2:$A$202))),ROW($A$2:$A$202)-ROW($A$2)+1),ROW()-ROW($B$2)+1),"")</f>
        <v>116</v>
      </c>
      <c r="C117" s="13" t="str">
        <f t="shared" si="1"/>
        <v/>
      </c>
    </row>
    <row r="118" spans="1:3" ht="15" customHeight="1" x14ac:dyDescent="0.3">
      <c r="A118" s="13" t="str">
        <f t="array" ref="A118">IFERROR(INDEX(Combination!$E$2:$E$2628,MATCH(0,COUNTIF($A$2:A117,Combination!$E$2:$E$2628)+IF(Combination!$E$2:$E$2628="",1,0),0)),"")</f>
        <v/>
      </c>
      <c r="B118" s="13">
        <f t="array" ref="B118">IFERROR(SMALL(IF(IF(Dashboard!$C$5="",TRUE(),ISNUMBER(SEARCH(Dashboard!$C$5,$A$2:$A$202))),ROW($A$2:$A$202)-ROW($A$2)+1),ROW()-ROW($B$2)+1),"")</f>
        <v>117</v>
      </c>
      <c r="C118" s="13" t="str">
        <f t="shared" si="1"/>
        <v/>
      </c>
    </row>
    <row r="119" spans="1:3" ht="15" customHeight="1" x14ac:dyDescent="0.3">
      <c r="A119" s="13" t="str">
        <f t="array" ref="A119">IFERROR(INDEX(Combination!$E$2:$E$2628,MATCH(0,COUNTIF($A$2:A118,Combination!$E$2:$E$2628)+IF(Combination!$E$2:$E$2628="",1,0),0)),"")</f>
        <v/>
      </c>
      <c r="B119" s="13">
        <f t="array" ref="B119">IFERROR(SMALL(IF(IF(Dashboard!$C$5="",TRUE(),ISNUMBER(SEARCH(Dashboard!$C$5,$A$2:$A$202))),ROW($A$2:$A$202)-ROW($A$2)+1),ROW()-ROW($B$2)+1),"")</f>
        <v>118</v>
      </c>
      <c r="C119" s="13" t="str">
        <f t="shared" si="1"/>
        <v/>
      </c>
    </row>
    <row r="120" spans="1:3" ht="15" customHeight="1" x14ac:dyDescent="0.3">
      <c r="A120" s="13" t="str">
        <f t="array" ref="A120">IFERROR(INDEX(Combination!$E$2:$E$2628,MATCH(0,COUNTIF($A$2:A119,Combination!$E$2:$E$2628)+IF(Combination!$E$2:$E$2628="",1,0),0)),"")</f>
        <v/>
      </c>
      <c r="B120" s="13">
        <f t="array" ref="B120">IFERROR(SMALL(IF(IF(Dashboard!$C$5="",TRUE(),ISNUMBER(SEARCH(Dashboard!$C$5,$A$2:$A$202))),ROW($A$2:$A$202)-ROW($A$2)+1),ROW()-ROW($B$2)+1),"")</f>
        <v>119</v>
      </c>
      <c r="C120" s="13" t="str">
        <f t="shared" si="1"/>
        <v/>
      </c>
    </row>
    <row r="121" spans="1:3" ht="15" customHeight="1" x14ac:dyDescent="0.3">
      <c r="A121" s="13" t="str">
        <f t="array" ref="A121">IFERROR(INDEX(Combination!$E$2:$E$2628,MATCH(0,COUNTIF($A$2:A120,Combination!$E$2:$E$2628)+IF(Combination!$E$2:$E$2628="",1,0),0)),"")</f>
        <v/>
      </c>
      <c r="B121" s="13">
        <f t="array" ref="B121">IFERROR(SMALL(IF(IF(Dashboard!$C$5="",TRUE(),ISNUMBER(SEARCH(Dashboard!$C$5,$A$2:$A$202))),ROW($A$2:$A$202)-ROW($A$2)+1),ROW()-ROW($B$2)+1),"")</f>
        <v>120</v>
      </c>
      <c r="C121" s="13" t="str">
        <f t="shared" si="1"/>
        <v/>
      </c>
    </row>
    <row r="122" spans="1:3" ht="15" customHeight="1" x14ac:dyDescent="0.3">
      <c r="A122" s="13" t="str">
        <f t="array" ref="A122">IFERROR(INDEX(Combination!$E$2:$E$2628,MATCH(0,COUNTIF($A$2:A121,Combination!$E$2:$E$2628)+IF(Combination!$E$2:$E$2628="",1,0),0)),"")</f>
        <v/>
      </c>
      <c r="B122" s="13">
        <f t="array" ref="B122">IFERROR(SMALL(IF(IF(Dashboard!$C$5="",TRUE(),ISNUMBER(SEARCH(Dashboard!$C$5,$A$2:$A$202))),ROW($A$2:$A$202)-ROW($A$2)+1),ROW()-ROW($B$2)+1),"")</f>
        <v>121</v>
      </c>
      <c r="C122" s="13" t="str">
        <f t="shared" si="1"/>
        <v/>
      </c>
    </row>
    <row r="123" spans="1:3" ht="15" customHeight="1" x14ac:dyDescent="0.3">
      <c r="A123" s="13" t="str">
        <f t="array" ref="A123">IFERROR(INDEX(Combination!$E$2:$E$2628,MATCH(0,COUNTIF($A$2:A122,Combination!$E$2:$E$2628)+IF(Combination!$E$2:$E$2628="",1,0),0)),"")</f>
        <v/>
      </c>
      <c r="B123" s="13">
        <f t="array" ref="B123">IFERROR(SMALL(IF(IF(Dashboard!$C$5="",TRUE(),ISNUMBER(SEARCH(Dashboard!$C$5,$A$2:$A$202))),ROW($A$2:$A$202)-ROW($A$2)+1),ROW()-ROW($B$2)+1),"")</f>
        <v>122</v>
      </c>
      <c r="C123" s="13" t="str">
        <f t="shared" si="1"/>
        <v/>
      </c>
    </row>
    <row r="124" spans="1:3" ht="15" customHeight="1" x14ac:dyDescent="0.3">
      <c r="A124" s="13" t="str">
        <f t="array" ref="A124">IFERROR(INDEX(Combination!$E$2:$E$2628,MATCH(0,COUNTIF($A$2:A123,Combination!$E$2:$E$2628)+IF(Combination!$E$2:$E$2628="",1,0),0)),"")</f>
        <v/>
      </c>
      <c r="B124" s="13">
        <f t="array" ref="B124">IFERROR(SMALL(IF(IF(Dashboard!$C$5="",TRUE(),ISNUMBER(SEARCH(Dashboard!$C$5,$A$2:$A$202))),ROW($A$2:$A$202)-ROW($A$2)+1),ROW()-ROW($B$2)+1),"")</f>
        <v>123</v>
      </c>
      <c r="C124" s="13" t="str">
        <f t="shared" si="1"/>
        <v/>
      </c>
    </row>
    <row r="125" spans="1:3" ht="15" customHeight="1" x14ac:dyDescent="0.3">
      <c r="A125" s="13" t="str">
        <f t="array" ref="A125">IFERROR(INDEX(Combination!$E$2:$E$2628,MATCH(0,COUNTIF($A$2:A124,Combination!$E$2:$E$2628)+IF(Combination!$E$2:$E$2628="",1,0),0)),"")</f>
        <v/>
      </c>
      <c r="B125" s="13">
        <f t="array" ref="B125">IFERROR(SMALL(IF(IF(Dashboard!$C$5="",TRUE(),ISNUMBER(SEARCH(Dashboard!$C$5,$A$2:$A$202))),ROW($A$2:$A$202)-ROW($A$2)+1),ROW()-ROW($B$2)+1),"")</f>
        <v>124</v>
      </c>
      <c r="C125" s="13" t="str">
        <f t="shared" si="1"/>
        <v/>
      </c>
    </row>
    <row r="126" spans="1:3" ht="15" customHeight="1" x14ac:dyDescent="0.3">
      <c r="A126" s="13" t="str">
        <f t="array" ref="A126">IFERROR(INDEX(Combination!$E$2:$E$2628,MATCH(0,COUNTIF($A$2:A125,Combination!$E$2:$E$2628)+IF(Combination!$E$2:$E$2628="",1,0),0)),"")</f>
        <v/>
      </c>
      <c r="B126" s="13">
        <f t="array" ref="B126">IFERROR(SMALL(IF(IF(Dashboard!$C$5="",TRUE(),ISNUMBER(SEARCH(Dashboard!$C$5,$A$2:$A$202))),ROW($A$2:$A$202)-ROW($A$2)+1),ROW()-ROW($B$2)+1),"")</f>
        <v>125</v>
      </c>
      <c r="C126" s="13" t="str">
        <f t="shared" si="1"/>
        <v/>
      </c>
    </row>
    <row r="127" spans="1:3" ht="15" customHeight="1" x14ac:dyDescent="0.3">
      <c r="A127" s="13" t="str">
        <f t="array" ref="A127">IFERROR(INDEX(Combination!$E$2:$E$2628,MATCH(0,COUNTIF($A$2:A126,Combination!$E$2:$E$2628)+IF(Combination!$E$2:$E$2628="",1,0),0)),"")</f>
        <v/>
      </c>
      <c r="B127" s="13">
        <f t="array" ref="B127">IFERROR(SMALL(IF(IF(Dashboard!$C$5="",TRUE(),ISNUMBER(SEARCH(Dashboard!$C$5,$A$2:$A$202))),ROW($A$2:$A$202)-ROW($A$2)+1),ROW()-ROW($B$2)+1),"")</f>
        <v>126</v>
      </c>
      <c r="C127" s="13" t="str">
        <f t="shared" si="1"/>
        <v/>
      </c>
    </row>
    <row r="128" spans="1:3" ht="15" customHeight="1" x14ac:dyDescent="0.3">
      <c r="A128" s="13" t="str">
        <f t="array" ref="A128">IFERROR(INDEX(Combination!$E$2:$E$2628,MATCH(0,COUNTIF($A$2:A127,Combination!$E$2:$E$2628)+IF(Combination!$E$2:$E$2628="",1,0),0)),"")</f>
        <v/>
      </c>
      <c r="B128" s="13">
        <f t="array" ref="B128">IFERROR(SMALL(IF(IF(Dashboard!$C$5="",TRUE(),ISNUMBER(SEARCH(Dashboard!$C$5,$A$2:$A$202))),ROW($A$2:$A$202)-ROW($A$2)+1),ROW()-ROW($B$2)+1),"")</f>
        <v>127</v>
      </c>
      <c r="C128" s="13" t="str">
        <f t="shared" si="1"/>
        <v/>
      </c>
    </row>
    <row r="129" spans="1:3" ht="15" customHeight="1" x14ac:dyDescent="0.3">
      <c r="A129" s="13" t="str">
        <f t="array" ref="A129">IFERROR(INDEX(Combination!$E$2:$E$2628,MATCH(0,COUNTIF($A$2:A128,Combination!$E$2:$E$2628)+IF(Combination!$E$2:$E$2628="",1,0),0)),"")</f>
        <v/>
      </c>
      <c r="B129" s="13">
        <f t="array" ref="B129">IFERROR(SMALL(IF(IF(Dashboard!$C$5="",TRUE(),ISNUMBER(SEARCH(Dashboard!$C$5,$A$2:$A$202))),ROW($A$2:$A$202)-ROW($A$2)+1),ROW()-ROW($B$2)+1),"")</f>
        <v>128</v>
      </c>
      <c r="C129" s="13" t="str">
        <f t="shared" si="1"/>
        <v/>
      </c>
    </row>
    <row r="130" spans="1:3" ht="15" customHeight="1" x14ac:dyDescent="0.3">
      <c r="A130" s="13" t="str">
        <f t="array" ref="A130">IFERROR(INDEX(Combination!$E$2:$E$2628,MATCH(0,COUNTIF($A$2:A129,Combination!$E$2:$E$2628)+IF(Combination!$E$2:$E$2628="",1,0),0)),"")</f>
        <v/>
      </c>
      <c r="B130" s="13">
        <f t="array" ref="B130">IFERROR(SMALL(IF(IF(Dashboard!$C$5="",TRUE(),ISNUMBER(SEARCH(Dashboard!$C$5,$A$2:$A$202))),ROW($A$2:$A$202)-ROW($A$2)+1),ROW()-ROW($B$2)+1),"")</f>
        <v>129</v>
      </c>
      <c r="C130" s="13" t="str">
        <f t="shared" ref="C130:C193" si="2">IFERROR(INDEX($A$2:$A$202,$B130),"")</f>
        <v/>
      </c>
    </row>
    <row r="131" spans="1:3" ht="15" customHeight="1" x14ac:dyDescent="0.3">
      <c r="A131" s="13" t="str">
        <f t="array" ref="A131">IFERROR(INDEX(Combination!$E$2:$E$2628,MATCH(0,COUNTIF($A$2:A130,Combination!$E$2:$E$2628)+IF(Combination!$E$2:$E$2628="",1,0),0)),"")</f>
        <v/>
      </c>
      <c r="B131" s="13">
        <f t="array" ref="B131">IFERROR(SMALL(IF(IF(Dashboard!$C$5="",TRUE(),ISNUMBER(SEARCH(Dashboard!$C$5,$A$2:$A$202))),ROW($A$2:$A$202)-ROW($A$2)+1),ROW()-ROW($B$2)+1),"")</f>
        <v>130</v>
      </c>
      <c r="C131" s="13" t="str">
        <f t="shared" si="2"/>
        <v/>
      </c>
    </row>
    <row r="132" spans="1:3" ht="15" customHeight="1" x14ac:dyDescent="0.3">
      <c r="A132" s="13" t="str">
        <f t="array" ref="A132">IFERROR(INDEX(Combination!$E$2:$E$2628,MATCH(0,COUNTIF($A$2:A131,Combination!$E$2:$E$2628)+IF(Combination!$E$2:$E$2628="",1,0),0)),"")</f>
        <v/>
      </c>
      <c r="B132" s="13">
        <f t="array" ref="B132">IFERROR(SMALL(IF(IF(Dashboard!$C$5="",TRUE(),ISNUMBER(SEARCH(Dashboard!$C$5,$A$2:$A$202))),ROW($A$2:$A$202)-ROW($A$2)+1),ROW()-ROW($B$2)+1),"")</f>
        <v>131</v>
      </c>
      <c r="C132" s="13" t="str">
        <f t="shared" si="2"/>
        <v/>
      </c>
    </row>
    <row r="133" spans="1:3" ht="15" customHeight="1" x14ac:dyDescent="0.3">
      <c r="A133" s="13" t="str">
        <f t="array" ref="A133">IFERROR(INDEX(Combination!$E$2:$E$2628,MATCH(0,COUNTIF($A$2:A132,Combination!$E$2:$E$2628)+IF(Combination!$E$2:$E$2628="",1,0),0)),"")</f>
        <v/>
      </c>
      <c r="B133" s="13">
        <f t="array" ref="B133">IFERROR(SMALL(IF(IF(Dashboard!$C$5="",TRUE(),ISNUMBER(SEARCH(Dashboard!$C$5,$A$2:$A$202))),ROW($A$2:$A$202)-ROW($A$2)+1),ROW()-ROW($B$2)+1),"")</f>
        <v>132</v>
      </c>
      <c r="C133" s="13" t="str">
        <f t="shared" si="2"/>
        <v/>
      </c>
    </row>
    <row r="134" spans="1:3" ht="15" customHeight="1" x14ac:dyDescent="0.3">
      <c r="A134" s="13" t="str">
        <f t="array" ref="A134">IFERROR(INDEX(Combination!$E$2:$E$2628,MATCH(0,COUNTIF($A$2:A133,Combination!$E$2:$E$2628)+IF(Combination!$E$2:$E$2628="",1,0),0)),"")</f>
        <v/>
      </c>
      <c r="B134" s="13">
        <f t="array" ref="B134">IFERROR(SMALL(IF(IF(Dashboard!$C$5="",TRUE(),ISNUMBER(SEARCH(Dashboard!$C$5,$A$2:$A$202))),ROW($A$2:$A$202)-ROW($A$2)+1),ROW()-ROW($B$2)+1),"")</f>
        <v>133</v>
      </c>
      <c r="C134" s="13" t="str">
        <f t="shared" si="2"/>
        <v/>
      </c>
    </row>
    <row r="135" spans="1:3" ht="15" customHeight="1" x14ac:dyDescent="0.3">
      <c r="A135" s="13" t="str">
        <f t="array" ref="A135">IFERROR(INDEX(Combination!$E$2:$E$2628,MATCH(0,COUNTIF($A$2:A134,Combination!$E$2:$E$2628)+IF(Combination!$E$2:$E$2628="",1,0),0)),"")</f>
        <v/>
      </c>
      <c r="B135" s="13">
        <f t="array" ref="B135">IFERROR(SMALL(IF(IF(Dashboard!$C$5="",TRUE(),ISNUMBER(SEARCH(Dashboard!$C$5,$A$2:$A$202))),ROW($A$2:$A$202)-ROW($A$2)+1),ROW()-ROW($B$2)+1),"")</f>
        <v>134</v>
      </c>
      <c r="C135" s="13" t="str">
        <f t="shared" si="2"/>
        <v/>
      </c>
    </row>
    <row r="136" spans="1:3" ht="15" customHeight="1" x14ac:dyDescent="0.3">
      <c r="A136" s="13" t="str">
        <f t="array" ref="A136">IFERROR(INDEX(Combination!$E$2:$E$2628,MATCH(0,COUNTIF($A$2:A135,Combination!$E$2:$E$2628)+IF(Combination!$E$2:$E$2628="",1,0),0)),"")</f>
        <v/>
      </c>
      <c r="B136" s="13">
        <f t="array" ref="B136">IFERROR(SMALL(IF(IF(Dashboard!$C$5="",TRUE(),ISNUMBER(SEARCH(Dashboard!$C$5,$A$2:$A$202))),ROW($A$2:$A$202)-ROW($A$2)+1),ROW()-ROW($B$2)+1),"")</f>
        <v>135</v>
      </c>
      <c r="C136" s="13" t="str">
        <f t="shared" si="2"/>
        <v/>
      </c>
    </row>
    <row r="137" spans="1:3" ht="15" customHeight="1" x14ac:dyDescent="0.3">
      <c r="A137" s="13" t="str">
        <f t="array" ref="A137">IFERROR(INDEX(Combination!$E$2:$E$2628,MATCH(0,COUNTIF($A$2:A136,Combination!$E$2:$E$2628)+IF(Combination!$E$2:$E$2628="",1,0),0)),"")</f>
        <v/>
      </c>
      <c r="B137" s="13">
        <f t="array" ref="B137">IFERROR(SMALL(IF(IF(Dashboard!$C$5="",TRUE(),ISNUMBER(SEARCH(Dashboard!$C$5,$A$2:$A$202))),ROW($A$2:$A$202)-ROW($A$2)+1),ROW()-ROW($B$2)+1),"")</f>
        <v>136</v>
      </c>
      <c r="C137" s="13" t="str">
        <f t="shared" si="2"/>
        <v/>
      </c>
    </row>
    <row r="138" spans="1:3" ht="15" customHeight="1" x14ac:dyDescent="0.3">
      <c r="A138" s="13" t="str">
        <f t="array" ref="A138">IFERROR(INDEX(Combination!$E$2:$E$2628,MATCH(0,COUNTIF($A$2:A137,Combination!$E$2:$E$2628)+IF(Combination!$E$2:$E$2628="",1,0),0)),"")</f>
        <v/>
      </c>
      <c r="B138" s="13">
        <f t="array" ref="B138">IFERROR(SMALL(IF(IF(Dashboard!$C$5="",TRUE(),ISNUMBER(SEARCH(Dashboard!$C$5,$A$2:$A$202))),ROW($A$2:$A$202)-ROW($A$2)+1),ROW()-ROW($B$2)+1),"")</f>
        <v>137</v>
      </c>
      <c r="C138" s="13" t="str">
        <f t="shared" si="2"/>
        <v/>
      </c>
    </row>
    <row r="139" spans="1:3" ht="15" customHeight="1" x14ac:dyDescent="0.3">
      <c r="A139" s="13" t="str">
        <f t="array" ref="A139">IFERROR(INDEX(Combination!$E$2:$E$2628,MATCH(0,COUNTIF($A$2:A138,Combination!$E$2:$E$2628)+IF(Combination!$E$2:$E$2628="",1,0),0)),"")</f>
        <v/>
      </c>
      <c r="B139" s="13">
        <f t="array" ref="B139">IFERROR(SMALL(IF(IF(Dashboard!$C$5="",TRUE(),ISNUMBER(SEARCH(Dashboard!$C$5,$A$2:$A$202))),ROW($A$2:$A$202)-ROW($A$2)+1),ROW()-ROW($B$2)+1),"")</f>
        <v>138</v>
      </c>
      <c r="C139" s="13" t="str">
        <f t="shared" si="2"/>
        <v/>
      </c>
    </row>
    <row r="140" spans="1:3" ht="15" customHeight="1" x14ac:dyDescent="0.3">
      <c r="A140" s="13" t="str">
        <f t="array" ref="A140">IFERROR(INDEX(Combination!$E$2:$E$2628,MATCH(0,COUNTIF($A$2:A139,Combination!$E$2:$E$2628)+IF(Combination!$E$2:$E$2628="",1,0),0)),"")</f>
        <v/>
      </c>
      <c r="B140" s="13">
        <f t="array" ref="B140">IFERROR(SMALL(IF(IF(Dashboard!$C$5="",TRUE(),ISNUMBER(SEARCH(Dashboard!$C$5,$A$2:$A$202))),ROW($A$2:$A$202)-ROW($A$2)+1),ROW()-ROW($B$2)+1),"")</f>
        <v>139</v>
      </c>
      <c r="C140" s="13" t="str">
        <f t="shared" si="2"/>
        <v/>
      </c>
    </row>
    <row r="141" spans="1:3" ht="15" customHeight="1" x14ac:dyDescent="0.3">
      <c r="A141" s="13" t="str">
        <f t="array" ref="A141">IFERROR(INDEX(Combination!$E$2:$E$2628,MATCH(0,COUNTIF($A$2:A140,Combination!$E$2:$E$2628)+IF(Combination!$E$2:$E$2628="",1,0),0)),"")</f>
        <v/>
      </c>
      <c r="B141" s="13">
        <f t="array" ref="B141">IFERROR(SMALL(IF(IF(Dashboard!$C$5="",TRUE(),ISNUMBER(SEARCH(Dashboard!$C$5,$A$2:$A$202))),ROW($A$2:$A$202)-ROW($A$2)+1),ROW()-ROW($B$2)+1),"")</f>
        <v>140</v>
      </c>
      <c r="C141" s="13" t="str">
        <f t="shared" si="2"/>
        <v/>
      </c>
    </row>
    <row r="142" spans="1:3" ht="15" customHeight="1" x14ac:dyDescent="0.3">
      <c r="A142" s="13" t="str">
        <f t="array" ref="A142">IFERROR(INDEX(Combination!$E$2:$E$2628,MATCH(0,COUNTIF($A$2:A141,Combination!$E$2:$E$2628)+IF(Combination!$E$2:$E$2628="",1,0),0)),"")</f>
        <v/>
      </c>
      <c r="B142" s="13">
        <f t="array" ref="B142">IFERROR(SMALL(IF(IF(Dashboard!$C$5="",TRUE(),ISNUMBER(SEARCH(Dashboard!$C$5,$A$2:$A$202))),ROW($A$2:$A$202)-ROW($A$2)+1),ROW()-ROW($B$2)+1),"")</f>
        <v>141</v>
      </c>
      <c r="C142" s="13" t="str">
        <f t="shared" si="2"/>
        <v/>
      </c>
    </row>
    <row r="143" spans="1:3" ht="15" customHeight="1" x14ac:dyDescent="0.3">
      <c r="A143" s="13" t="str">
        <f t="array" ref="A143">IFERROR(INDEX(Combination!$E$2:$E$2628,MATCH(0,COUNTIF($A$2:A142,Combination!$E$2:$E$2628)+IF(Combination!$E$2:$E$2628="",1,0),0)),"")</f>
        <v/>
      </c>
      <c r="B143" s="13">
        <f t="array" ref="B143">IFERROR(SMALL(IF(IF(Dashboard!$C$5="",TRUE(),ISNUMBER(SEARCH(Dashboard!$C$5,$A$2:$A$202))),ROW($A$2:$A$202)-ROW($A$2)+1),ROW()-ROW($B$2)+1),"")</f>
        <v>142</v>
      </c>
      <c r="C143" s="13" t="str">
        <f t="shared" si="2"/>
        <v/>
      </c>
    </row>
    <row r="144" spans="1:3" ht="15" customHeight="1" x14ac:dyDescent="0.3">
      <c r="A144" s="13" t="str">
        <f t="array" ref="A144">IFERROR(INDEX(Combination!$E$2:$E$2628,MATCH(0,COUNTIF($A$2:A143,Combination!$E$2:$E$2628)+IF(Combination!$E$2:$E$2628="",1,0),0)),"")</f>
        <v/>
      </c>
      <c r="B144" s="13">
        <f t="array" ref="B144">IFERROR(SMALL(IF(IF(Dashboard!$C$5="",TRUE(),ISNUMBER(SEARCH(Dashboard!$C$5,$A$2:$A$202))),ROW($A$2:$A$202)-ROW($A$2)+1),ROW()-ROW($B$2)+1),"")</f>
        <v>143</v>
      </c>
      <c r="C144" s="13" t="str">
        <f t="shared" si="2"/>
        <v/>
      </c>
    </row>
    <row r="145" spans="1:3" ht="15" customHeight="1" x14ac:dyDescent="0.3">
      <c r="A145" s="13" t="str">
        <f t="array" ref="A145">IFERROR(INDEX(Combination!$E$2:$E$2628,MATCH(0,COUNTIF($A$2:A144,Combination!$E$2:$E$2628)+IF(Combination!$E$2:$E$2628="",1,0),0)),"")</f>
        <v/>
      </c>
      <c r="B145" s="13">
        <f t="array" ref="B145">IFERROR(SMALL(IF(IF(Dashboard!$C$5="",TRUE(),ISNUMBER(SEARCH(Dashboard!$C$5,$A$2:$A$202))),ROW($A$2:$A$202)-ROW($A$2)+1),ROW()-ROW($B$2)+1),"")</f>
        <v>144</v>
      </c>
      <c r="C145" s="13" t="str">
        <f t="shared" si="2"/>
        <v/>
      </c>
    </row>
    <row r="146" spans="1:3" ht="15" customHeight="1" x14ac:dyDescent="0.3">
      <c r="A146" s="13" t="str">
        <f t="array" ref="A146">IFERROR(INDEX(Combination!$E$2:$E$2628,MATCH(0,COUNTIF($A$2:A145,Combination!$E$2:$E$2628)+IF(Combination!$E$2:$E$2628="",1,0),0)),"")</f>
        <v/>
      </c>
      <c r="B146" s="13">
        <f t="array" ref="B146">IFERROR(SMALL(IF(IF(Dashboard!$C$5="",TRUE(),ISNUMBER(SEARCH(Dashboard!$C$5,$A$2:$A$202))),ROW($A$2:$A$202)-ROW($A$2)+1),ROW()-ROW($B$2)+1),"")</f>
        <v>145</v>
      </c>
      <c r="C146" s="13" t="str">
        <f t="shared" si="2"/>
        <v/>
      </c>
    </row>
    <row r="147" spans="1:3" ht="15" customHeight="1" x14ac:dyDescent="0.3">
      <c r="A147" s="13" t="str">
        <f t="array" ref="A147">IFERROR(INDEX(Combination!$E$2:$E$2628,MATCH(0,COUNTIF($A$2:A146,Combination!$E$2:$E$2628)+IF(Combination!$E$2:$E$2628="",1,0),0)),"")</f>
        <v/>
      </c>
      <c r="B147" s="13">
        <f t="array" ref="B147">IFERROR(SMALL(IF(IF(Dashboard!$C$5="",TRUE(),ISNUMBER(SEARCH(Dashboard!$C$5,$A$2:$A$202))),ROW($A$2:$A$202)-ROW($A$2)+1),ROW()-ROW($B$2)+1),"")</f>
        <v>146</v>
      </c>
      <c r="C147" s="13" t="str">
        <f t="shared" si="2"/>
        <v/>
      </c>
    </row>
    <row r="148" spans="1:3" ht="15" customHeight="1" x14ac:dyDescent="0.3">
      <c r="A148" s="13" t="str">
        <f t="array" ref="A148">IFERROR(INDEX(Combination!$E$2:$E$2628,MATCH(0,COUNTIF($A$2:A147,Combination!$E$2:$E$2628)+IF(Combination!$E$2:$E$2628="",1,0),0)),"")</f>
        <v/>
      </c>
      <c r="B148" s="13">
        <f t="array" ref="B148">IFERROR(SMALL(IF(IF(Dashboard!$C$5="",TRUE(),ISNUMBER(SEARCH(Dashboard!$C$5,$A$2:$A$202))),ROW($A$2:$A$202)-ROW($A$2)+1),ROW()-ROW($B$2)+1),"")</f>
        <v>147</v>
      </c>
      <c r="C148" s="13" t="str">
        <f t="shared" si="2"/>
        <v/>
      </c>
    </row>
    <row r="149" spans="1:3" ht="15" customHeight="1" x14ac:dyDescent="0.3">
      <c r="A149" s="13" t="str">
        <f t="array" ref="A149">IFERROR(INDEX(Combination!$E$2:$E$2628,MATCH(0,COUNTIF($A$2:A148,Combination!$E$2:$E$2628)+IF(Combination!$E$2:$E$2628="",1,0),0)),"")</f>
        <v/>
      </c>
      <c r="B149" s="13">
        <f t="array" ref="B149">IFERROR(SMALL(IF(IF(Dashboard!$C$5="",TRUE(),ISNUMBER(SEARCH(Dashboard!$C$5,$A$2:$A$202))),ROW($A$2:$A$202)-ROW($A$2)+1),ROW()-ROW($B$2)+1),"")</f>
        <v>148</v>
      </c>
      <c r="C149" s="13" t="str">
        <f t="shared" si="2"/>
        <v/>
      </c>
    </row>
    <row r="150" spans="1:3" ht="15" customHeight="1" x14ac:dyDescent="0.3">
      <c r="A150" s="13" t="str">
        <f t="array" ref="A150">IFERROR(INDEX(Combination!$E$2:$E$2628,MATCH(0,COUNTIF($A$2:A149,Combination!$E$2:$E$2628)+IF(Combination!$E$2:$E$2628="",1,0),0)),"")</f>
        <v/>
      </c>
      <c r="B150" s="13">
        <f t="array" ref="B150">IFERROR(SMALL(IF(IF(Dashboard!$C$5="",TRUE(),ISNUMBER(SEARCH(Dashboard!$C$5,$A$2:$A$202))),ROW($A$2:$A$202)-ROW($A$2)+1),ROW()-ROW($B$2)+1),"")</f>
        <v>149</v>
      </c>
      <c r="C150" s="13" t="str">
        <f t="shared" si="2"/>
        <v/>
      </c>
    </row>
    <row r="151" spans="1:3" ht="15" customHeight="1" x14ac:dyDescent="0.3">
      <c r="A151" s="13" t="str">
        <f t="array" ref="A151">IFERROR(INDEX(Combination!$E$2:$E$2628,MATCH(0,COUNTIF($A$2:A150,Combination!$E$2:$E$2628)+IF(Combination!$E$2:$E$2628="",1,0),0)),"")</f>
        <v/>
      </c>
      <c r="B151" s="13">
        <f t="array" ref="B151">IFERROR(SMALL(IF(IF(Dashboard!$C$5="",TRUE(),ISNUMBER(SEARCH(Dashboard!$C$5,$A$2:$A$202))),ROW($A$2:$A$202)-ROW($A$2)+1),ROW()-ROW($B$2)+1),"")</f>
        <v>150</v>
      </c>
      <c r="C151" s="13" t="str">
        <f t="shared" si="2"/>
        <v/>
      </c>
    </row>
    <row r="152" spans="1:3" ht="15" customHeight="1" x14ac:dyDescent="0.3">
      <c r="A152" s="13" t="str">
        <f t="array" ref="A152">IFERROR(INDEX(Combination!$E$2:$E$2628,MATCH(0,COUNTIF($A$2:A151,Combination!$E$2:$E$2628)+IF(Combination!$E$2:$E$2628="",1,0),0)),"")</f>
        <v/>
      </c>
      <c r="B152" s="13">
        <f t="array" ref="B152">IFERROR(SMALL(IF(IF(Dashboard!$C$5="",TRUE(),ISNUMBER(SEARCH(Dashboard!$C$5,$A$2:$A$202))),ROW($A$2:$A$202)-ROW($A$2)+1),ROW()-ROW($B$2)+1),"")</f>
        <v>151</v>
      </c>
      <c r="C152" s="13" t="str">
        <f t="shared" si="2"/>
        <v/>
      </c>
    </row>
    <row r="153" spans="1:3" ht="15" customHeight="1" x14ac:dyDescent="0.3">
      <c r="A153" s="13" t="str">
        <f t="array" ref="A153">IFERROR(INDEX(Combination!$E$2:$E$2628,MATCH(0,COUNTIF($A$2:A152,Combination!$E$2:$E$2628)+IF(Combination!$E$2:$E$2628="",1,0),0)),"")</f>
        <v/>
      </c>
      <c r="B153" s="13">
        <f t="array" ref="B153">IFERROR(SMALL(IF(IF(Dashboard!$C$5="",TRUE(),ISNUMBER(SEARCH(Dashboard!$C$5,$A$2:$A$202))),ROW($A$2:$A$202)-ROW($A$2)+1),ROW()-ROW($B$2)+1),"")</f>
        <v>152</v>
      </c>
      <c r="C153" s="13" t="str">
        <f t="shared" si="2"/>
        <v/>
      </c>
    </row>
    <row r="154" spans="1:3" ht="15" customHeight="1" x14ac:dyDescent="0.3">
      <c r="A154" s="13" t="str">
        <f t="array" ref="A154">IFERROR(INDEX(Combination!$E$2:$E$2628,MATCH(0,COUNTIF($A$2:A153,Combination!$E$2:$E$2628)+IF(Combination!$E$2:$E$2628="",1,0),0)),"")</f>
        <v/>
      </c>
      <c r="B154" s="13">
        <f t="array" ref="B154">IFERROR(SMALL(IF(IF(Dashboard!$C$5="",TRUE(),ISNUMBER(SEARCH(Dashboard!$C$5,$A$2:$A$202))),ROW($A$2:$A$202)-ROW($A$2)+1),ROW()-ROW($B$2)+1),"")</f>
        <v>153</v>
      </c>
      <c r="C154" s="13" t="str">
        <f t="shared" si="2"/>
        <v/>
      </c>
    </row>
    <row r="155" spans="1:3" ht="15" customHeight="1" x14ac:dyDescent="0.3">
      <c r="A155" s="13" t="str">
        <f t="array" ref="A155">IFERROR(INDEX(Combination!$E$2:$E$2628,MATCH(0,COUNTIF($A$2:A154,Combination!$E$2:$E$2628)+IF(Combination!$E$2:$E$2628="",1,0),0)),"")</f>
        <v/>
      </c>
      <c r="B155" s="13">
        <f t="array" ref="B155">IFERROR(SMALL(IF(IF(Dashboard!$C$5="",TRUE(),ISNUMBER(SEARCH(Dashboard!$C$5,$A$2:$A$202))),ROW($A$2:$A$202)-ROW($A$2)+1),ROW()-ROW($B$2)+1),"")</f>
        <v>154</v>
      </c>
      <c r="C155" s="13" t="str">
        <f t="shared" si="2"/>
        <v/>
      </c>
    </row>
    <row r="156" spans="1:3" ht="15" customHeight="1" x14ac:dyDescent="0.3">
      <c r="A156" s="13" t="str">
        <f t="array" ref="A156">IFERROR(INDEX(Combination!$E$2:$E$2628,MATCH(0,COUNTIF($A$2:A155,Combination!$E$2:$E$2628)+IF(Combination!$E$2:$E$2628="",1,0),0)),"")</f>
        <v/>
      </c>
      <c r="B156" s="13">
        <f t="array" ref="B156">IFERROR(SMALL(IF(IF(Dashboard!$C$5="",TRUE(),ISNUMBER(SEARCH(Dashboard!$C$5,$A$2:$A$202))),ROW($A$2:$A$202)-ROW($A$2)+1),ROW()-ROW($B$2)+1),"")</f>
        <v>155</v>
      </c>
      <c r="C156" s="13" t="str">
        <f t="shared" si="2"/>
        <v/>
      </c>
    </row>
    <row r="157" spans="1:3" ht="15" customHeight="1" x14ac:dyDescent="0.3">
      <c r="A157" s="13" t="str">
        <f t="array" ref="A157">IFERROR(INDEX(Combination!$E$2:$E$2628,MATCH(0,COUNTIF($A$2:A156,Combination!$E$2:$E$2628)+IF(Combination!$E$2:$E$2628="",1,0),0)),"")</f>
        <v/>
      </c>
      <c r="B157" s="13">
        <f t="array" ref="B157">IFERROR(SMALL(IF(IF(Dashboard!$C$5="",TRUE(),ISNUMBER(SEARCH(Dashboard!$C$5,$A$2:$A$202))),ROW($A$2:$A$202)-ROW($A$2)+1),ROW()-ROW($B$2)+1),"")</f>
        <v>156</v>
      </c>
      <c r="C157" s="13" t="str">
        <f t="shared" si="2"/>
        <v/>
      </c>
    </row>
    <row r="158" spans="1:3" ht="15" customHeight="1" x14ac:dyDescent="0.3">
      <c r="A158" s="13" t="str">
        <f t="array" ref="A158">IFERROR(INDEX(Combination!$E$2:$E$2628,MATCH(0,COUNTIF($A$2:A157,Combination!$E$2:$E$2628)+IF(Combination!$E$2:$E$2628="",1,0),0)),"")</f>
        <v/>
      </c>
      <c r="B158" s="13">
        <f t="array" ref="B158">IFERROR(SMALL(IF(IF(Dashboard!$C$5="",TRUE(),ISNUMBER(SEARCH(Dashboard!$C$5,$A$2:$A$202))),ROW($A$2:$A$202)-ROW($A$2)+1),ROW()-ROW($B$2)+1),"")</f>
        <v>157</v>
      </c>
      <c r="C158" s="13" t="str">
        <f t="shared" si="2"/>
        <v/>
      </c>
    </row>
    <row r="159" spans="1:3" ht="15" customHeight="1" x14ac:dyDescent="0.3">
      <c r="A159" s="13" t="str">
        <f t="array" ref="A159">IFERROR(INDEX(Combination!$E$2:$E$2628,MATCH(0,COUNTIF($A$2:A158,Combination!$E$2:$E$2628)+IF(Combination!$E$2:$E$2628="",1,0),0)),"")</f>
        <v/>
      </c>
      <c r="B159" s="13">
        <f t="array" ref="B159">IFERROR(SMALL(IF(IF(Dashboard!$C$5="",TRUE(),ISNUMBER(SEARCH(Dashboard!$C$5,$A$2:$A$202))),ROW($A$2:$A$202)-ROW($A$2)+1),ROW()-ROW($B$2)+1),"")</f>
        <v>158</v>
      </c>
      <c r="C159" s="13" t="str">
        <f t="shared" si="2"/>
        <v/>
      </c>
    </row>
    <row r="160" spans="1:3" ht="15" customHeight="1" x14ac:dyDescent="0.3">
      <c r="A160" s="13" t="str">
        <f t="array" ref="A160">IFERROR(INDEX(Combination!$E$2:$E$2628,MATCH(0,COUNTIF($A$2:A159,Combination!$E$2:$E$2628)+IF(Combination!$E$2:$E$2628="",1,0),0)),"")</f>
        <v/>
      </c>
      <c r="B160" s="13">
        <f t="array" ref="B160">IFERROR(SMALL(IF(IF(Dashboard!$C$5="",TRUE(),ISNUMBER(SEARCH(Dashboard!$C$5,$A$2:$A$202))),ROW($A$2:$A$202)-ROW($A$2)+1),ROW()-ROW($B$2)+1),"")</f>
        <v>159</v>
      </c>
      <c r="C160" s="13" t="str">
        <f t="shared" si="2"/>
        <v/>
      </c>
    </row>
    <row r="161" spans="1:3" ht="15" customHeight="1" x14ac:dyDescent="0.3">
      <c r="A161" s="13" t="str">
        <f t="array" ref="A161">IFERROR(INDEX(Combination!$E$2:$E$2628,MATCH(0,COUNTIF($A$2:A160,Combination!$E$2:$E$2628)+IF(Combination!$E$2:$E$2628="",1,0),0)),"")</f>
        <v/>
      </c>
      <c r="B161" s="13">
        <f t="array" ref="B161">IFERROR(SMALL(IF(IF(Dashboard!$C$5="",TRUE(),ISNUMBER(SEARCH(Dashboard!$C$5,$A$2:$A$202))),ROW($A$2:$A$202)-ROW($A$2)+1),ROW()-ROW($B$2)+1),"")</f>
        <v>160</v>
      </c>
      <c r="C161" s="13" t="str">
        <f t="shared" si="2"/>
        <v/>
      </c>
    </row>
    <row r="162" spans="1:3" ht="15" customHeight="1" x14ac:dyDescent="0.3">
      <c r="A162" s="13" t="str">
        <f t="array" ref="A162">IFERROR(INDEX(Combination!$E$2:$E$2628,MATCH(0,COUNTIF($A$2:A161,Combination!$E$2:$E$2628)+IF(Combination!$E$2:$E$2628="",1,0),0)),"")</f>
        <v/>
      </c>
      <c r="B162" s="13">
        <f t="array" ref="B162">IFERROR(SMALL(IF(IF(Dashboard!$C$5="",TRUE(),ISNUMBER(SEARCH(Dashboard!$C$5,$A$2:$A$202))),ROW($A$2:$A$202)-ROW($A$2)+1),ROW()-ROW($B$2)+1),"")</f>
        <v>161</v>
      </c>
      <c r="C162" s="13" t="str">
        <f t="shared" si="2"/>
        <v/>
      </c>
    </row>
    <row r="163" spans="1:3" ht="15" customHeight="1" x14ac:dyDescent="0.3">
      <c r="A163" s="13" t="str">
        <f t="array" ref="A163">IFERROR(INDEX(Combination!$E$2:$E$2628,MATCH(0,COUNTIF($A$2:A162,Combination!$E$2:$E$2628)+IF(Combination!$E$2:$E$2628="",1,0),0)),"")</f>
        <v/>
      </c>
      <c r="B163" s="13">
        <f t="array" ref="B163">IFERROR(SMALL(IF(IF(Dashboard!$C$5="",TRUE(),ISNUMBER(SEARCH(Dashboard!$C$5,$A$2:$A$202))),ROW($A$2:$A$202)-ROW($A$2)+1),ROW()-ROW($B$2)+1),"")</f>
        <v>162</v>
      </c>
      <c r="C163" s="13" t="str">
        <f t="shared" si="2"/>
        <v/>
      </c>
    </row>
    <row r="164" spans="1:3" ht="15" customHeight="1" x14ac:dyDescent="0.3">
      <c r="A164" s="13" t="str">
        <f t="array" ref="A164">IFERROR(INDEX(Combination!$E$2:$E$2628,MATCH(0,COUNTIF($A$2:A163,Combination!$E$2:$E$2628)+IF(Combination!$E$2:$E$2628="",1,0),0)),"")</f>
        <v/>
      </c>
      <c r="B164" s="13">
        <f t="array" ref="B164">IFERROR(SMALL(IF(IF(Dashboard!$C$5="",TRUE(),ISNUMBER(SEARCH(Dashboard!$C$5,$A$2:$A$202))),ROW($A$2:$A$202)-ROW($A$2)+1),ROW()-ROW($B$2)+1),"")</f>
        <v>163</v>
      </c>
      <c r="C164" s="13" t="str">
        <f t="shared" si="2"/>
        <v/>
      </c>
    </row>
    <row r="165" spans="1:3" ht="15" customHeight="1" x14ac:dyDescent="0.3">
      <c r="A165" s="13" t="str">
        <f t="array" ref="A165">IFERROR(INDEX(Combination!$E$2:$E$2628,MATCH(0,COUNTIF($A$2:A164,Combination!$E$2:$E$2628)+IF(Combination!$E$2:$E$2628="",1,0),0)),"")</f>
        <v/>
      </c>
      <c r="B165" s="13">
        <f t="array" ref="B165">IFERROR(SMALL(IF(IF(Dashboard!$C$5="",TRUE(),ISNUMBER(SEARCH(Dashboard!$C$5,$A$2:$A$202))),ROW($A$2:$A$202)-ROW($A$2)+1),ROW()-ROW($B$2)+1),"")</f>
        <v>164</v>
      </c>
      <c r="C165" s="13" t="str">
        <f t="shared" si="2"/>
        <v/>
      </c>
    </row>
    <row r="166" spans="1:3" ht="15" customHeight="1" x14ac:dyDescent="0.3">
      <c r="A166" s="13" t="str">
        <f t="array" ref="A166">IFERROR(INDEX(Combination!$E$2:$E$2628,MATCH(0,COUNTIF($A$2:A165,Combination!$E$2:$E$2628)+IF(Combination!$E$2:$E$2628="",1,0),0)),"")</f>
        <v/>
      </c>
      <c r="B166" s="13">
        <f t="array" ref="B166">IFERROR(SMALL(IF(IF(Dashboard!$C$5="",TRUE(),ISNUMBER(SEARCH(Dashboard!$C$5,$A$2:$A$202))),ROW($A$2:$A$202)-ROW($A$2)+1),ROW()-ROW($B$2)+1),"")</f>
        <v>165</v>
      </c>
      <c r="C166" s="13" t="str">
        <f t="shared" si="2"/>
        <v/>
      </c>
    </row>
    <row r="167" spans="1:3" ht="15" customHeight="1" x14ac:dyDescent="0.3">
      <c r="A167" s="13" t="str">
        <f t="array" ref="A167">IFERROR(INDEX(Combination!$E$2:$E$2628,MATCH(0,COUNTIF($A$2:A166,Combination!$E$2:$E$2628)+IF(Combination!$E$2:$E$2628="",1,0),0)),"")</f>
        <v/>
      </c>
      <c r="B167" s="13">
        <f t="array" ref="B167">IFERROR(SMALL(IF(IF(Dashboard!$C$5="",TRUE(),ISNUMBER(SEARCH(Dashboard!$C$5,$A$2:$A$202))),ROW($A$2:$A$202)-ROW($A$2)+1),ROW()-ROW($B$2)+1),"")</f>
        <v>166</v>
      </c>
      <c r="C167" s="13" t="str">
        <f t="shared" si="2"/>
        <v/>
      </c>
    </row>
    <row r="168" spans="1:3" ht="15" customHeight="1" x14ac:dyDescent="0.3">
      <c r="A168" s="13" t="str">
        <f t="array" ref="A168">IFERROR(INDEX(Combination!$E$2:$E$2628,MATCH(0,COUNTIF($A$2:A167,Combination!$E$2:$E$2628)+IF(Combination!$E$2:$E$2628="",1,0),0)),"")</f>
        <v/>
      </c>
      <c r="B168" s="13">
        <f t="array" ref="B168">IFERROR(SMALL(IF(IF(Dashboard!$C$5="",TRUE(),ISNUMBER(SEARCH(Dashboard!$C$5,$A$2:$A$202))),ROW($A$2:$A$202)-ROW($A$2)+1),ROW()-ROW($B$2)+1),"")</f>
        <v>167</v>
      </c>
      <c r="C168" s="13" t="str">
        <f t="shared" si="2"/>
        <v/>
      </c>
    </row>
    <row r="169" spans="1:3" ht="15" customHeight="1" x14ac:dyDescent="0.3">
      <c r="A169" s="13" t="str">
        <f t="array" ref="A169">IFERROR(INDEX(Combination!$E$2:$E$2628,MATCH(0,COUNTIF($A$2:A168,Combination!$E$2:$E$2628)+IF(Combination!$E$2:$E$2628="",1,0),0)),"")</f>
        <v/>
      </c>
      <c r="B169" s="13">
        <f t="array" ref="B169">IFERROR(SMALL(IF(IF(Dashboard!$C$5="",TRUE(),ISNUMBER(SEARCH(Dashboard!$C$5,$A$2:$A$202))),ROW($A$2:$A$202)-ROW($A$2)+1),ROW()-ROW($B$2)+1),"")</f>
        <v>168</v>
      </c>
      <c r="C169" s="13" t="str">
        <f t="shared" si="2"/>
        <v/>
      </c>
    </row>
    <row r="170" spans="1:3" ht="15" customHeight="1" x14ac:dyDescent="0.3">
      <c r="A170" s="13" t="str">
        <f t="array" ref="A170">IFERROR(INDEX(Combination!$E$2:$E$2628,MATCH(0,COUNTIF($A$2:A169,Combination!$E$2:$E$2628)+IF(Combination!$E$2:$E$2628="",1,0),0)),"")</f>
        <v/>
      </c>
      <c r="B170" s="13">
        <f t="array" ref="B170">IFERROR(SMALL(IF(IF(Dashboard!$C$5="",TRUE(),ISNUMBER(SEARCH(Dashboard!$C$5,$A$2:$A$202))),ROW($A$2:$A$202)-ROW($A$2)+1),ROW()-ROW($B$2)+1),"")</f>
        <v>169</v>
      </c>
      <c r="C170" s="13" t="str">
        <f t="shared" si="2"/>
        <v/>
      </c>
    </row>
    <row r="171" spans="1:3" ht="15" customHeight="1" x14ac:dyDescent="0.3">
      <c r="A171" s="13" t="str">
        <f t="array" ref="A171">IFERROR(INDEX(Combination!$E$2:$E$2628,MATCH(0,COUNTIF($A$2:A170,Combination!$E$2:$E$2628)+IF(Combination!$E$2:$E$2628="",1,0),0)),"")</f>
        <v/>
      </c>
      <c r="B171" s="13">
        <f t="array" ref="B171">IFERROR(SMALL(IF(IF(Dashboard!$C$5="",TRUE(),ISNUMBER(SEARCH(Dashboard!$C$5,$A$2:$A$202))),ROW($A$2:$A$202)-ROW($A$2)+1),ROW()-ROW($B$2)+1),"")</f>
        <v>170</v>
      </c>
      <c r="C171" s="13" t="str">
        <f t="shared" si="2"/>
        <v/>
      </c>
    </row>
    <row r="172" spans="1:3" ht="15" customHeight="1" x14ac:dyDescent="0.3">
      <c r="A172" s="13" t="str">
        <f t="array" ref="A172">IFERROR(INDEX(Combination!$E$2:$E$2628,MATCH(0,COUNTIF($A$2:A171,Combination!$E$2:$E$2628)+IF(Combination!$E$2:$E$2628="",1,0),0)),"")</f>
        <v/>
      </c>
      <c r="B172" s="13">
        <f t="array" ref="B172">IFERROR(SMALL(IF(IF(Dashboard!$C$5="",TRUE(),ISNUMBER(SEARCH(Dashboard!$C$5,$A$2:$A$202))),ROW($A$2:$A$202)-ROW($A$2)+1),ROW()-ROW($B$2)+1),"")</f>
        <v>171</v>
      </c>
      <c r="C172" s="13" t="str">
        <f t="shared" si="2"/>
        <v/>
      </c>
    </row>
    <row r="173" spans="1:3" ht="15" customHeight="1" x14ac:dyDescent="0.3">
      <c r="A173" s="13" t="str">
        <f t="array" ref="A173">IFERROR(INDEX(Combination!$E$2:$E$2628,MATCH(0,COUNTIF($A$2:A172,Combination!$E$2:$E$2628)+IF(Combination!$E$2:$E$2628="",1,0),0)),"")</f>
        <v/>
      </c>
      <c r="B173" s="13">
        <f t="array" ref="B173">IFERROR(SMALL(IF(IF(Dashboard!$C$5="",TRUE(),ISNUMBER(SEARCH(Dashboard!$C$5,$A$2:$A$202))),ROW($A$2:$A$202)-ROW($A$2)+1),ROW()-ROW($B$2)+1),"")</f>
        <v>172</v>
      </c>
      <c r="C173" s="13" t="str">
        <f t="shared" si="2"/>
        <v/>
      </c>
    </row>
    <row r="174" spans="1:3" ht="15" customHeight="1" x14ac:dyDescent="0.3">
      <c r="A174" s="13" t="str">
        <f t="array" ref="A174">IFERROR(INDEX(Combination!$E$2:$E$2628,MATCH(0,COUNTIF($A$2:A173,Combination!$E$2:$E$2628)+IF(Combination!$E$2:$E$2628="",1,0),0)),"")</f>
        <v/>
      </c>
      <c r="B174" s="13">
        <f t="array" ref="B174">IFERROR(SMALL(IF(IF(Dashboard!$C$5="",TRUE(),ISNUMBER(SEARCH(Dashboard!$C$5,$A$2:$A$202))),ROW($A$2:$A$202)-ROW($A$2)+1),ROW()-ROW($B$2)+1),"")</f>
        <v>173</v>
      </c>
      <c r="C174" s="13" t="str">
        <f t="shared" si="2"/>
        <v/>
      </c>
    </row>
    <row r="175" spans="1:3" ht="15" customHeight="1" x14ac:dyDescent="0.3">
      <c r="A175" s="13" t="str">
        <f t="array" ref="A175">IFERROR(INDEX(Combination!$E$2:$E$2628,MATCH(0,COUNTIF($A$2:A174,Combination!$E$2:$E$2628)+IF(Combination!$E$2:$E$2628="",1,0),0)),"")</f>
        <v/>
      </c>
      <c r="B175" s="13">
        <f t="array" ref="B175">IFERROR(SMALL(IF(IF(Dashboard!$C$5="",TRUE(),ISNUMBER(SEARCH(Dashboard!$C$5,$A$2:$A$202))),ROW($A$2:$A$202)-ROW($A$2)+1),ROW()-ROW($B$2)+1),"")</f>
        <v>174</v>
      </c>
      <c r="C175" s="13" t="str">
        <f t="shared" si="2"/>
        <v/>
      </c>
    </row>
    <row r="176" spans="1:3" ht="15" customHeight="1" x14ac:dyDescent="0.3">
      <c r="A176" s="13" t="str">
        <f t="array" ref="A176">IFERROR(INDEX(Combination!$E$2:$E$2628,MATCH(0,COUNTIF($A$2:A175,Combination!$E$2:$E$2628)+IF(Combination!$E$2:$E$2628="",1,0),0)),"")</f>
        <v/>
      </c>
      <c r="B176" s="13">
        <f t="array" ref="B176">IFERROR(SMALL(IF(IF(Dashboard!$C$5="",TRUE(),ISNUMBER(SEARCH(Dashboard!$C$5,$A$2:$A$202))),ROW($A$2:$A$202)-ROW($A$2)+1),ROW()-ROW($B$2)+1),"")</f>
        <v>175</v>
      </c>
      <c r="C176" s="13" t="str">
        <f t="shared" si="2"/>
        <v/>
      </c>
    </row>
    <row r="177" spans="1:3" ht="15" customHeight="1" x14ac:dyDescent="0.3">
      <c r="A177" s="13" t="str">
        <f t="array" ref="A177">IFERROR(INDEX(Combination!$E$2:$E$2628,MATCH(0,COUNTIF($A$2:A176,Combination!$E$2:$E$2628)+IF(Combination!$E$2:$E$2628="",1,0),0)),"")</f>
        <v/>
      </c>
      <c r="B177" s="13">
        <f t="array" ref="B177">IFERROR(SMALL(IF(IF(Dashboard!$C$5="",TRUE(),ISNUMBER(SEARCH(Dashboard!$C$5,$A$2:$A$202))),ROW($A$2:$A$202)-ROW($A$2)+1),ROW()-ROW($B$2)+1),"")</f>
        <v>176</v>
      </c>
      <c r="C177" s="13" t="str">
        <f t="shared" si="2"/>
        <v/>
      </c>
    </row>
    <row r="178" spans="1:3" ht="15" customHeight="1" x14ac:dyDescent="0.3">
      <c r="A178" s="13" t="str">
        <f t="array" ref="A178">IFERROR(INDEX(Combination!$E$2:$E$2628,MATCH(0,COUNTIF($A$2:A177,Combination!$E$2:$E$2628)+IF(Combination!$E$2:$E$2628="",1,0),0)),"")</f>
        <v/>
      </c>
      <c r="B178" s="13">
        <f t="array" ref="B178">IFERROR(SMALL(IF(IF(Dashboard!$C$5="",TRUE(),ISNUMBER(SEARCH(Dashboard!$C$5,$A$2:$A$202))),ROW($A$2:$A$202)-ROW($A$2)+1),ROW()-ROW($B$2)+1),"")</f>
        <v>177</v>
      </c>
      <c r="C178" s="13" t="str">
        <f t="shared" si="2"/>
        <v/>
      </c>
    </row>
    <row r="179" spans="1:3" ht="15" customHeight="1" x14ac:dyDescent="0.3">
      <c r="A179" s="13" t="str">
        <f t="array" ref="A179">IFERROR(INDEX(Combination!$E$2:$E$2628,MATCH(0,COUNTIF($A$2:A178,Combination!$E$2:$E$2628)+IF(Combination!$E$2:$E$2628="",1,0),0)),"")</f>
        <v/>
      </c>
      <c r="B179" s="13">
        <f t="array" ref="B179">IFERROR(SMALL(IF(IF(Dashboard!$C$5="",TRUE(),ISNUMBER(SEARCH(Dashboard!$C$5,$A$2:$A$202))),ROW($A$2:$A$202)-ROW($A$2)+1),ROW()-ROW($B$2)+1),"")</f>
        <v>178</v>
      </c>
      <c r="C179" s="13" t="str">
        <f t="shared" si="2"/>
        <v/>
      </c>
    </row>
    <row r="180" spans="1:3" ht="15" customHeight="1" x14ac:dyDescent="0.3">
      <c r="A180" s="13" t="str">
        <f t="array" ref="A180">IFERROR(INDEX(Combination!$E$2:$E$2628,MATCH(0,COUNTIF($A$2:A179,Combination!$E$2:$E$2628)+IF(Combination!$E$2:$E$2628="",1,0),0)),"")</f>
        <v/>
      </c>
      <c r="B180" s="13">
        <f t="array" ref="B180">IFERROR(SMALL(IF(IF(Dashboard!$C$5="",TRUE(),ISNUMBER(SEARCH(Dashboard!$C$5,$A$2:$A$202))),ROW($A$2:$A$202)-ROW($A$2)+1),ROW()-ROW($B$2)+1),"")</f>
        <v>179</v>
      </c>
      <c r="C180" s="13" t="str">
        <f t="shared" si="2"/>
        <v/>
      </c>
    </row>
    <row r="181" spans="1:3" ht="15" customHeight="1" x14ac:dyDescent="0.3">
      <c r="A181" s="13" t="str">
        <f t="array" ref="A181">IFERROR(INDEX(Combination!$E$2:$E$2628,MATCH(0,COUNTIF($A$2:A180,Combination!$E$2:$E$2628)+IF(Combination!$E$2:$E$2628="",1,0),0)),"")</f>
        <v/>
      </c>
      <c r="B181" s="13">
        <f t="array" ref="B181">IFERROR(SMALL(IF(IF(Dashboard!$C$5="",TRUE(),ISNUMBER(SEARCH(Dashboard!$C$5,$A$2:$A$202))),ROW($A$2:$A$202)-ROW($A$2)+1),ROW()-ROW($B$2)+1),"")</f>
        <v>180</v>
      </c>
      <c r="C181" s="13" t="str">
        <f t="shared" si="2"/>
        <v/>
      </c>
    </row>
    <row r="182" spans="1:3" ht="15" customHeight="1" x14ac:dyDescent="0.3">
      <c r="A182" s="13" t="str">
        <f t="array" ref="A182">IFERROR(INDEX(Combination!$E$2:$E$2628,MATCH(0,COUNTIF($A$2:A181,Combination!$E$2:$E$2628)+IF(Combination!$E$2:$E$2628="",1,0),0)),"")</f>
        <v/>
      </c>
      <c r="B182" s="13">
        <f t="array" ref="B182">IFERROR(SMALL(IF(IF(Dashboard!$C$5="",TRUE(),ISNUMBER(SEARCH(Dashboard!$C$5,$A$2:$A$202))),ROW($A$2:$A$202)-ROW($A$2)+1),ROW()-ROW($B$2)+1),"")</f>
        <v>181</v>
      </c>
      <c r="C182" s="13" t="str">
        <f t="shared" si="2"/>
        <v/>
      </c>
    </row>
    <row r="183" spans="1:3" ht="15" customHeight="1" x14ac:dyDescent="0.3">
      <c r="A183" s="13" t="str">
        <f t="array" ref="A183">IFERROR(INDEX(Combination!$E$2:$E$2628,MATCH(0,COUNTIF($A$2:A182,Combination!$E$2:$E$2628)+IF(Combination!$E$2:$E$2628="",1,0),0)),"")</f>
        <v/>
      </c>
      <c r="B183" s="13">
        <f t="array" ref="B183">IFERROR(SMALL(IF(IF(Dashboard!$C$5="",TRUE(),ISNUMBER(SEARCH(Dashboard!$C$5,$A$2:$A$202))),ROW($A$2:$A$202)-ROW($A$2)+1),ROW()-ROW($B$2)+1),"")</f>
        <v>182</v>
      </c>
      <c r="C183" s="13" t="str">
        <f t="shared" si="2"/>
        <v/>
      </c>
    </row>
    <row r="184" spans="1:3" ht="15" customHeight="1" x14ac:dyDescent="0.3">
      <c r="A184" s="13" t="str">
        <f t="array" ref="A184">IFERROR(INDEX(Combination!$E$2:$E$2628,MATCH(0,COUNTIF($A$2:A183,Combination!$E$2:$E$2628)+IF(Combination!$E$2:$E$2628="",1,0),0)),"")</f>
        <v/>
      </c>
      <c r="B184" s="13">
        <f t="array" ref="B184">IFERROR(SMALL(IF(IF(Dashboard!$C$5="",TRUE(),ISNUMBER(SEARCH(Dashboard!$C$5,$A$2:$A$202))),ROW($A$2:$A$202)-ROW($A$2)+1),ROW()-ROW($B$2)+1),"")</f>
        <v>183</v>
      </c>
      <c r="C184" s="13" t="str">
        <f t="shared" si="2"/>
        <v/>
      </c>
    </row>
    <row r="185" spans="1:3" ht="15" customHeight="1" x14ac:dyDescent="0.3">
      <c r="A185" s="13" t="str">
        <f t="array" ref="A185">IFERROR(INDEX(Combination!$E$2:$E$2628,MATCH(0,COUNTIF($A$2:A184,Combination!$E$2:$E$2628)+IF(Combination!$E$2:$E$2628="",1,0),0)),"")</f>
        <v/>
      </c>
      <c r="B185" s="13">
        <f t="array" ref="B185">IFERROR(SMALL(IF(IF(Dashboard!$C$5="",TRUE(),ISNUMBER(SEARCH(Dashboard!$C$5,$A$2:$A$202))),ROW($A$2:$A$202)-ROW($A$2)+1),ROW()-ROW($B$2)+1),"")</f>
        <v>184</v>
      </c>
      <c r="C185" s="13" t="str">
        <f t="shared" si="2"/>
        <v/>
      </c>
    </row>
    <row r="186" spans="1:3" ht="15" customHeight="1" x14ac:dyDescent="0.3">
      <c r="A186" s="13" t="str">
        <f t="array" ref="A186">IFERROR(INDEX(Combination!$E$2:$E$2628,MATCH(0,COUNTIF($A$2:A185,Combination!$E$2:$E$2628)+IF(Combination!$E$2:$E$2628="",1,0),0)),"")</f>
        <v/>
      </c>
      <c r="B186" s="13">
        <f t="array" ref="B186">IFERROR(SMALL(IF(IF(Dashboard!$C$5="",TRUE(),ISNUMBER(SEARCH(Dashboard!$C$5,$A$2:$A$202))),ROW($A$2:$A$202)-ROW($A$2)+1),ROW()-ROW($B$2)+1),"")</f>
        <v>185</v>
      </c>
      <c r="C186" s="13" t="str">
        <f t="shared" si="2"/>
        <v/>
      </c>
    </row>
    <row r="187" spans="1:3" ht="15" customHeight="1" x14ac:dyDescent="0.3">
      <c r="A187" s="13" t="str">
        <f t="array" ref="A187">IFERROR(INDEX(Combination!$E$2:$E$2628,MATCH(0,COUNTIF($A$2:A186,Combination!$E$2:$E$2628)+IF(Combination!$E$2:$E$2628="",1,0),0)),"")</f>
        <v/>
      </c>
      <c r="B187" s="13">
        <f t="array" ref="B187">IFERROR(SMALL(IF(IF(Dashboard!$C$5="",TRUE(),ISNUMBER(SEARCH(Dashboard!$C$5,$A$2:$A$202))),ROW($A$2:$A$202)-ROW($A$2)+1),ROW()-ROW($B$2)+1),"")</f>
        <v>186</v>
      </c>
      <c r="C187" s="13" t="str">
        <f t="shared" si="2"/>
        <v/>
      </c>
    </row>
    <row r="188" spans="1:3" ht="15" customHeight="1" x14ac:dyDescent="0.3">
      <c r="A188" s="13" t="str">
        <f t="array" ref="A188">IFERROR(INDEX(Combination!$E$2:$E$2628,MATCH(0,COUNTIF($A$2:A187,Combination!$E$2:$E$2628)+IF(Combination!$E$2:$E$2628="",1,0),0)),"")</f>
        <v/>
      </c>
      <c r="B188" s="13">
        <f t="array" ref="B188">IFERROR(SMALL(IF(IF(Dashboard!$C$5="",TRUE(),ISNUMBER(SEARCH(Dashboard!$C$5,$A$2:$A$202))),ROW($A$2:$A$202)-ROW($A$2)+1),ROW()-ROW($B$2)+1),"")</f>
        <v>187</v>
      </c>
      <c r="C188" s="13" t="str">
        <f t="shared" si="2"/>
        <v/>
      </c>
    </row>
    <row r="189" spans="1:3" ht="15" customHeight="1" x14ac:dyDescent="0.3">
      <c r="A189" s="13" t="str">
        <f t="array" ref="A189">IFERROR(INDEX(Combination!$E$2:$E$2628,MATCH(0,COUNTIF($A$2:A188,Combination!$E$2:$E$2628)+IF(Combination!$E$2:$E$2628="",1,0),0)),"")</f>
        <v/>
      </c>
      <c r="B189" s="13">
        <f t="array" ref="B189">IFERROR(SMALL(IF(IF(Dashboard!$C$5="",TRUE(),ISNUMBER(SEARCH(Dashboard!$C$5,$A$2:$A$202))),ROW($A$2:$A$202)-ROW($A$2)+1),ROW()-ROW($B$2)+1),"")</f>
        <v>188</v>
      </c>
      <c r="C189" s="13" t="str">
        <f t="shared" si="2"/>
        <v/>
      </c>
    </row>
    <row r="190" spans="1:3" ht="15" customHeight="1" x14ac:dyDescent="0.3">
      <c r="A190" s="13" t="str">
        <f t="array" ref="A190">IFERROR(INDEX(Combination!$E$2:$E$2628,MATCH(0,COUNTIF($A$2:A189,Combination!$E$2:$E$2628)+IF(Combination!$E$2:$E$2628="",1,0),0)),"")</f>
        <v/>
      </c>
      <c r="B190" s="13">
        <f t="array" ref="B190">IFERROR(SMALL(IF(IF(Dashboard!$C$5="",TRUE(),ISNUMBER(SEARCH(Dashboard!$C$5,$A$2:$A$202))),ROW($A$2:$A$202)-ROW($A$2)+1),ROW()-ROW($B$2)+1),"")</f>
        <v>189</v>
      </c>
      <c r="C190" s="13" t="str">
        <f t="shared" si="2"/>
        <v/>
      </c>
    </row>
    <row r="191" spans="1:3" ht="15" customHeight="1" x14ac:dyDescent="0.3">
      <c r="A191" s="13" t="str">
        <f t="array" ref="A191">IFERROR(INDEX(Combination!$E$2:$E$2628,MATCH(0,COUNTIF($A$2:A190,Combination!$E$2:$E$2628)+IF(Combination!$E$2:$E$2628="",1,0),0)),"")</f>
        <v/>
      </c>
      <c r="B191" s="13">
        <f t="array" ref="B191">IFERROR(SMALL(IF(IF(Dashboard!$C$5="",TRUE(),ISNUMBER(SEARCH(Dashboard!$C$5,$A$2:$A$202))),ROW($A$2:$A$202)-ROW($A$2)+1),ROW()-ROW($B$2)+1),"")</f>
        <v>190</v>
      </c>
      <c r="C191" s="13" t="str">
        <f t="shared" si="2"/>
        <v/>
      </c>
    </row>
    <row r="192" spans="1:3" ht="15" customHeight="1" x14ac:dyDescent="0.3">
      <c r="A192" s="13" t="str">
        <f t="array" ref="A192">IFERROR(INDEX(Combination!$E$2:$E$2628,MATCH(0,COUNTIF($A$2:A191,Combination!$E$2:$E$2628)+IF(Combination!$E$2:$E$2628="",1,0),0)),"")</f>
        <v/>
      </c>
      <c r="B192" s="13">
        <f t="array" ref="B192">IFERROR(SMALL(IF(IF(Dashboard!$C$5="",TRUE(),ISNUMBER(SEARCH(Dashboard!$C$5,$A$2:$A$202))),ROW($A$2:$A$202)-ROW($A$2)+1),ROW()-ROW($B$2)+1),"")</f>
        <v>191</v>
      </c>
      <c r="C192" s="13" t="str">
        <f t="shared" si="2"/>
        <v/>
      </c>
    </row>
    <row r="193" spans="1:3" ht="15" customHeight="1" x14ac:dyDescent="0.3">
      <c r="A193" s="13" t="str">
        <f t="array" ref="A193">IFERROR(INDEX(Combination!$E$2:$E$2628,MATCH(0,COUNTIF($A$2:A192,Combination!$E$2:$E$2628)+IF(Combination!$E$2:$E$2628="",1,0),0)),"")</f>
        <v/>
      </c>
      <c r="B193" s="13">
        <f t="array" ref="B193">IFERROR(SMALL(IF(IF(Dashboard!$C$5="",TRUE(),ISNUMBER(SEARCH(Dashboard!$C$5,$A$2:$A$202))),ROW($A$2:$A$202)-ROW($A$2)+1),ROW()-ROW($B$2)+1),"")</f>
        <v>192</v>
      </c>
      <c r="C193" s="13" t="str">
        <f t="shared" si="2"/>
        <v/>
      </c>
    </row>
    <row r="194" spans="1:3" ht="15" customHeight="1" x14ac:dyDescent="0.3">
      <c r="A194" s="13" t="str">
        <f t="array" ref="A194">IFERROR(INDEX(Combination!$E$2:$E$2628,MATCH(0,COUNTIF($A$2:A193,Combination!$E$2:$E$2628)+IF(Combination!$E$2:$E$2628="",1,0),0)),"")</f>
        <v/>
      </c>
      <c r="B194" s="13">
        <f t="array" ref="B194">IFERROR(SMALL(IF(IF(Dashboard!$C$5="",TRUE(),ISNUMBER(SEARCH(Dashboard!$C$5,$A$2:$A$202))),ROW($A$2:$A$202)-ROW($A$2)+1),ROW()-ROW($B$2)+1),"")</f>
        <v>193</v>
      </c>
      <c r="C194" s="13" t="str">
        <f t="shared" ref="C194:C202" si="3">IFERROR(INDEX($A$2:$A$202,$B194),"")</f>
        <v/>
      </c>
    </row>
    <row r="195" spans="1:3" ht="15" customHeight="1" x14ac:dyDescent="0.3">
      <c r="A195" s="13" t="str">
        <f t="array" ref="A195">IFERROR(INDEX(Combination!$E$2:$E$2628,MATCH(0,COUNTIF($A$2:A194,Combination!$E$2:$E$2628)+IF(Combination!$E$2:$E$2628="",1,0),0)),"")</f>
        <v/>
      </c>
      <c r="B195" s="13">
        <f t="array" ref="B195">IFERROR(SMALL(IF(IF(Dashboard!$C$5="",TRUE(),ISNUMBER(SEARCH(Dashboard!$C$5,$A$2:$A$202))),ROW($A$2:$A$202)-ROW($A$2)+1),ROW()-ROW($B$2)+1),"")</f>
        <v>194</v>
      </c>
      <c r="C195" s="13" t="str">
        <f t="shared" si="3"/>
        <v/>
      </c>
    </row>
    <row r="196" spans="1:3" ht="15" customHeight="1" x14ac:dyDescent="0.3">
      <c r="A196" s="13" t="str">
        <f t="array" ref="A196">IFERROR(INDEX(Combination!$E$2:$E$2628,MATCH(0,COUNTIF($A$2:A195,Combination!$E$2:$E$2628)+IF(Combination!$E$2:$E$2628="",1,0),0)),"")</f>
        <v/>
      </c>
      <c r="B196" s="13">
        <f t="array" ref="B196">IFERROR(SMALL(IF(IF(Dashboard!$C$5="",TRUE(),ISNUMBER(SEARCH(Dashboard!$C$5,$A$2:$A$202))),ROW($A$2:$A$202)-ROW($A$2)+1),ROW()-ROW($B$2)+1),"")</f>
        <v>195</v>
      </c>
      <c r="C196" s="13" t="str">
        <f t="shared" si="3"/>
        <v/>
      </c>
    </row>
    <row r="197" spans="1:3" ht="15" customHeight="1" x14ac:dyDescent="0.3">
      <c r="A197" s="13" t="str">
        <f t="array" ref="A197">IFERROR(INDEX(Combination!$E$2:$E$2628,MATCH(0,COUNTIF($A$2:A196,Combination!$E$2:$E$2628)+IF(Combination!$E$2:$E$2628="",1,0),0)),"")</f>
        <v/>
      </c>
      <c r="B197" s="13">
        <f t="array" ref="B197">IFERROR(SMALL(IF(IF(Dashboard!$C$5="",TRUE(),ISNUMBER(SEARCH(Dashboard!$C$5,$A$2:$A$202))),ROW($A$2:$A$202)-ROW($A$2)+1),ROW()-ROW($B$2)+1),"")</f>
        <v>196</v>
      </c>
      <c r="C197" s="13" t="str">
        <f t="shared" si="3"/>
        <v/>
      </c>
    </row>
    <row r="198" spans="1:3" ht="15" customHeight="1" x14ac:dyDescent="0.3">
      <c r="A198" s="13" t="str">
        <f t="array" ref="A198">IFERROR(INDEX(Combination!$E$2:$E$2628,MATCH(0,COUNTIF($A$2:A197,Combination!$E$2:$E$2628)+IF(Combination!$E$2:$E$2628="",1,0),0)),"")</f>
        <v/>
      </c>
      <c r="B198" s="13">
        <f t="array" ref="B198">IFERROR(SMALL(IF(IF(Dashboard!$C$5="",TRUE(),ISNUMBER(SEARCH(Dashboard!$C$5,$A$2:$A$202))),ROW($A$2:$A$202)-ROW($A$2)+1),ROW()-ROW($B$2)+1),"")</f>
        <v>197</v>
      </c>
      <c r="C198" s="13" t="str">
        <f t="shared" si="3"/>
        <v/>
      </c>
    </row>
    <row r="199" spans="1:3" ht="15" customHeight="1" x14ac:dyDescent="0.3">
      <c r="A199" s="13" t="str">
        <f t="array" ref="A199">IFERROR(INDEX(Combination!$E$2:$E$2628,MATCH(0,COUNTIF($A$2:A198,Combination!$E$2:$E$2628)+IF(Combination!$E$2:$E$2628="",1,0),0)),"")</f>
        <v/>
      </c>
      <c r="B199" s="13">
        <f t="array" ref="B199">IFERROR(SMALL(IF(IF(Dashboard!$C$5="",TRUE(),ISNUMBER(SEARCH(Dashboard!$C$5,$A$2:$A$202))),ROW($A$2:$A$202)-ROW($A$2)+1),ROW()-ROW($B$2)+1),"")</f>
        <v>198</v>
      </c>
      <c r="C199" s="13" t="str">
        <f t="shared" si="3"/>
        <v/>
      </c>
    </row>
    <row r="200" spans="1:3" ht="15" customHeight="1" x14ac:dyDescent="0.3">
      <c r="A200" s="13" t="str">
        <f t="array" ref="A200">IFERROR(INDEX(Combination!$E$2:$E$2628,MATCH(0,COUNTIF($A$2:A199,Combination!$E$2:$E$2628)+IF(Combination!$E$2:$E$2628="",1,0),0)),"")</f>
        <v/>
      </c>
      <c r="B200" s="13">
        <f t="array" ref="B200">IFERROR(SMALL(IF(IF(Dashboard!$C$5="",TRUE(),ISNUMBER(SEARCH(Dashboard!$C$5,$A$2:$A$202))),ROW($A$2:$A$202)-ROW($A$2)+1),ROW()-ROW($B$2)+1),"")</f>
        <v>199</v>
      </c>
      <c r="C200" s="13" t="str">
        <f t="shared" si="3"/>
        <v/>
      </c>
    </row>
    <row r="201" spans="1:3" ht="15" customHeight="1" x14ac:dyDescent="0.3">
      <c r="A201" s="13" t="str">
        <f t="array" ref="A201">IFERROR(INDEX(Combination!$E$2:$E$2628,MATCH(0,COUNTIF($A$2:A200,Combination!$E$2:$E$2628)+IF(Combination!$E$2:$E$2628="",1,0),0)),"")</f>
        <v/>
      </c>
      <c r="B201" s="13">
        <f t="array" ref="B201">IFERROR(SMALL(IF(IF(Dashboard!$C$5="",TRUE(),ISNUMBER(SEARCH(Dashboard!$C$5,$A$2:$A$202))),ROW($A$2:$A$202)-ROW($A$2)+1),ROW()-ROW($B$2)+1),"")</f>
        <v>200</v>
      </c>
      <c r="C201" s="13" t="str">
        <f t="shared" si="3"/>
        <v/>
      </c>
    </row>
    <row r="202" spans="1:3" ht="15" customHeight="1" x14ac:dyDescent="0.3">
      <c r="A202" s="13" t="str">
        <f t="array" ref="A202">IFERROR(INDEX(Combination!$E$2:$E$2628,MATCH(0,COUNTIF($A$2:A201,Combination!$E$2:$E$2628)+IF(Combination!$E$2:$E$2628="",1,0),0)),"")</f>
        <v/>
      </c>
      <c r="B202" s="13">
        <f t="array" ref="B202">IFERROR(SMALL(IF(IF(Dashboard!$C$5="",TRUE(),ISNUMBER(SEARCH(Dashboard!$C$5,$A$2:$A$202))),ROW($A$2:$A$202)-ROW($A$2)+1),ROW()-ROW($B$2)+1),"")</f>
        <v>201</v>
      </c>
      <c r="C202" s="13" t="str">
        <f t="shared" si="3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Origin Costs</vt:lpstr>
      <vt:lpstr>Sheet1</vt:lpstr>
      <vt:lpstr>Combination</vt:lpstr>
      <vt:lpstr>Helpers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 Bulani</dc:creator>
  <dc:description/>
  <cp:lastModifiedBy>user</cp:lastModifiedBy>
  <cp:revision>0</cp:revision>
  <dcterms:created xsi:type="dcterms:W3CDTF">2026-06-30T06:45:32Z</dcterms:created>
  <dcterms:modified xsi:type="dcterms:W3CDTF">2026-07-01T09:29:39Z</dcterms:modified>
  <dc:language>en-US</dc:language>
</cp:coreProperties>
</file>